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29" codeName="{AE6600E7-7A62-396C-DE95-9942FA9DD81E}"/>
  <workbookPr filterPrivacy="1" codeName="ThisWorkbook" defaultThemeVersion="124226"/>
  <xr:revisionPtr revIDLastSave="0" documentId="13_ncr:1_{6371DEAF-7F9D-413E-B3DB-63262F3316DE}" xr6:coauthVersionLast="47" xr6:coauthVersionMax="47" xr10:uidLastSave="{00000000-0000-0000-0000-000000000000}"/>
  <bookViews>
    <workbookView xWindow="-108" yWindow="-108" windowWidth="23256" windowHeight="12456" activeTab="1" xr2:uid="{00000000-000D-0000-FFFF-FFFF00000000}"/>
  </bookViews>
  <sheets>
    <sheet name="Homework" sheetId="1" r:id="rId1"/>
    <sheet name="HW_ans" sheetId="2"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2" i="2" l="1"/>
  <c r="X9" i="2" a="1"/>
  <c r="X9" i="2" l="1"/>
  <c r="S20" i="2"/>
  <c r="S21" i="2"/>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S54" i="2" s="1"/>
  <c r="S55" i="2" s="1"/>
  <c r="S56" i="2" s="1"/>
  <c r="S57" i="2" s="1"/>
  <c r="S58" i="2" s="1"/>
  <c r="S59" i="2" s="1"/>
  <c r="M7" i="2" a="1"/>
  <c r="T20" i="2" l="1"/>
  <c r="T30" i="2"/>
  <c r="T42" i="2"/>
  <c r="T54" i="2"/>
  <c r="T43" i="2"/>
  <c r="T44" i="2"/>
  <c r="T33" i="2"/>
  <c r="T46" i="2"/>
  <c r="T24" i="2"/>
  <c r="T26" i="2"/>
  <c r="T28" i="2"/>
  <c r="T59" i="2"/>
  <c r="T31" i="2"/>
  <c r="T55" i="2"/>
  <c r="T56" i="2"/>
  <c r="T45" i="2"/>
  <c r="T58" i="2"/>
  <c r="T47" i="2"/>
  <c r="T38" i="2"/>
  <c r="T52" i="2"/>
  <c r="T53" i="2"/>
  <c r="T32" i="2"/>
  <c r="T48" i="2"/>
  <c r="T51" i="2"/>
  <c r="T21" i="2"/>
  <c r="T57" i="2"/>
  <c r="T25" i="2"/>
  <c r="T40" i="2"/>
  <c r="T22" i="2"/>
  <c r="T34" i="2"/>
  <c r="T36" i="2"/>
  <c r="T49" i="2"/>
  <c r="T39" i="2"/>
  <c r="T41" i="2"/>
  <c r="T23" i="2"/>
  <c r="T35" i="2"/>
  <c r="T37" i="2"/>
  <c r="T50" i="2"/>
  <c r="T29" i="2"/>
  <c r="T27" i="2"/>
  <c r="M7" i="2"/>
  <c r="E8" i="2"/>
  <c r="E9" i="2"/>
  <c r="E10" i="2"/>
  <c r="E11" i="2"/>
  <c r="E12" i="2"/>
  <c r="E13" i="2"/>
  <c r="E14" i="2"/>
  <c r="E15" i="2"/>
  <c r="E16" i="2"/>
  <c r="E17" i="2"/>
  <c r="E18" i="2"/>
  <c r="E7" i="2"/>
  <c r="D10" i="2"/>
  <c r="D9" i="2"/>
  <c r="D8" i="2"/>
  <c r="D7" i="2"/>
  <c r="G7" i="2" a="1"/>
  <c r="U35" i="2" l="1"/>
  <c r="U39" i="2"/>
  <c r="U26" i="2"/>
  <c r="U24" i="2"/>
  <c r="U21" i="2"/>
  <c r="U32" i="2"/>
  <c r="U36" i="2"/>
  <c r="U52" i="2"/>
  <c r="U46" i="2"/>
  <c r="U28" i="2"/>
  <c r="U34" i="2"/>
  <c r="U38" i="2"/>
  <c r="U33" i="2"/>
  <c r="U51" i="2"/>
  <c r="U49" i="2"/>
  <c r="U22" i="2"/>
  <c r="U47" i="2"/>
  <c r="U44" i="2"/>
  <c r="U23" i="2"/>
  <c r="U53" i="2"/>
  <c r="U27" i="2"/>
  <c r="U40" i="2"/>
  <c r="U58" i="2"/>
  <c r="U43" i="2"/>
  <c r="U59" i="2"/>
  <c r="U29" i="2"/>
  <c r="U25" i="2"/>
  <c r="U45" i="2"/>
  <c r="U54" i="2"/>
  <c r="U31" i="2"/>
  <c r="U41" i="2"/>
  <c r="U50" i="2"/>
  <c r="U20" i="2"/>
  <c r="U56" i="2"/>
  <c r="U42" i="2"/>
  <c r="U48" i="2"/>
  <c r="U37" i="2"/>
  <c r="U57" i="2"/>
  <c r="U55" i="2"/>
  <c r="U30" i="2"/>
  <c r="G7" i="2"/>
  <c r="X18" i="2"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<sst xmlns="http://schemas.openxmlformats.org/spreadsheetml/2006/main" count="55" uniqueCount="49">
  <si>
    <t>Question 1:</t>
  </si>
  <si>
    <t>Go to: https://www.treasury.gov/resource-center/data-chart-center/interest-rates/Pages/TextView.aspx?data=yield and pull the most recent yield curve. That should be an input for your code and should be displayed on this worksheet.</t>
  </si>
  <si>
    <t>Question 2:</t>
  </si>
  <si>
    <t>Build a Linear Interpolation model that accepts a matrix of data and a frequency to split years by and fill in the missing data.</t>
  </si>
  <si>
    <t xml:space="preserve">Question 3: </t>
  </si>
  <si>
    <t>Build a Forward Rate calculator in VBA. Should be flexible to work on various frequencies.</t>
  </si>
  <si>
    <t>Tip #1</t>
  </si>
  <si>
    <t>Watch the Tips &amp; Tricks video as well as the Debugging video before attempting this homework. They will help a TON!</t>
  </si>
  <si>
    <t>Tip #2</t>
  </si>
  <si>
    <t>If you are using Variants for your arrays, you might want to use UBOUND(ArrayName) instead of Rows.Count to get the max value</t>
  </si>
  <si>
    <t xml:space="preserve">EXTRA CREDIT </t>
  </si>
  <si>
    <t>Build a Floating Rate Note pricer in VBA. All inputs should be on this spreadsheet and the output should be appear here as well. For full extra credit nothing should print to Excel excpt the final value. All arrays should be calculated within VBA and passed to the new arrays using functions, not the worksheet.</t>
  </si>
  <si>
    <t>*Extra credit will not bring your grade over 100 but can make up for other points you lost (and is an excellent real-world example on how to reuse your code)</t>
  </si>
  <si>
    <t>Question 1</t>
  </si>
  <si>
    <t>Date</t>
  </si>
  <si>
    <t>1 Mo</t>
  </si>
  <si>
    <t>2 Mo</t>
  </si>
  <si>
    <t>3 Mo</t>
  </si>
  <si>
    <t>6 Mo</t>
  </si>
  <si>
    <t>1 Yr</t>
  </si>
  <si>
    <t>2 Yr</t>
  </si>
  <si>
    <t>3 Yr</t>
  </si>
  <si>
    <t>5 Yr</t>
  </si>
  <si>
    <t>7 Yr</t>
  </si>
  <si>
    <t>10 Yrr</t>
  </si>
  <si>
    <t>20 Yr</t>
  </si>
  <si>
    <t>30 Yr</t>
  </si>
  <si>
    <t>10/03/2022 Yield</t>
  </si>
  <si>
    <t>Years</t>
  </si>
  <si>
    <t>Yield</t>
  </si>
  <si>
    <t>Question 2</t>
  </si>
  <si>
    <t>Frequency</t>
  </si>
  <si>
    <t>Function: =Interpolate(oldRates matrix, Frequency)</t>
  </si>
  <si>
    <t>Question 3</t>
  </si>
  <si>
    <t>Forward Rate</t>
  </si>
  <si>
    <t>Function: =ForwardRate(Frequency, oldRates matrix)</t>
  </si>
  <si>
    <t>Extra Credits</t>
  </si>
  <si>
    <t>Inputs</t>
  </si>
  <si>
    <t>Maturity</t>
  </si>
  <si>
    <t>Notional</t>
  </si>
  <si>
    <t xml:space="preserve">Coupon Spread </t>
  </si>
  <si>
    <t>Payments</t>
  </si>
  <si>
    <t>Quartely</t>
  </si>
  <si>
    <t>Price</t>
  </si>
  <si>
    <t>Coupon</t>
  </si>
  <si>
    <t>Here is to check the above answer</t>
  </si>
  <si>
    <t>PV of CF</t>
  </si>
  <si>
    <t>Function : =FRN(oldRates Matrix, freq , notional , nper, coupon_spread)</t>
  </si>
  <si>
    <t>Nper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</si>
</sst>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0.00"/>
  </numFmts>
  <fonts count="7" x14ac:knownFonts="1">
    <font>
      <sz val="11"/>
      <color theme="1"/>
      <name val="Calibri"/>
      <family val="2"/>
      <scheme val="minor"/>
    </font>
    <font>
      <sz val="10"/>
      <color theme="1"/>
      <name val="Calibri"/>
      <family val="2"/>
      <scheme val="minor"/>
    </font>
    <font>
      <i/>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b/>
      <sz val="11"/>
      <color rgb="FFFF0000"/>
      <name val="Calibri"/>
      <family val="2"/>
      <scheme val="minor"/>
    </font>
  </fonts>
  <fills count="3">
    <fill>
      <patternFill patternType="none"/>
    </fill>
    <fill>
      <patternFill patternType="gray125"/>
    </fill>
    <fill>
      <patternFill patternType="solid">
        <fgColor theme="3"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s>
  <cellStyleXfs count="2">
    <xf numFmtId="0" fontId="0" fillId="0" borderId="0"/>
    <xf numFmtId="9" fontId="3" fillId="0" borderId="0" applyFont="0" applyFill="0" applyBorder="0" applyAlignment="0" applyProtection="0"/>
  </cellStyleXfs>
  <cellXfs count="24">
    <xf numFmtId="0" fontId="0" fillId="0" borderId="0" xfId="0"/>
    <xf numFmtId="0" fontId="0" fillId="0" borderId="4" xfId="0" applyBorder="1" applyAlignment="1">
      <alignment vertical="center"/>
    </xf>
    <xf numFmtId="0" fontId="2" fillId="0" borderId="0" xfId="0" applyFont="1"/>
    <xf numFmtId="2" fontId="0" fillId="0" borderId="0" xfId="0" applyNumberFormat="1"/>
    <xf numFmtId="10" fontId="0" fillId="0" borderId="0" xfId="1" applyNumberFormat="1" applyFont="1"/>
    <xf numFmtId="0" fontId="4" fillId="0" borderId="0" xfId="0" applyFont="1"/>
    <xf numFmtId="0" fontId="5" fillId="0" borderId="0" xfId="0" applyFont="1"/>
    <xf numFmtId="10" fontId="0" fillId="0" borderId="0" xfId="0" applyNumberFormat="1"/>
    <xf numFmtId="0" fontId="6" fillId="0" borderId="0" xfId="0" applyFont="1"/>
    <xf numFmtId="164" fontId="0" fillId="0" borderId="0" xfId="0" applyNumberFormat="1"/>
    <xf numFmtId="164" fontId="5" fillId="0" borderId="0" xfId="0" applyNumberFormat="1" applyFont="1"/>
    <xf numFmtId="0" fontId="0" fillId="0" borderId="6" xfId="0" applyBorder="1" applyAlignment="1">
      <alignment horizontal="left" vertical="center"/>
    </xf>
    <xf numFmtId="0" fontId="0" fillId="0" borderId="7" xfId="0" applyBorder="1" applyAlignment="1">
      <alignment horizontal="left" vertical="center"/>
    </xf>
    <xf numFmtId="0" fontId="1" fillId="0" borderId="1" xfId="0" applyFont="1" applyBorder="1" applyAlignment="1">
      <alignment horizontal="left" vertical="center" wrapText="1"/>
    </xf>
    <xf numFmtId="0" fontId="0" fillId="2" borderId="8" xfId="0" applyFill="1" applyBorder="1" applyAlignment="1">
      <alignment horizontal="center" vertical="center"/>
    </xf>
    <xf numFmtId="0" fontId="0" fillId="2" borderId="0" xfId="0" applyFill="1" applyAlignment="1">
      <alignment horizontal="center" vertical="center"/>
    </xf>
    <xf numFmtId="0" fontId="0" fillId="0" borderId="9" xfId="0" applyBorder="1" applyAlignment="1">
      <alignment horizontal="left" vertical="center"/>
    </xf>
    <xf numFmtId="0" fontId="0" fillId="0" borderId="10" xfId="0" applyBorder="1" applyAlignment="1">
      <alignment horizontal="left" vertical="center"/>
    </xf>
    <xf numFmtId="0" fontId="0" fillId="0" borderId="2" xfId="0" applyBorder="1" applyAlignment="1">
      <alignment horizontal="left" vertical="center" wrapText="1"/>
    </xf>
    <xf numFmtId="0" fontId="0" fillId="0" borderId="3" xfId="0" applyBorder="1" applyAlignment="1">
      <alignment horizontal="left" vertical="center" wrapText="1"/>
    </xf>
    <xf numFmtId="0" fontId="0" fillId="0" borderId="1" xfId="0" applyBorder="1" applyAlignment="1">
      <alignment horizontal="left" vertical="center" wrapText="1"/>
    </xf>
    <xf numFmtId="0" fontId="0" fillId="0" borderId="5" xfId="0" applyBorder="1" applyAlignment="1">
      <alignment horizontal="left" vertical="center" wrapText="1"/>
    </xf>
    <xf numFmtId="0" fontId="0" fillId="0" borderId="1" xfId="0" applyBorder="1" applyAlignment="1">
      <alignment horizontal="left" vertical="center"/>
    </xf>
    <xf numFmtId="0" fontId="0" fillId="0" borderId="5" xfId="0" applyBorder="1" applyAlignment="1">
      <alignment horizontal="left" vertical="center"/>
    </xf>
  </cellXfs>
  <cellStyles count="2">
    <cellStyle name="Normal" xfId="0" builtinId="0"/>
    <cellStyle name="Percent" xfId="1" builtinId="5"/>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12"/>
  <sheetViews>
    <sheetView showGridLines="0" workbookViewId="0">
      <selection activeCell="B3" sqref="B3:P3"/>
    </sheetView>
  </sheetViews>
  <sheetFormatPr defaultRowHeight="14.4" x14ac:dyDescent="0.3"/>
  <cols>
    <col min="1" max="1" width="13.6640625" bestFit="1" customWidth="1"/>
  </cols>
  <sheetData>
    <row r="1" spans="1:16" x14ac:dyDescent="0.3">
      <c r="A1" s="16" t="s">
        <v>0</v>
      </c>
      <c r="B1" s="18" t="s">
        <v>1</v>
      </c>
      <c r="C1" s="18"/>
      <c r="D1" s="18"/>
      <c r="E1" s="18"/>
      <c r="F1" s="18"/>
      <c r="G1" s="18"/>
      <c r="H1" s="18"/>
      <c r="I1" s="18"/>
      <c r="J1" s="18"/>
      <c r="K1" s="18"/>
      <c r="L1" s="18"/>
      <c r="M1" s="18"/>
      <c r="N1" s="18"/>
      <c r="O1" s="18"/>
      <c r="P1" s="19"/>
    </row>
    <row r="2" spans="1:16" x14ac:dyDescent="0.3">
      <c r="A2" s="17"/>
      <c r="B2" s="20"/>
      <c r="C2" s="20"/>
      <c r="D2" s="20"/>
      <c r="E2" s="20"/>
      <c r="F2" s="20"/>
      <c r="G2" s="20"/>
      <c r="H2" s="20"/>
      <c r="I2" s="20"/>
      <c r="J2" s="20"/>
      <c r="K2" s="20"/>
      <c r="L2" s="20"/>
      <c r="M2" s="20"/>
      <c r="N2" s="20"/>
      <c r="O2" s="20"/>
      <c r="P2" s="21"/>
    </row>
    <row r="3" spans="1:16" x14ac:dyDescent="0.3">
      <c r="A3" s="1" t="s">
        <v>2</v>
      </c>
      <c r="B3" s="22" t="s">
        <v>3</v>
      </c>
      <c r="C3" s="22"/>
      <c r="D3" s="22"/>
      <c r="E3" s="22"/>
      <c r="F3" s="22"/>
      <c r="G3" s="22"/>
      <c r="H3" s="22"/>
      <c r="I3" s="22"/>
      <c r="J3" s="22"/>
      <c r="K3" s="22"/>
      <c r="L3" s="22"/>
      <c r="M3" s="22"/>
      <c r="N3" s="22"/>
      <c r="O3" s="22"/>
      <c r="P3" s="23"/>
    </row>
    <row r="4" spans="1:16" x14ac:dyDescent="0.3">
      <c r="A4" s="1" t="s">
        <v>4</v>
      </c>
      <c r="B4" s="22" t="s">
        <v>5</v>
      </c>
      <c r="C4" s="22"/>
      <c r="D4" s="22"/>
      <c r="E4" s="22"/>
      <c r="F4" s="22"/>
      <c r="G4" s="22"/>
      <c r="H4" s="22"/>
      <c r="I4" s="22"/>
      <c r="J4" s="22"/>
      <c r="K4" s="22"/>
      <c r="L4" s="22"/>
      <c r="M4" s="22"/>
      <c r="N4" s="22"/>
      <c r="O4" s="22"/>
      <c r="P4" s="23"/>
    </row>
    <row r="5" spans="1:16" x14ac:dyDescent="0.3">
      <c r="A5" s="14" t="s">
        <v>10</v>
      </c>
      <c r="B5" s="13" t="s">
        <v>11</v>
      </c>
      <c r="C5" s="13"/>
      <c r="D5" s="13"/>
      <c r="E5" s="13"/>
      <c r="F5" s="13"/>
      <c r="G5" s="13"/>
      <c r="H5" s="13"/>
      <c r="I5" s="13"/>
      <c r="J5" s="13"/>
      <c r="K5" s="13"/>
      <c r="L5" s="13"/>
      <c r="M5" s="13"/>
      <c r="N5" s="13"/>
      <c r="O5" s="13"/>
      <c r="P5" s="13"/>
    </row>
    <row r="6" spans="1:16" x14ac:dyDescent="0.3">
      <c r="A6" s="15"/>
      <c r="B6" s="13"/>
      <c r="C6" s="13"/>
      <c r="D6" s="13"/>
      <c r="E6" s="13"/>
      <c r="F6" s="13"/>
      <c r="G6" s="13"/>
      <c r="H6" s="13"/>
      <c r="I6" s="13"/>
      <c r="J6" s="13"/>
      <c r="K6" s="13"/>
      <c r="L6" s="13"/>
      <c r="M6" s="13"/>
      <c r="N6" s="13"/>
      <c r="O6" s="13"/>
      <c r="P6" s="13"/>
    </row>
    <row r="8" spans="1:16" ht="15" thickBot="1" x14ac:dyDescent="0.35">
      <c r="A8" s="1" t="s">
        <v>6</v>
      </c>
      <c r="B8" s="11" t="s">
        <v>7</v>
      </c>
      <c r="C8" s="11"/>
      <c r="D8" s="11"/>
      <c r="E8" s="11"/>
      <c r="F8" s="11"/>
      <c r="G8" s="11"/>
      <c r="H8" s="11"/>
      <c r="I8" s="11"/>
      <c r="J8" s="11"/>
      <c r="K8" s="11"/>
      <c r="L8" s="11"/>
      <c r="M8" s="11"/>
      <c r="N8" s="11"/>
      <c r="O8" s="11"/>
      <c r="P8" s="12"/>
    </row>
    <row r="9" spans="1:16" ht="15" thickBot="1" x14ac:dyDescent="0.35">
      <c r="A9" s="1" t="s">
        <v>8</v>
      </c>
      <c r="B9" s="11" t="s">
        <v>9</v>
      </c>
      <c r="C9" s="11"/>
      <c r="D9" s="11"/>
      <c r="E9" s="11"/>
      <c r="F9" s="11"/>
      <c r="G9" s="11"/>
      <c r="H9" s="11"/>
      <c r="I9" s="11"/>
      <c r="J9" s="11"/>
      <c r="K9" s="11"/>
      <c r="L9" s="11"/>
      <c r="M9" s="11"/>
      <c r="N9" s="11"/>
      <c r="O9" s="11"/>
      <c r="P9" s="12"/>
    </row>
    <row r="12" spans="1:16" x14ac:dyDescent="0.3">
      <c r="A12" s="2" t="s">
        <v>12</v>
      </c>
    </row>
  </sheetData>
  <mergeCells count="8">
    <mergeCell ref="B8:P8"/>
    <mergeCell ref="B9:P9"/>
    <mergeCell ref="B5:P6"/>
    <mergeCell ref="A5:A6"/>
    <mergeCell ref="A1:A2"/>
    <mergeCell ref="B1:P2"/>
    <mergeCell ref="B3:P3"/>
    <mergeCell ref="B4:P4"/>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3FFF4-05A2-4CD8-A3AC-9F8EC82C930B}">
  <sheetPr codeName="Sheet2"/>
  <dimension ref="A1:X126"/>
  <sheetViews>
    <sheetView tabSelected="1" workbookViewId="0">
      <selection activeCell="M10" sqref="M10"/>
    </sheetView>
  </sheetViews>
  <sheetFormatPr defaultRowHeight="14.4" x14ac:dyDescent="0.3"/>
  <cols>
    <col min="2" max="2" width="19" customWidth="1"/>
    <col min="4" max="4" width="11.5546875" bestFit="1" customWidth="1"/>
    <col min="7" max="7" width="16.33203125" customWidth="1"/>
    <col min="14" max="14" width="19.21875" customWidth="1"/>
    <col min="19" max="19" width="19.5546875" customWidth="1"/>
    <col min="23" max="23" width="17.33203125" customWidth="1"/>
  </cols>
  <sheetData>
    <row r="1" spans="1:24" x14ac:dyDescent="0.3">
      <c r="A1" t="s">
        <v>13</v>
      </c>
      <c r="G1" t="s">
        <v>30</v>
      </c>
      <c r="M1" t="s">
        <v>33</v>
      </c>
      <c r="S1" t="s">
        <v>36</v>
      </c>
    </row>
    <row r="3" spans="1:24" x14ac:dyDescent="0.3">
      <c r="G3" t="s">
        <v>31</v>
      </c>
      <c r="H3" s="3">
        <v>4</v>
      </c>
    </row>
    <row r="4" spans="1:24" x14ac:dyDescent="0.3">
      <c r="G4" s="5" t="s">
        <v>32</v>
      </c>
      <c r="M4" s="5" t="s">
        <v>35</v>
      </c>
    </row>
    <row r="6" spans="1:24" x14ac:dyDescent="0.3">
      <c r="A6" t="s">
        <v>14</v>
      </c>
      <c r="B6" t="s">
        <v>27</v>
      </c>
      <c r="D6" t="s">
        <v>28</v>
      </c>
      <c r="E6" t="s">
        <v>29</v>
      </c>
      <c r="G6" t="s">
        <v>28</v>
      </c>
      <c r="H6" t="s">
        <v>29</v>
      </c>
      <c r="M6" t="s">
        <v>28</v>
      </c>
      <c r="N6" t="s">
        <v>34</v>
      </c>
      <c r="S6" s="6" t="s">
        <v>37</v>
      </c>
    </row>
    <row r="7" spans="1:24" x14ac:dyDescent="0.3">
      <c r="A7" t="s">
        <v>15</v>
      </c>
      <c r="B7" s="3">
        <v>2.87</v>
      </c>
      <c r="D7" s="3">
        <f>1/12</f>
        <v>8.3333333333333329E-2</v>
      </c>
      <c r="E7" s="4">
        <f>B7/100</f>
        <v>2.87E-2</v>
      </c>
      <c r="G7" s="3" cm="1">
        <f t="array" ref="G7:H126">Interpolate(D7:E18,H3)</f>
        <v>0.25</v>
      </c>
      <c r="H7" s="4">
        <v>3.4599999999999999E-2</v>
      </c>
      <c r="M7" s="3" cm="1">
        <f t="array" ref="M7:N126">ForwardRate(H3,D7:E18)</f>
        <v>0.25</v>
      </c>
      <c r="N7" s="4">
        <v>3.4599999999999999E-2</v>
      </c>
      <c r="S7" t="s">
        <v>38</v>
      </c>
      <c r="T7">
        <v>10</v>
      </c>
      <c r="V7" s="5" t="s">
        <v>47</v>
      </c>
    </row>
    <row r="8" spans="1:24" x14ac:dyDescent="0.3">
      <c r="A8" t="s">
        <v>16</v>
      </c>
      <c r="B8" s="3">
        <v>3.26</v>
      </c>
      <c r="D8" s="3">
        <f>2/12</f>
        <v>0.16666666666666666</v>
      </c>
      <c r="E8" s="4">
        <f t="shared" ref="E8:E18" si="0">B8/100</f>
        <v>3.2599999999999997E-2</v>
      </c>
      <c r="G8" s="3">
        <v>0.5</v>
      </c>
      <c r="H8" s="4">
        <v>3.9699999999999999E-2</v>
      </c>
      <c r="M8" s="3">
        <v>0.5</v>
      </c>
      <c r="N8" s="4">
        <v>4.4806446735735861E-2</v>
      </c>
      <c r="S8" t="s">
        <v>39</v>
      </c>
      <c r="T8">
        <v>100</v>
      </c>
    </row>
    <row r="9" spans="1:24" x14ac:dyDescent="0.3">
      <c r="A9" t="s">
        <v>17</v>
      </c>
      <c r="B9" s="3">
        <v>3.46</v>
      </c>
      <c r="D9" s="3">
        <f>3/12</f>
        <v>0.25</v>
      </c>
      <c r="E9" s="4">
        <f t="shared" si="0"/>
        <v>3.4599999999999999E-2</v>
      </c>
      <c r="G9" s="3">
        <v>0.75</v>
      </c>
      <c r="H9" s="4">
        <v>3.9899999999999998E-2</v>
      </c>
      <c r="M9" s="3">
        <v>0.75</v>
      </c>
      <c r="N9" s="4">
        <v>4.0300029705667484E-2</v>
      </c>
      <c r="S9" t="s">
        <v>40</v>
      </c>
      <c r="T9" s="7">
        <v>6.4999999999999997E-3</v>
      </c>
      <c r="V9" s="6"/>
      <c r="W9" s="6" t="s">
        <v>43</v>
      </c>
      <c r="X9" s="6" cm="1">
        <f t="array" ref="X9">FRN(D7:E18,T11,T8,T12,T9)</f>
        <v>105.37699470116684</v>
      </c>
    </row>
    <row r="10" spans="1:24" x14ac:dyDescent="0.3">
      <c r="A10" t="s">
        <v>18</v>
      </c>
      <c r="B10" s="3">
        <v>3.97</v>
      </c>
      <c r="D10" s="3">
        <f>6/12</f>
        <v>0.5</v>
      </c>
      <c r="E10" s="4">
        <f t="shared" si="0"/>
        <v>3.9699999999999999E-2</v>
      </c>
      <c r="G10" s="3">
        <v>1</v>
      </c>
      <c r="H10" s="4">
        <v>4.0099999999999997E-2</v>
      </c>
      <c r="M10" s="3">
        <v>1</v>
      </c>
      <c r="N10" s="4">
        <v>4.0700059409370049E-2</v>
      </c>
      <c r="S10" t="s">
        <v>41</v>
      </c>
      <c r="T10" t="s">
        <v>42</v>
      </c>
    </row>
    <row r="11" spans="1:24" x14ac:dyDescent="0.3">
      <c r="A11" t="s">
        <v>19</v>
      </c>
      <c r="B11" s="3">
        <v>4.01</v>
      </c>
      <c r="D11" s="3">
        <v>1</v>
      </c>
      <c r="E11" s="4">
        <f t="shared" si="0"/>
        <v>4.0099999999999997E-2</v>
      </c>
      <c r="G11" s="3">
        <v>1.25</v>
      </c>
      <c r="H11" s="4">
        <v>4.0374999999999994E-2</v>
      </c>
      <c r="M11" s="3">
        <v>1.25</v>
      </c>
      <c r="N11" s="4">
        <v>4.14751871987038E-2</v>
      </c>
      <c r="S11" t="s">
        <v>31</v>
      </c>
      <c r="T11">
        <v>4</v>
      </c>
    </row>
    <row r="12" spans="1:24" x14ac:dyDescent="0.3">
      <c r="A12" t="s">
        <v>20</v>
      </c>
      <c r="B12" s="3">
        <v>4.12</v>
      </c>
      <c r="D12" s="3">
        <v>2</v>
      </c>
      <c r="E12" s="4">
        <f t="shared" si="0"/>
        <v>4.1200000000000001E-2</v>
      </c>
      <c r="G12" s="3">
        <v>1.5</v>
      </c>
      <c r="H12" s="4">
        <v>4.0649999999999999E-2</v>
      </c>
      <c r="M12" s="3">
        <v>1.5</v>
      </c>
      <c r="N12" s="4">
        <v>4.2025280785312091E-2</v>
      </c>
      <c r="S12" t="s">
        <v>48</v>
      </c>
      <c r="T12">
        <f>T11*T7</f>
        <v>40</v>
      </c>
    </row>
    <row r="13" spans="1:24" x14ac:dyDescent="0.3">
      <c r="A13" t="s">
        <v>21</v>
      </c>
      <c r="B13" s="3">
        <v>4.12</v>
      </c>
      <c r="D13" s="3">
        <v>3</v>
      </c>
      <c r="E13" s="4">
        <f t="shared" si="0"/>
        <v>4.1200000000000001E-2</v>
      </c>
      <c r="G13" s="3">
        <v>1.75</v>
      </c>
      <c r="H13" s="4">
        <v>4.0925000000000003E-2</v>
      </c>
      <c r="M13" s="3">
        <v>1.75</v>
      </c>
      <c r="N13" s="4">
        <v>4.2575393081592416E-2</v>
      </c>
    </row>
    <row r="14" spans="1:24" x14ac:dyDescent="0.3">
      <c r="A14" t="s">
        <v>22</v>
      </c>
      <c r="B14" s="3">
        <v>3.9</v>
      </c>
      <c r="D14" s="3">
        <v>5</v>
      </c>
      <c r="E14" s="4">
        <f t="shared" si="0"/>
        <v>3.9E-2</v>
      </c>
      <c r="G14" s="3">
        <v>2</v>
      </c>
      <c r="H14" s="4">
        <v>4.1200000000000001E-2</v>
      </c>
      <c r="M14" s="3">
        <v>2</v>
      </c>
      <c r="N14" s="4">
        <v>4.3125524085014355E-2</v>
      </c>
      <c r="S14" s="6"/>
    </row>
    <row r="15" spans="1:24" x14ac:dyDescent="0.3">
      <c r="A15" t="s">
        <v>23</v>
      </c>
      <c r="B15" s="3">
        <v>3.79</v>
      </c>
      <c r="D15" s="3">
        <v>7</v>
      </c>
      <c r="E15" s="4">
        <f t="shared" si="0"/>
        <v>3.7900000000000003E-2</v>
      </c>
      <c r="G15" s="3">
        <v>2.25</v>
      </c>
      <c r="H15" s="4">
        <v>4.1200000000000001E-2</v>
      </c>
      <c r="M15" s="3">
        <v>2.25</v>
      </c>
      <c r="N15" s="4">
        <v>4.1199999999999903E-2</v>
      </c>
    </row>
    <row r="16" spans="1:24" x14ac:dyDescent="0.3">
      <c r="A16" t="s">
        <v>24</v>
      </c>
      <c r="B16" s="3">
        <v>3.67</v>
      </c>
      <c r="D16" s="3">
        <v>10</v>
      </c>
      <c r="E16" s="4">
        <f t="shared" si="0"/>
        <v>3.6699999999999997E-2</v>
      </c>
      <c r="G16" s="3">
        <v>2.5</v>
      </c>
      <c r="H16" s="4">
        <v>4.1200000000000001E-2</v>
      </c>
      <c r="M16" s="3">
        <v>2.5</v>
      </c>
      <c r="N16" s="4">
        <v>4.1199999999999903E-2</v>
      </c>
    </row>
    <row r="17" spans="1:24" x14ac:dyDescent="0.3">
      <c r="A17" t="s">
        <v>25</v>
      </c>
      <c r="B17" s="3">
        <v>4</v>
      </c>
      <c r="D17" s="3">
        <v>20</v>
      </c>
      <c r="E17" s="4">
        <f t="shared" si="0"/>
        <v>0.04</v>
      </c>
      <c r="G17" s="3">
        <v>2.75</v>
      </c>
      <c r="H17" s="4">
        <v>4.1200000000000001E-2</v>
      </c>
      <c r="M17" s="3">
        <v>2.75</v>
      </c>
      <c r="N17" s="4">
        <v>4.1199999999999903E-2</v>
      </c>
      <c r="S17" s="8" t="s">
        <v>45</v>
      </c>
      <c r="T17" s="8"/>
    </row>
    <row r="18" spans="1:24" x14ac:dyDescent="0.3">
      <c r="A18" t="s">
        <v>26</v>
      </c>
      <c r="B18" s="3">
        <v>3.73</v>
      </c>
      <c r="D18" s="3">
        <v>30</v>
      </c>
      <c r="E18" s="4">
        <f t="shared" si="0"/>
        <v>3.73E-2</v>
      </c>
      <c r="G18" s="3">
        <v>3</v>
      </c>
      <c r="H18" s="4">
        <v>4.1200000000000001E-2</v>
      </c>
      <c r="M18" s="3">
        <v>3</v>
      </c>
      <c r="N18" s="4">
        <v>4.1200000000000792E-2</v>
      </c>
      <c r="S18" t="s">
        <v>28</v>
      </c>
      <c r="T18" t="s">
        <v>44</v>
      </c>
      <c r="U18" t="s">
        <v>46</v>
      </c>
      <c r="W18" s="6" t="s">
        <v>43</v>
      </c>
      <c r="X18" s="6">
        <f>SUM(U19:U59)</f>
        <v>105.37699470116667</v>
      </c>
    </row>
    <row r="19" spans="1:24" x14ac:dyDescent="0.3">
      <c r="G19" s="3">
        <v>3.25</v>
      </c>
      <c r="H19" s="4">
        <v>4.0925000000000003E-2</v>
      </c>
      <c r="M19" s="3">
        <v>3.25</v>
      </c>
      <c r="N19" s="4">
        <v>3.7626459288929048E-2</v>
      </c>
      <c r="S19" s="3">
        <v>0</v>
      </c>
      <c r="T19" s="9">
        <v>0</v>
      </c>
      <c r="U19">
        <v>0</v>
      </c>
      <c r="W19" s="10"/>
    </row>
    <row r="20" spans="1:24" x14ac:dyDescent="0.3">
      <c r="G20" s="3">
        <v>3.5</v>
      </c>
      <c r="H20" s="4">
        <v>4.0650000000000006E-2</v>
      </c>
      <c r="M20" s="3">
        <v>3.5</v>
      </c>
      <c r="N20" s="4">
        <v>3.7076702580977283E-2</v>
      </c>
      <c r="S20" s="3">
        <f>S19+0.25</f>
        <v>0.25</v>
      </c>
      <c r="T20" s="9">
        <f>$T$8*(($T$9+N7)/$T$11)</f>
        <v>1.0274999999999999</v>
      </c>
      <c r="U20" s="9">
        <f>T20*(1+H7/$T$11)^(-$T$11*S20)</f>
        <v>1.0186883458087541</v>
      </c>
    </row>
    <row r="21" spans="1:24" x14ac:dyDescent="0.3">
      <c r="G21" s="3">
        <v>3.75</v>
      </c>
      <c r="H21" s="4">
        <v>4.0375000000000008E-2</v>
      </c>
      <c r="M21" s="3">
        <v>3.75</v>
      </c>
      <c r="N21" s="4">
        <v>3.6526964605601009E-2</v>
      </c>
      <c r="S21" s="3">
        <f>S20+0.25</f>
        <v>0.5</v>
      </c>
      <c r="T21" s="9">
        <f t="shared" ref="T21:T58" si="1">$T$8*(($T$9+N8)/$T$11)</f>
        <v>1.2826611683933964</v>
      </c>
      <c r="U21" s="9">
        <f t="shared" ref="U21:U59" si="2">T21*(1+H8/$T$11)^(-$T$11*S21)</f>
        <v>1.2575744376500777</v>
      </c>
    </row>
    <row r="22" spans="1:24" x14ac:dyDescent="0.3">
      <c r="G22" s="3">
        <v>4</v>
      </c>
      <c r="H22" s="4">
        <v>4.0100000000000004E-2</v>
      </c>
      <c r="M22" s="3">
        <v>4</v>
      </c>
      <c r="N22" s="4">
        <v>3.597724536538216E-2</v>
      </c>
      <c r="S22" s="3">
        <f t="shared" ref="S22:S58" si="3">S21+0.25</f>
        <v>0.75</v>
      </c>
      <c r="T22" s="9">
        <f t="shared" si="1"/>
        <v>1.170000742641687</v>
      </c>
      <c r="U22" s="9">
        <f t="shared" si="2"/>
        <v>1.1356755241295322</v>
      </c>
    </row>
    <row r="23" spans="1:24" x14ac:dyDescent="0.3">
      <c r="G23" s="3">
        <v>4.25</v>
      </c>
      <c r="H23" s="4">
        <v>3.9824999999999999E-2</v>
      </c>
      <c r="M23" s="3">
        <v>4.25</v>
      </c>
      <c r="N23" s="4">
        <v>3.542754486287425E-2</v>
      </c>
      <c r="S23" s="3">
        <f t="shared" si="3"/>
        <v>1</v>
      </c>
      <c r="T23" s="9">
        <f t="shared" si="1"/>
        <v>1.1800014852342511</v>
      </c>
      <c r="U23" s="9">
        <f t="shared" si="2"/>
        <v>1.1338459676254418</v>
      </c>
    </row>
    <row r="24" spans="1:24" x14ac:dyDescent="0.3">
      <c r="G24" s="3">
        <v>4.5</v>
      </c>
      <c r="H24" s="4">
        <v>3.9550000000000002E-2</v>
      </c>
      <c r="M24" s="3">
        <v>4.5</v>
      </c>
      <c r="N24" s="4">
        <v>3.4877863100583717E-2</v>
      </c>
      <c r="S24" s="3">
        <f t="shared" si="3"/>
        <v>1.25</v>
      </c>
      <c r="T24" s="9">
        <f t="shared" si="1"/>
        <v>1.1993796799675949</v>
      </c>
      <c r="U24" s="9">
        <f t="shared" si="2"/>
        <v>1.1406391328310137</v>
      </c>
    </row>
    <row r="25" spans="1:24" x14ac:dyDescent="0.3">
      <c r="G25" s="3">
        <v>4.75</v>
      </c>
      <c r="H25" s="4">
        <v>3.9275000000000004E-2</v>
      </c>
      <c r="M25" s="3">
        <v>4.75</v>
      </c>
      <c r="N25" s="4">
        <v>3.4328200081104043E-2</v>
      </c>
      <c r="S25" s="3">
        <f t="shared" si="3"/>
        <v>1.5</v>
      </c>
      <c r="T25" s="9">
        <f t="shared" si="1"/>
        <v>1.2131320196328021</v>
      </c>
      <c r="U25" s="9">
        <f t="shared" si="2"/>
        <v>1.1417226374242084</v>
      </c>
    </row>
    <row r="26" spans="1:24" x14ac:dyDescent="0.3">
      <c r="G26" s="3">
        <v>5</v>
      </c>
      <c r="H26" s="4">
        <v>3.9E-2</v>
      </c>
      <c r="M26" s="3">
        <v>5</v>
      </c>
      <c r="N26" s="4">
        <v>3.377855580697009E-2</v>
      </c>
      <c r="S26" s="3">
        <f t="shared" si="3"/>
        <v>1.75</v>
      </c>
      <c r="T26" s="9">
        <f t="shared" si="1"/>
        <v>1.2268848270398103</v>
      </c>
      <c r="U26" s="9">
        <f t="shared" si="2"/>
        <v>1.1425052518003722</v>
      </c>
    </row>
    <row r="27" spans="1:24" x14ac:dyDescent="0.3">
      <c r="G27" s="3">
        <v>5.25</v>
      </c>
      <c r="H27" s="4">
        <v>3.8862500000000001E-2</v>
      </c>
      <c r="M27" s="3">
        <v>5.25</v>
      </c>
      <c r="N27" s="4">
        <v>3.611348278202442E-2</v>
      </c>
      <c r="S27" s="3">
        <f t="shared" si="3"/>
        <v>2</v>
      </c>
      <c r="T27" s="9">
        <f t="shared" si="1"/>
        <v>1.2406381021253587</v>
      </c>
      <c r="U27" s="9">
        <f t="shared" si="2"/>
        <v>1.1429896322594069</v>
      </c>
    </row>
    <row r="28" spans="1:24" x14ac:dyDescent="0.3">
      <c r="G28" s="3">
        <v>5.5</v>
      </c>
      <c r="H28" s="4">
        <v>3.8725000000000002E-2</v>
      </c>
      <c r="M28" s="3">
        <v>5.5</v>
      </c>
      <c r="N28" s="4">
        <v>3.5838581084775001E-2</v>
      </c>
      <c r="S28" s="3">
        <f t="shared" si="3"/>
        <v>2.25</v>
      </c>
      <c r="T28" s="9">
        <f t="shared" si="1"/>
        <v>1.1924999999999975</v>
      </c>
      <c r="U28" s="9">
        <f t="shared" si="2"/>
        <v>1.0874397669307017</v>
      </c>
    </row>
    <row r="29" spans="1:24" x14ac:dyDescent="0.3">
      <c r="G29" s="3">
        <v>5.75</v>
      </c>
      <c r="H29" s="4">
        <v>3.8587500000000004E-2</v>
      </c>
      <c r="M29" s="3">
        <v>5.75</v>
      </c>
      <c r="N29" s="4">
        <v>3.5563684072075219E-2</v>
      </c>
      <c r="S29" s="3">
        <f t="shared" si="3"/>
        <v>2.5</v>
      </c>
      <c r="T29" s="9">
        <f t="shared" si="1"/>
        <v>1.1924999999999975</v>
      </c>
      <c r="U29" s="9">
        <f t="shared" si="2"/>
        <v>1.0763533276558466</v>
      </c>
    </row>
    <row r="30" spans="1:24" x14ac:dyDescent="0.3">
      <c r="G30" s="3">
        <v>6</v>
      </c>
      <c r="H30" s="4">
        <v>3.8450000000000005E-2</v>
      </c>
      <c r="M30" s="3">
        <v>6</v>
      </c>
      <c r="N30" s="4">
        <v>3.5288791744301662E-2</v>
      </c>
      <c r="S30" s="3">
        <f t="shared" si="3"/>
        <v>2.75</v>
      </c>
      <c r="T30" s="9">
        <f t="shared" si="1"/>
        <v>1.1924999999999975</v>
      </c>
      <c r="U30" s="9">
        <f t="shared" si="2"/>
        <v>1.0653799145361245</v>
      </c>
    </row>
    <row r="31" spans="1:24" x14ac:dyDescent="0.3">
      <c r="G31" s="3">
        <v>6.25</v>
      </c>
      <c r="H31" s="4">
        <v>3.8312500000000006E-2</v>
      </c>
      <c r="M31" s="3">
        <v>6.25</v>
      </c>
      <c r="N31" s="4">
        <v>3.5013904101751869E-2</v>
      </c>
      <c r="S31" s="3">
        <f t="shared" si="3"/>
        <v>3</v>
      </c>
      <c r="T31" s="9">
        <f t="shared" si="1"/>
        <v>1.1925000000000197</v>
      </c>
      <c r="U31" s="9">
        <f t="shared" si="2"/>
        <v>1.0545183752708542</v>
      </c>
    </row>
    <row r="32" spans="1:24" x14ac:dyDescent="0.3">
      <c r="G32" s="3">
        <v>6.5</v>
      </c>
      <c r="H32" s="4">
        <v>3.8175000000000008E-2</v>
      </c>
      <c r="M32" s="3">
        <v>6.5</v>
      </c>
      <c r="N32" s="4">
        <v>3.4739021144747362E-2</v>
      </c>
      <c r="S32" s="3">
        <f t="shared" si="3"/>
        <v>3.25</v>
      </c>
      <c r="T32" s="9">
        <f t="shared" si="1"/>
        <v>1.1031614822232261</v>
      </c>
      <c r="U32" s="9">
        <f t="shared" si="2"/>
        <v>0.96642622705536996</v>
      </c>
    </row>
    <row r="33" spans="7:21" x14ac:dyDescent="0.3">
      <c r="G33" s="3">
        <v>6.75</v>
      </c>
      <c r="H33" s="4">
        <v>3.8037500000000002E-2</v>
      </c>
      <c r="M33" s="3">
        <v>6.75</v>
      </c>
      <c r="N33" s="4">
        <v>3.4464142873606995E-2</v>
      </c>
      <c r="S33" s="3">
        <f t="shared" si="3"/>
        <v>3.5</v>
      </c>
      <c r="T33" s="9">
        <f t="shared" si="1"/>
        <v>1.0894175645244319</v>
      </c>
      <c r="U33" s="9">
        <f t="shared" si="2"/>
        <v>0.94562072331183455</v>
      </c>
    </row>
    <row r="34" spans="7:21" x14ac:dyDescent="0.3">
      <c r="G34" s="3">
        <v>7</v>
      </c>
      <c r="H34" s="4">
        <v>3.7900000000000003E-2</v>
      </c>
      <c r="M34" s="3">
        <v>7</v>
      </c>
      <c r="N34" s="4">
        <v>3.418926928864785E-2</v>
      </c>
      <c r="S34" s="3">
        <f>S33+0.25</f>
        <v>3.75</v>
      </c>
      <c r="T34" s="9">
        <f t="shared" si="1"/>
        <v>1.0756741151400251</v>
      </c>
      <c r="U34" s="9">
        <f t="shared" si="2"/>
        <v>0.92524225725976428</v>
      </c>
    </row>
    <row r="35" spans="7:21" x14ac:dyDescent="0.3">
      <c r="G35" s="3">
        <v>7.25</v>
      </c>
      <c r="H35" s="4">
        <v>3.78E-2</v>
      </c>
      <c r="M35" s="3">
        <v>7.25</v>
      </c>
      <c r="N35" s="4">
        <v>3.5001005249076123E-2</v>
      </c>
      <c r="S35" s="3">
        <f t="shared" si="3"/>
        <v>4</v>
      </c>
      <c r="T35" s="9">
        <f t="shared" si="1"/>
        <v>1.0619311341345539</v>
      </c>
      <c r="U35" s="9">
        <f t="shared" si="2"/>
        <v>0.90527885734289448</v>
      </c>
    </row>
    <row r="36" spans="7:21" x14ac:dyDescent="0.3">
      <c r="G36" s="3">
        <v>7.5</v>
      </c>
      <c r="H36" s="4">
        <v>3.7699999999999997E-2</v>
      </c>
      <c r="M36" s="3">
        <v>7.5</v>
      </c>
      <c r="N36" s="4">
        <v>3.4801077070359732E-2</v>
      </c>
      <c r="S36" s="3">
        <f t="shared" si="3"/>
        <v>4.25</v>
      </c>
      <c r="T36" s="9">
        <f t="shared" si="1"/>
        <v>1.0481886215718561</v>
      </c>
      <c r="U36" s="9">
        <f t="shared" si="2"/>
        <v>0.88571887966782925</v>
      </c>
    </row>
    <row r="37" spans="7:21" x14ac:dyDescent="0.3">
      <c r="G37" s="3">
        <v>7.75</v>
      </c>
      <c r="H37" s="4">
        <v>3.7599999999999995E-2</v>
      </c>
      <c r="M37" s="3">
        <v>7.75</v>
      </c>
      <c r="N37" s="4">
        <v>3.4601151370078576E-2</v>
      </c>
      <c r="S37" s="3">
        <f t="shared" si="3"/>
        <v>4.5</v>
      </c>
      <c r="T37" s="9">
        <f t="shared" si="1"/>
        <v>1.0344465775145928</v>
      </c>
      <c r="U37" s="9">
        <f t="shared" si="2"/>
        <v>0.86655099730406793</v>
      </c>
    </row>
    <row r="38" spans="7:21" x14ac:dyDescent="0.3">
      <c r="G38" s="3">
        <v>8</v>
      </c>
      <c r="H38" s="4">
        <v>3.7499999999999992E-2</v>
      </c>
      <c r="M38" s="3">
        <v>8</v>
      </c>
      <c r="N38" s="4">
        <v>3.4401228148326801E-2</v>
      </c>
      <c r="S38" s="3">
        <f t="shared" si="3"/>
        <v>4.75</v>
      </c>
      <c r="T38" s="9">
        <f t="shared" si="1"/>
        <v>1.0207050020276009</v>
      </c>
      <c r="U38" s="9">
        <f t="shared" si="2"/>
        <v>0.84776418993575853</v>
      </c>
    </row>
    <row r="39" spans="7:21" x14ac:dyDescent="0.3">
      <c r="G39" s="3">
        <v>8.25</v>
      </c>
      <c r="H39" s="4">
        <v>3.7399999999999989E-2</v>
      </c>
      <c r="M39" s="3">
        <v>8.25</v>
      </c>
      <c r="N39" s="4">
        <v>3.4201307405312242E-2</v>
      </c>
      <c r="S39" s="3">
        <f t="shared" si="3"/>
        <v>5</v>
      </c>
      <c r="T39" s="9">
        <f t="shared" si="1"/>
        <v>1.0069638951742521</v>
      </c>
      <c r="U39" s="9">
        <f t="shared" si="2"/>
        <v>0.82934773384339666</v>
      </c>
    </row>
    <row r="40" spans="7:21" x14ac:dyDescent="0.3">
      <c r="G40" s="3">
        <v>8.5</v>
      </c>
      <c r="H40" s="4">
        <v>3.7299999999999993E-2</v>
      </c>
      <c r="M40" s="3">
        <v>8.5</v>
      </c>
      <c r="N40" s="4">
        <v>3.4001389141074867E-2</v>
      </c>
      <c r="S40" s="3">
        <f t="shared" si="3"/>
        <v>5.25</v>
      </c>
      <c r="T40" s="9">
        <f t="shared" si="1"/>
        <v>1.0653370695506104</v>
      </c>
      <c r="U40" s="9">
        <f t="shared" si="2"/>
        <v>0.8695737573043939</v>
      </c>
    </row>
    <row r="41" spans="7:21" x14ac:dyDescent="0.3">
      <c r="G41" s="3">
        <v>8.75</v>
      </c>
      <c r="H41" s="4">
        <v>3.7199999999999997E-2</v>
      </c>
      <c r="M41" s="3">
        <v>8.75</v>
      </c>
      <c r="N41" s="4">
        <v>3.3801473355762113E-2</v>
      </c>
      <c r="S41" s="3">
        <f t="shared" si="3"/>
        <v>5.5</v>
      </c>
      <c r="T41" s="9">
        <f t="shared" si="1"/>
        <v>1.0584645271193749</v>
      </c>
      <c r="U41" s="9">
        <f t="shared" si="2"/>
        <v>0.85629202098221768</v>
      </c>
    </row>
    <row r="42" spans="7:21" x14ac:dyDescent="0.3">
      <c r="G42" s="3">
        <v>9</v>
      </c>
      <c r="H42" s="4">
        <v>3.7099999999999994E-2</v>
      </c>
      <c r="M42" s="3">
        <v>9</v>
      </c>
      <c r="N42" s="4">
        <v>3.3601560049469015E-2</v>
      </c>
      <c r="S42" s="3">
        <f t="shared" si="3"/>
        <v>5.75</v>
      </c>
      <c r="T42" s="9">
        <f t="shared" si="1"/>
        <v>1.0515921018018803</v>
      </c>
      <c r="U42" s="9">
        <f t="shared" si="2"/>
        <v>0.84323512950233348</v>
      </c>
    </row>
    <row r="43" spans="7:21" x14ac:dyDescent="0.3">
      <c r="G43" s="3">
        <v>9.25</v>
      </c>
      <c r="H43" s="4">
        <v>3.6999999999999991E-2</v>
      </c>
      <c r="M43" s="3">
        <v>9.25</v>
      </c>
      <c r="N43" s="4">
        <v>3.3401649222409624E-2</v>
      </c>
      <c r="S43" s="3">
        <f t="shared" si="3"/>
        <v>6</v>
      </c>
      <c r="T43" s="9">
        <f t="shared" si="1"/>
        <v>1.0447197936075414</v>
      </c>
      <c r="U43" s="9">
        <f t="shared" si="2"/>
        <v>0.83039852444839013</v>
      </c>
    </row>
    <row r="44" spans="7:21" x14ac:dyDescent="0.3">
      <c r="G44" s="3">
        <v>9.5</v>
      </c>
      <c r="H44" s="4">
        <v>3.6899999999999995E-2</v>
      </c>
      <c r="M44" s="3">
        <v>9.5</v>
      </c>
      <c r="N44" s="4">
        <v>3.3201740874614138E-2</v>
      </c>
      <c r="S44" s="3">
        <f t="shared" si="3"/>
        <v>6.25</v>
      </c>
      <c r="T44" s="9">
        <f t="shared" si="1"/>
        <v>1.0378476025437966</v>
      </c>
      <c r="U44" s="9">
        <f t="shared" si="2"/>
        <v>0.81777774577851903</v>
      </c>
    </row>
    <row r="45" spans="7:21" x14ac:dyDescent="0.3">
      <c r="G45" s="3">
        <v>9.75</v>
      </c>
      <c r="H45" s="4">
        <v>3.6799999999999999E-2</v>
      </c>
      <c r="M45" s="3">
        <v>9.75</v>
      </c>
      <c r="N45" s="4">
        <v>3.3001835006236213E-2</v>
      </c>
      <c r="S45" s="3">
        <f>S44+0.25</f>
        <v>6.5</v>
      </c>
      <c r="T45" s="9">
        <f t="shared" si="1"/>
        <v>1.0309755286186839</v>
      </c>
      <c r="U45" s="9">
        <f t="shared" si="2"/>
        <v>0.80536842948047993</v>
      </c>
    </row>
    <row r="46" spans="7:21" x14ac:dyDescent="0.3">
      <c r="G46" s="3">
        <v>10</v>
      </c>
      <c r="H46" s="4">
        <v>3.6699999999999997E-2</v>
      </c>
      <c r="M46" s="3">
        <v>10</v>
      </c>
      <c r="N46" s="4">
        <v>3.2801931617363778E-2</v>
      </c>
      <c r="S46" s="3">
        <f t="shared" si="3"/>
        <v>6.75</v>
      </c>
      <c r="T46" s="9">
        <f t="shared" si="1"/>
        <v>1.0241035718401748</v>
      </c>
      <c r="U46" s="9">
        <f t="shared" si="2"/>
        <v>0.79316630528310039</v>
      </c>
    </row>
    <row r="47" spans="7:21" x14ac:dyDescent="0.3">
      <c r="G47" s="3">
        <v>10.25</v>
      </c>
      <c r="H47" s="4">
        <v>3.6782499999999996E-2</v>
      </c>
      <c r="M47" s="3">
        <v>10.25</v>
      </c>
      <c r="N47" s="4">
        <v>4.0083882963359407E-2</v>
      </c>
      <c r="S47" s="3">
        <f t="shared" si="3"/>
        <v>7</v>
      </c>
      <c r="T47" s="9">
        <f t="shared" si="1"/>
        <v>1.0172317322161961</v>
      </c>
      <c r="U47" s="9">
        <f t="shared" si="2"/>
        <v>0.78116719442563287</v>
      </c>
    </row>
    <row r="48" spans="7:21" x14ac:dyDescent="0.3">
      <c r="G48" s="3">
        <v>10.5</v>
      </c>
      <c r="H48" s="4">
        <v>3.6864999999999995E-2</v>
      </c>
      <c r="M48" s="3">
        <v>10.5</v>
      </c>
      <c r="N48" s="4">
        <v>4.0248952091698875E-2</v>
      </c>
      <c r="S48" s="3">
        <f>S47+0.25</f>
        <v>7.25</v>
      </c>
      <c r="T48" s="9">
        <f t="shared" si="1"/>
        <v>1.0375251312269029</v>
      </c>
      <c r="U48" s="9">
        <f t="shared" si="2"/>
        <v>0.78983989513201802</v>
      </c>
    </row>
    <row r="49" spans="7:21" x14ac:dyDescent="0.3">
      <c r="G49" s="3">
        <v>10.75</v>
      </c>
      <c r="H49" s="4">
        <v>3.6947499999999994E-2</v>
      </c>
      <c r="M49" s="3">
        <v>10.75</v>
      </c>
      <c r="N49" s="4">
        <v>4.0414022904720959E-2</v>
      </c>
      <c r="S49" s="3">
        <f t="shared" si="3"/>
        <v>7.5</v>
      </c>
      <c r="T49" s="9">
        <f t="shared" si="1"/>
        <v>1.0325269267589932</v>
      </c>
      <c r="U49" s="9">
        <f t="shared" si="2"/>
        <v>0.779255167115247</v>
      </c>
    </row>
    <row r="50" spans="7:21" x14ac:dyDescent="0.3">
      <c r="G50" s="3">
        <v>11</v>
      </c>
      <c r="H50" s="4">
        <v>3.7029999999999993E-2</v>
      </c>
      <c r="M50" s="3">
        <v>11</v>
      </c>
      <c r="N50" s="4">
        <v>4.0579095402211607E-2</v>
      </c>
      <c r="S50" s="3">
        <f t="shared" si="3"/>
        <v>7.75</v>
      </c>
      <c r="T50" s="9">
        <f t="shared" si="1"/>
        <v>1.0275287842519643</v>
      </c>
      <c r="U50" s="9">
        <f t="shared" si="2"/>
        <v>0.76883241294350591</v>
      </c>
    </row>
    <row r="51" spans="7:21" x14ac:dyDescent="0.3">
      <c r="G51" s="3">
        <v>11.25</v>
      </c>
      <c r="H51" s="4">
        <v>3.7112499999999993E-2</v>
      </c>
      <c r="M51" s="3">
        <v>11.25</v>
      </c>
      <c r="N51" s="4">
        <v>4.0744169584249867E-2</v>
      </c>
      <c r="S51" s="3">
        <f t="shared" si="3"/>
        <v>8</v>
      </c>
      <c r="T51" s="9">
        <f t="shared" si="1"/>
        <v>1.0225307037081699</v>
      </c>
      <c r="U51" s="9">
        <f t="shared" si="2"/>
        <v>0.7585687528198195</v>
      </c>
    </row>
    <row r="52" spans="7:21" x14ac:dyDescent="0.3">
      <c r="G52" s="3">
        <v>11.5</v>
      </c>
      <c r="H52" s="4">
        <v>3.7194999999999992E-2</v>
      </c>
      <c r="M52" s="3">
        <v>11.5</v>
      </c>
      <c r="N52" s="4">
        <v>4.0909245450613696E-2</v>
      </c>
      <c r="S52" s="3">
        <f>S51+0.25</f>
        <v>8.25</v>
      </c>
      <c r="T52" s="9">
        <f t="shared" si="1"/>
        <v>1.0175326851328059</v>
      </c>
      <c r="U52" s="9">
        <f t="shared" si="2"/>
        <v>0.74846136219367254</v>
      </c>
    </row>
    <row r="53" spans="7:21" x14ac:dyDescent="0.3">
      <c r="G53" s="3">
        <v>11.75</v>
      </c>
      <c r="H53" s="4">
        <v>3.7277499999999991E-2</v>
      </c>
      <c r="M53" s="3">
        <v>11.75</v>
      </c>
      <c r="N53" s="4">
        <v>4.1074323001392798E-2</v>
      </c>
      <c r="S53" s="3">
        <f t="shared" si="3"/>
        <v>8.5</v>
      </c>
      <c r="T53" s="9">
        <f t="shared" si="1"/>
        <v>1.0125347285268715</v>
      </c>
      <c r="U53" s="9">
        <f t="shared" si="2"/>
        <v>0.73850747060074962</v>
      </c>
    </row>
    <row r="54" spans="7:21" x14ac:dyDescent="0.3">
      <c r="G54" s="3">
        <v>12</v>
      </c>
      <c r="H54" s="4">
        <v>3.735999999999999E-2</v>
      </c>
      <c r="M54" s="3">
        <v>12</v>
      </c>
      <c r="N54" s="4">
        <v>4.1239402236356248E-2</v>
      </c>
      <c r="S54" s="3">
        <f>S53+0.25</f>
        <v>8.75</v>
      </c>
      <c r="T54" s="9">
        <f t="shared" si="1"/>
        <v>1.0075368338940527</v>
      </c>
      <c r="U54" s="9">
        <f t="shared" si="2"/>
        <v>0.72870436053850973</v>
      </c>
    </row>
    <row r="55" spans="7:21" x14ac:dyDescent="0.3">
      <c r="G55" s="3">
        <v>12.25</v>
      </c>
      <c r="H55" s="4">
        <v>3.744249999999999E-2</v>
      </c>
      <c r="M55" s="3">
        <v>12.25</v>
      </c>
      <c r="N55" s="4">
        <v>4.1404483155599969E-2</v>
      </c>
      <c r="S55" s="3">
        <f t="shared" si="3"/>
        <v>9</v>
      </c>
      <c r="T55" s="9">
        <f t="shared" si="1"/>
        <v>1.0025390012367252</v>
      </c>
      <c r="U55" s="9">
        <f t="shared" si="2"/>
        <v>0.7190493663587384</v>
      </c>
    </row>
    <row r="56" spans="7:21" x14ac:dyDescent="0.3">
      <c r="G56" s="3">
        <v>12.5</v>
      </c>
      <c r="H56" s="4">
        <v>3.7524999999999989E-2</v>
      </c>
      <c r="M56" s="3">
        <v>12.5</v>
      </c>
      <c r="N56" s="4">
        <v>4.1569565758885929E-2</v>
      </c>
      <c r="S56" s="3">
        <f t="shared" si="3"/>
        <v>9.25</v>
      </c>
      <c r="T56" s="9">
        <f t="shared" si="1"/>
        <v>0.99754123056024058</v>
      </c>
      <c r="U56" s="9">
        <f t="shared" si="2"/>
        <v>0.70953987319049672</v>
      </c>
    </row>
    <row r="57" spans="7:21" x14ac:dyDescent="0.3">
      <c r="G57" s="3">
        <v>12.75</v>
      </c>
      <c r="H57" s="4">
        <v>3.7607499999999988E-2</v>
      </c>
      <c r="M57" s="3">
        <v>12.75</v>
      </c>
      <c r="N57" s="4">
        <v>4.1734650046319821E-2</v>
      </c>
      <c r="S57" s="3">
        <f>S56+0.25</f>
        <v>9.5</v>
      </c>
      <c r="T57" s="9">
        <f t="shared" si="1"/>
        <v>0.99254352186535344</v>
      </c>
      <c r="U57" s="9">
        <f t="shared" si="2"/>
        <v>0.70017331587842591</v>
      </c>
    </row>
    <row r="58" spans="7:21" x14ac:dyDescent="0.3">
      <c r="G58" s="3">
        <v>13</v>
      </c>
      <c r="H58" s="4">
        <v>3.7689999999999987E-2</v>
      </c>
      <c r="M58" s="3">
        <v>13</v>
      </c>
      <c r="N58" s="4">
        <v>4.1899736017654732E-2</v>
      </c>
      <c r="S58" s="3">
        <f t="shared" si="3"/>
        <v>9.75</v>
      </c>
      <c r="T58" s="9">
        <f t="shared" si="1"/>
        <v>0.98754587515590531</v>
      </c>
      <c r="U58" s="9">
        <f t="shared" si="2"/>
        <v>0.69094717795519545</v>
      </c>
    </row>
    <row r="59" spans="7:21" x14ac:dyDescent="0.3">
      <c r="G59" s="3">
        <v>13.25</v>
      </c>
      <c r="H59" s="4">
        <v>3.7772499999999987E-2</v>
      </c>
      <c r="M59" s="3">
        <v>13.25</v>
      </c>
      <c r="N59" s="4">
        <v>4.2064823673001683E-2</v>
      </c>
      <c r="S59" s="3">
        <f>S58+0.25</f>
        <v>10</v>
      </c>
      <c r="T59" s="9">
        <f>$T$8*(($T$9+N46)/$T$11)+T8</f>
        <v>100.9825482904341</v>
      </c>
      <c r="U59" s="9">
        <f t="shared" si="2"/>
        <v>70.078854259591978</v>
      </c>
    </row>
    <row r="60" spans="7:21" x14ac:dyDescent="0.3">
      <c r="G60" s="3">
        <v>13.5</v>
      </c>
      <c r="H60" s="4">
        <v>3.7854999999999986E-2</v>
      </c>
      <c r="M60" s="3">
        <v>13.5</v>
      </c>
      <c r="N60" s="4">
        <v>4.2229913012157283E-2</v>
      </c>
    </row>
    <row r="61" spans="7:21" x14ac:dyDescent="0.3">
      <c r="G61" s="3">
        <v>13.75</v>
      </c>
      <c r="H61" s="4">
        <v>3.7937499999999985E-2</v>
      </c>
      <c r="M61" s="3">
        <v>13.75</v>
      </c>
      <c r="N61" s="4">
        <v>4.2395004035046036E-2</v>
      </c>
    </row>
    <row r="62" spans="7:21" x14ac:dyDescent="0.3">
      <c r="G62" s="3">
        <v>14</v>
      </c>
      <c r="H62" s="4">
        <v>3.8019999999999984E-2</v>
      </c>
      <c r="M62" s="3">
        <v>14</v>
      </c>
      <c r="N62" s="4">
        <v>4.2560096741748765E-2</v>
      </c>
    </row>
    <row r="63" spans="7:21" x14ac:dyDescent="0.3">
      <c r="G63" s="3">
        <v>14.25</v>
      </c>
      <c r="H63" s="4">
        <v>3.8102499999999984E-2</v>
      </c>
      <c r="M63" s="3">
        <v>14.25</v>
      </c>
      <c r="N63" s="4">
        <v>4.272519113199813E-2</v>
      </c>
    </row>
    <row r="64" spans="7:21" x14ac:dyDescent="0.3">
      <c r="G64" s="3">
        <v>14.5</v>
      </c>
      <c r="H64" s="4">
        <v>3.8184999999999983E-2</v>
      </c>
      <c r="M64" s="3">
        <v>14.5</v>
      </c>
      <c r="N64" s="4">
        <v>4.2890287205925581E-2</v>
      </c>
    </row>
    <row r="65" spans="7:14" x14ac:dyDescent="0.3">
      <c r="G65" s="3">
        <v>14.75</v>
      </c>
      <c r="H65" s="4">
        <v>3.8267499999999982E-2</v>
      </c>
      <c r="M65" s="3">
        <v>14.75</v>
      </c>
      <c r="N65" s="4">
        <v>4.3055384963259336E-2</v>
      </c>
    </row>
    <row r="66" spans="7:14" x14ac:dyDescent="0.3">
      <c r="G66" s="3">
        <v>15</v>
      </c>
      <c r="H66" s="4">
        <v>3.8349999999999981E-2</v>
      </c>
      <c r="M66" s="3">
        <v>15</v>
      </c>
      <c r="N66" s="4">
        <v>4.3220484404137949E-2</v>
      </c>
    </row>
    <row r="67" spans="7:14" x14ac:dyDescent="0.3">
      <c r="G67" s="3">
        <v>15.25</v>
      </c>
      <c r="H67" s="4">
        <v>3.8432499999999981E-2</v>
      </c>
      <c r="M67" s="3">
        <v>15.25</v>
      </c>
      <c r="N67" s="4">
        <v>4.3385585528279869E-2</v>
      </c>
    </row>
    <row r="68" spans="7:14" x14ac:dyDescent="0.3">
      <c r="G68" s="3">
        <v>15.5</v>
      </c>
      <c r="H68" s="4">
        <v>3.851499999999998E-2</v>
      </c>
      <c r="M68" s="3">
        <v>15.5</v>
      </c>
      <c r="N68" s="4">
        <v>4.3550688335832533E-2</v>
      </c>
    </row>
    <row r="69" spans="7:14" x14ac:dyDescent="0.3">
      <c r="G69" s="3">
        <v>15.75</v>
      </c>
      <c r="H69" s="4">
        <v>3.8597499999999979E-2</v>
      </c>
      <c r="M69" s="3">
        <v>15.75</v>
      </c>
      <c r="N69" s="4">
        <v>4.3715792826509059E-2</v>
      </c>
    </row>
    <row r="70" spans="7:14" x14ac:dyDescent="0.3">
      <c r="G70" s="3">
        <v>16</v>
      </c>
      <c r="H70" s="4">
        <v>3.8679999999999978E-2</v>
      </c>
      <c r="M70" s="3">
        <v>16</v>
      </c>
      <c r="N70" s="4">
        <v>4.3880899000461326E-2</v>
      </c>
    </row>
    <row r="71" spans="7:14" x14ac:dyDescent="0.3">
      <c r="G71" s="3">
        <v>16.25</v>
      </c>
      <c r="H71" s="4">
        <v>3.8762499999999978E-2</v>
      </c>
      <c r="M71" s="3">
        <v>16.25</v>
      </c>
      <c r="N71" s="4">
        <v>4.4046006857396236E-2</v>
      </c>
    </row>
    <row r="72" spans="7:14" x14ac:dyDescent="0.3">
      <c r="G72" s="3">
        <v>16.5</v>
      </c>
      <c r="H72" s="4">
        <v>3.8844999999999977E-2</v>
      </c>
      <c r="M72" s="3">
        <v>16.5</v>
      </c>
      <c r="N72" s="4">
        <v>4.4211116397472772E-2</v>
      </c>
    </row>
    <row r="73" spans="7:14" x14ac:dyDescent="0.3">
      <c r="G73" s="3">
        <v>16.75</v>
      </c>
      <c r="H73" s="4">
        <v>3.8927499999999976E-2</v>
      </c>
      <c r="M73" s="3">
        <v>16.75</v>
      </c>
      <c r="N73" s="4">
        <v>4.4376227620390729E-2</v>
      </c>
    </row>
    <row r="74" spans="7:14" x14ac:dyDescent="0.3">
      <c r="G74" s="3">
        <v>17</v>
      </c>
      <c r="H74" s="4">
        <v>3.9009999999999975E-2</v>
      </c>
      <c r="M74" s="3">
        <v>17</v>
      </c>
      <c r="N74" s="4">
        <v>4.4541340526316198E-2</v>
      </c>
    </row>
    <row r="75" spans="7:14" x14ac:dyDescent="0.3">
      <c r="G75" s="3">
        <v>17.25</v>
      </c>
      <c r="H75" s="4">
        <v>3.9092499999999974E-2</v>
      </c>
      <c r="M75" s="3">
        <v>17.25</v>
      </c>
      <c r="N75" s="4">
        <v>4.4706455114942756E-2</v>
      </c>
    </row>
    <row r="76" spans="7:14" x14ac:dyDescent="0.3">
      <c r="G76" s="3">
        <v>17.5</v>
      </c>
      <c r="H76" s="4">
        <v>3.9174999999999974E-2</v>
      </c>
      <c r="M76" s="3">
        <v>17.5</v>
      </c>
      <c r="N76" s="4">
        <v>4.487157138644271E-2</v>
      </c>
    </row>
    <row r="77" spans="7:14" x14ac:dyDescent="0.3">
      <c r="G77" s="3">
        <v>17.75</v>
      </c>
      <c r="H77" s="4">
        <v>3.9257499999999973E-2</v>
      </c>
      <c r="M77" s="3">
        <v>17.75</v>
      </c>
      <c r="N77" s="4">
        <v>4.5036689340500757E-2</v>
      </c>
    </row>
    <row r="78" spans="7:14" x14ac:dyDescent="0.3">
      <c r="G78" s="3">
        <v>18</v>
      </c>
      <c r="H78" s="4">
        <v>3.9339999999999979E-2</v>
      </c>
      <c r="M78" s="3">
        <v>18</v>
      </c>
      <c r="N78" s="4">
        <v>4.5201808977298974E-2</v>
      </c>
    </row>
    <row r="79" spans="7:14" x14ac:dyDescent="0.3">
      <c r="G79" s="3">
        <v>18.25</v>
      </c>
      <c r="H79" s="4">
        <v>3.9422499999999985E-2</v>
      </c>
      <c r="M79" s="3">
        <v>18.25</v>
      </c>
      <c r="N79" s="4">
        <v>4.5366930296515839E-2</v>
      </c>
    </row>
    <row r="80" spans="7:14" x14ac:dyDescent="0.3">
      <c r="G80" s="3">
        <v>18.5</v>
      </c>
      <c r="H80" s="4">
        <v>3.9504999999999985E-2</v>
      </c>
      <c r="M80" s="3">
        <v>18.5</v>
      </c>
      <c r="N80" s="4">
        <v>4.5532053298337871E-2</v>
      </c>
    </row>
    <row r="81" spans="7:14" x14ac:dyDescent="0.3">
      <c r="G81" s="3">
        <v>18.75</v>
      </c>
      <c r="H81" s="4">
        <v>3.9587499999999984E-2</v>
      </c>
      <c r="M81" s="3">
        <v>18.75</v>
      </c>
      <c r="N81" s="4">
        <v>4.5697177982437331E-2</v>
      </c>
    </row>
    <row r="82" spans="7:14" x14ac:dyDescent="0.3">
      <c r="G82" s="3">
        <v>19</v>
      </c>
      <c r="H82" s="4">
        <v>3.966999999999999E-2</v>
      </c>
      <c r="M82" s="3">
        <v>19</v>
      </c>
      <c r="N82" s="4">
        <v>4.5862304349008731E-2</v>
      </c>
    </row>
    <row r="83" spans="7:14" x14ac:dyDescent="0.3">
      <c r="G83" s="3">
        <v>19.25</v>
      </c>
      <c r="H83" s="4">
        <v>3.9752499999999996E-2</v>
      </c>
      <c r="M83" s="3">
        <v>19.25</v>
      </c>
      <c r="N83" s="4">
        <v>4.6027432397715451E-2</v>
      </c>
    </row>
    <row r="84" spans="7:14" x14ac:dyDescent="0.3">
      <c r="G84" s="3">
        <v>19.5</v>
      </c>
      <c r="H84" s="4">
        <v>3.9834999999999995E-2</v>
      </c>
      <c r="M84" s="3">
        <v>19.5</v>
      </c>
      <c r="N84" s="4">
        <v>4.6192562128759107E-2</v>
      </c>
    </row>
    <row r="85" spans="7:14" x14ac:dyDescent="0.3">
      <c r="G85" s="3">
        <v>19.75</v>
      </c>
      <c r="H85" s="4">
        <v>3.9917499999999995E-2</v>
      </c>
      <c r="M85" s="3">
        <v>19.75</v>
      </c>
      <c r="N85" s="4">
        <v>4.6357693541797751E-2</v>
      </c>
    </row>
    <row r="86" spans="7:14" x14ac:dyDescent="0.3">
      <c r="G86" s="3">
        <v>20</v>
      </c>
      <c r="H86" s="4">
        <v>0.04</v>
      </c>
      <c r="M86" s="3">
        <v>20</v>
      </c>
      <c r="N86" s="4">
        <v>4.6522826637041881E-2</v>
      </c>
    </row>
    <row r="87" spans="7:14" x14ac:dyDescent="0.3">
      <c r="G87" s="3">
        <v>20.25</v>
      </c>
      <c r="H87" s="4">
        <v>3.9932500000000003E-2</v>
      </c>
      <c r="M87" s="3">
        <v>20.25</v>
      </c>
      <c r="N87" s="4">
        <v>3.4536152415112653E-2</v>
      </c>
    </row>
    <row r="88" spans="7:14" x14ac:dyDescent="0.3">
      <c r="G88" s="3">
        <v>20.5</v>
      </c>
      <c r="H88" s="4">
        <v>3.9865000000000005E-2</v>
      </c>
      <c r="M88" s="3">
        <v>20.5</v>
      </c>
      <c r="N88" s="4">
        <v>3.4401243767168133E-2</v>
      </c>
    </row>
    <row r="89" spans="7:14" x14ac:dyDescent="0.3">
      <c r="G89" s="3">
        <v>20.75</v>
      </c>
      <c r="H89" s="4">
        <v>3.9797500000000006E-2</v>
      </c>
      <c r="M89" s="3">
        <v>20.75</v>
      </c>
      <c r="N89" s="4">
        <v>3.4266336248570894E-2</v>
      </c>
    </row>
    <row r="90" spans="7:14" x14ac:dyDescent="0.3">
      <c r="G90" s="3">
        <v>21</v>
      </c>
      <c r="H90" s="4">
        <v>3.9730000000000008E-2</v>
      </c>
      <c r="M90" s="3">
        <v>21</v>
      </c>
      <c r="N90" s="4">
        <v>3.413142985935913E-2</v>
      </c>
    </row>
    <row r="91" spans="7:14" x14ac:dyDescent="0.3">
      <c r="G91" s="3">
        <v>21.25</v>
      </c>
      <c r="H91" s="4">
        <v>3.966250000000001E-2</v>
      </c>
      <c r="M91" s="3">
        <v>21.25</v>
      </c>
      <c r="N91" s="4">
        <v>3.3996524599645639E-2</v>
      </c>
    </row>
    <row r="92" spans="7:14" x14ac:dyDescent="0.3">
      <c r="G92" s="3">
        <v>21.5</v>
      </c>
      <c r="H92" s="4">
        <v>3.9595000000000012E-2</v>
      </c>
      <c r="M92" s="3">
        <v>21.5</v>
      </c>
      <c r="N92" s="4">
        <v>3.3861620469242126E-2</v>
      </c>
    </row>
    <row r="93" spans="7:14" x14ac:dyDescent="0.3">
      <c r="G93" s="3">
        <v>21.75</v>
      </c>
      <c r="H93" s="4">
        <v>3.9527500000000014E-2</v>
      </c>
      <c r="M93" s="3">
        <v>21.75</v>
      </c>
      <c r="N93" s="4">
        <v>3.372671746841327E-2</v>
      </c>
    </row>
    <row r="94" spans="7:14" x14ac:dyDescent="0.3">
      <c r="G94" s="3">
        <v>22</v>
      </c>
      <c r="H94" s="4">
        <v>3.9460000000000016E-2</v>
      </c>
      <c r="M94" s="3">
        <v>22</v>
      </c>
      <c r="N94" s="4">
        <v>3.3591815597120878E-2</v>
      </c>
    </row>
    <row r="95" spans="7:14" x14ac:dyDescent="0.3">
      <c r="G95" s="3">
        <v>22.25</v>
      </c>
      <c r="H95" s="4">
        <v>3.9392500000000018E-2</v>
      </c>
      <c r="M95" s="3">
        <v>22.25</v>
      </c>
      <c r="N95" s="4">
        <v>3.3456914855401365E-2</v>
      </c>
    </row>
    <row r="96" spans="7:14" x14ac:dyDescent="0.3">
      <c r="G96" s="3">
        <v>22.5</v>
      </c>
      <c r="H96" s="4">
        <v>3.932500000000002E-2</v>
      </c>
      <c r="M96" s="3">
        <v>22.5</v>
      </c>
      <c r="N96" s="4">
        <v>3.3322015243293812E-2</v>
      </c>
    </row>
    <row r="97" spans="7:14" x14ac:dyDescent="0.3">
      <c r="G97" s="3">
        <v>22.75</v>
      </c>
      <c r="H97" s="4">
        <v>3.9257500000000022E-2</v>
      </c>
      <c r="M97" s="3">
        <v>22.75</v>
      </c>
      <c r="N97" s="4">
        <v>3.3187116760835522E-2</v>
      </c>
    </row>
    <row r="98" spans="7:14" x14ac:dyDescent="0.3">
      <c r="G98" s="3">
        <v>23</v>
      </c>
      <c r="H98" s="4">
        <v>3.9190000000000023E-2</v>
      </c>
      <c r="M98" s="3">
        <v>23</v>
      </c>
      <c r="N98" s="4">
        <v>3.3052219408063799E-2</v>
      </c>
    </row>
    <row r="99" spans="7:14" x14ac:dyDescent="0.3">
      <c r="G99" s="3">
        <v>23.25</v>
      </c>
      <c r="H99" s="4">
        <v>3.9122500000000025E-2</v>
      </c>
      <c r="M99" s="3">
        <v>23.25</v>
      </c>
      <c r="N99" s="4">
        <v>3.2917323185100322E-2</v>
      </c>
    </row>
    <row r="100" spans="7:14" x14ac:dyDescent="0.3">
      <c r="G100" s="3">
        <v>23.5</v>
      </c>
      <c r="H100" s="4">
        <v>3.9055000000000027E-2</v>
      </c>
      <c r="M100" s="3">
        <v>23.5</v>
      </c>
      <c r="N100" s="4">
        <v>3.2782428091735483E-2</v>
      </c>
    </row>
    <row r="101" spans="7:14" x14ac:dyDescent="0.3">
      <c r="G101" s="3">
        <v>23.75</v>
      </c>
      <c r="H101" s="4">
        <v>3.8987500000000029E-2</v>
      </c>
      <c r="M101" s="3">
        <v>23.75</v>
      </c>
      <c r="N101" s="4">
        <v>3.2647534128251721E-2</v>
      </c>
    </row>
    <row r="102" spans="7:14" x14ac:dyDescent="0.3">
      <c r="G102" s="3">
        <v>24</v>
      </c>
      <c r="H102" s="4">
        <v>3.8920000000000031E-2</v>
      </c>
      <c r="M102" s="3">
        <v>24</v>
      </c>
      <c r="N102" s="4">
        <v>3.2512641294607292E-2</v>
      </c>
    </row>
    <row r="103" spans="7:14" x14ac:dyDescent="0.3">
      <c r="G103" s="3">
        <v>24.25</v>
      </c>
      <c r="H103" s="4">
        <v>3.8852500000000033E-2</v>
      </c>
      <c r="M103" s="3">
        <v>24.25</v>
      </c>
      <c r="N103" s="4">
        <v>3.2377749590837723E-2</v>
      </c>
    </row>
    <row r="104" spans="7:14" x14ac:dyDescent="0.3">
      <c r="G104" s="3">
        <v>24.5</v>
      </c>
      <c r="H104" s="4">
        <v>3.8785000000000035E-2</v>
      </c>
      <c r="M104" s="3">
        <v>24.5</v>
      </c>
      <c r="N104" s="4">
        <v>3.2242859016981207E-2</v>
      </c>
    </row>
    <row r="105" spans="7:14" x14ac:dyDescent="0.3">
      <c r="G105" s="3">
        <v>24.75</v>
      </c>
      <c r="H105" s="4">
        <v>3.871750000000003E-2</v>
      </c>
      <c r="M105" s="3">
        <v>24.75</v>
      </c>
      <c r="N105" s="4">
        <v>3.210796957307771E-2</v>
      </c>
    </row>
    <row r="106" spans="7:14" x14ac:dyDescent="0.3">
      <c r="G106" s="3">
        <v>25</v>
      </c>
      <c r="H106" s="4">
        <v>3.8650000000000032E-2</v>
      </c>
      <c r="M106" s="3">
        <v>25</v>
      </c>
      <c r="N106" s="4">
        <v>3.1973081259161873E-2</v>
      </c>
    </row>
    <row r="107" spans="7:14" x14ac:dyDescent="0.3">
      <c r="G107" s="3">
        <v>25.25</v>
      </c>
      <c r="H107" s="4">
        <v>3.8582500000000033E-2</v>
      </c>
      <c r="M107" s="3">
        <v>25.25</v>
      </c>
      <c r="N107" s="4">
        <v>3.183819407536248E-2</v>
      </c>
    </row>
    <row r="108" spans="7:14" x14ac:dyDescent="0.3">
      <c r="G108" s="3">
        <v>25.5</v>
      </c>
      <c r="H108" s="4">
        <v>3.8515000000000028E-2</v>
      </c>
      <c r="M108" s="3">
        <v>25.5</v>
      </c>
      <c r="N108" s="4">
        <v>3.1703308021448606E-2</v>
      </c>
    </row>
    <row r="109" spans="7:14" x14ac:dyDescent="0.3">
      <c r="G109" s="3">
        <v>25.75</v>
      </c>
      <c r="H109" s="4">
        <v>3.8447500000000023E-2</v>
      </c>
      <c r="M109" s="3">
        <v>25.75</v>
      </c>
      <c r="N109" s="4">
        <v>3.1568423097726672E-2</v>
      </c>
    </row>
    <row r="110" spans="7:14" x14ac:dyDescent="0.3">
      <c r="G110" s="3">
        <v>26</v>
      </c>
      <c r="H110" s="4">
        <v>3.8380000000000025E-2</v>
      </c>
      <c r="M110" s="3">
        <v>26</v>
      </c>
      <c r="N110" s="4">
        <v>3.1433539304145164E-2</v>
      </c>
    </row>
    <row r="111" spans="7:14" x14ac:dyDescent="0.3">
      <c r="G111" s="3">
        <v>26.25</v>
      </c>
      <c r="H111" s="4">
        <v>3.8312500000000027E-2</v>
      </c>
      <c r="M111" s="3">
        <v>26.25</v>
      </c>
      <c r="N111" s="4">
        <v>3.1298656640740496E-2</v>
      </c>
    </row>
    <row r="112" spans="7:14" x14ac:dyDescent="0.3">
      <c r="G112" s="3">
        <v>26.5</v>
      </c>
      <c r="H112" s="4">
        <v>3.8245000000000022E-2</v>
      </c>
      <c r="M112" s="3">
        <v>26.5</v>
      </c>
      <c r="N112" s="4">
        <v>3.1163775107550862E-2</v>
      </c>
    </row>
    <row r="113" spans="7:14" x14ac:dyDescent="0.3">
      <c r="G113" s="3">
        <v>26.75</v>
      </c>
      <c r="H113" s="4">
        <v>3.8177500000000017E-2</v>
      </c>
      <c r="M113" s="3">
        <v>26.75</v>
      </c>
      <c r="N113" s="4">
        <v>3.1028894704616228E-2</v>
      </c>
    </row>
    <row r="114" spans="7:14" x14ac:dyDescent="0.3">
      <c r="G114" s="3">
        <v>27</v>
      </c>
      <c r="H114" s="4">
        <v>3.8110000000000019E-2</v>
      </c>
      <c r="M114" s="3">
        <v>27</v>
      </c>
      <c r="N114" s="4">
        <v>3.0894015431970345E-2</v>
      </c>
    </row>
    <row r="115" spans="7:14" x14ac:dyDescent="0.3">
      <c r="G115" s="3">
        <v>27.25</v>
      </c>
      <c r="H115" s="4">
        <v>3.8042500000000021E-2</v>
      </c>
      <c r="M115" s="3">
        <v>27.25</v>
      </c>
      <c r="N115" s="4">
        <v>3.0759137289750882E-2</v>
      </c>
    </row>
    <row r="116" spans="7:14" x14ac:dyDescent="0.3">
      <c r="G116" s="3">
        <v>27.5</v>
      </c>
      <c r="H116" s="4">
        <v>3.7975000000000016E-2</v>
      </c>
      <c r="M116" s="3">
        <v>27.5</v>
      </c>
      <c r="N116" s="4">
        <v>3.0624260277706483E-2</v>
      </c>
    </row>
    <row r="117" spans="7:14" x14ac:dyDescent="0.3">
      <c r="G117" s="3">
        <v>27.75</v>
      </c>
      <c r="H117" s="4">
        <v>3.7907500000000011E-2</v>
      </c>
      <c r="M117" s="3">
        <v>27.75</v>
      </c>
      <c r="N117" s="4">
        <v>3.0489384396160446E-2</v>
      </c>
    </row>
    <row r="118" spans="7:14" x14ac:dyDescent="0.3">
      <c r="G118" s="3">
        <v>28</v>
      </c>
      <c r="H118" s="4">
        <v>3.7840000000000013E-2</v>
      </c>
      <c r="M118" s="3">
        <v>28</v>
      </c>
      <c r="N118" s="4">
        <v>3.0354509645057703E-2</v>
      </c>
    </row>
    <row r="119" spans="7:14" x14ac:dyDescent="0.3">
      <c r="G119" s="3">
        <v>28.25</v>
      </c>
      <c r="H119" s="4">
        <v>3.7772500000000014E-2</v>
      </c>
      <c r="M119" s="3">
        <v>28.25</v>
      </c>
      <c r="N119" s="4">
        <v>3.0219636024433782E-2</v>
      </c>
    </row>
    <row r="120" spans="7:14" x14ac:dyDescent="0.3">
      <c r="G120" s="3">
        <v>28.5</v>
      </c>
      <c r="H120" s="4">
        <v>3.7705000000000009E-2</v>
      </c>
      <c r="M120" s="3">
        <v>28.5</v>
      </c>
      <c r="N120" s="4">
        <v>3.0084763534327763E-2</v>
      </c>
    </row>
    <row r="121" spans="7:14" x14ac:dyDescent="0.3">
      <c r="G121" s="3">
        <v>28.75</v>
      </c>
      <c r="H121" s="4">
        <v>3.7637500000000004E-2</v>
      </c>
      <c r="M121" s="3">
        <v>28.75</v>
      </c>
      <c r="N121" s="4">
        <v>2.9949892174776949E-2</v>
      </c>
    </row>
    <row r="122" spans="7:14" x14ac:dyDescent="0.3">
      <c r="G122" s="3">
        <v>29</v>
      </c>
      <c r="H122" s="4">
        <v>3.7570000000000006E-2</v>
      </c>
      <c r="M122" s="3">
        <v>29</v>
      </c>
      <c r="N122" s="4">
        <v>2.9815021945818643E-2</v>
      </c>
    </row>
    <row r="123" spans="7:14" x14ac:dyDescent="0.3">
      <c r="G123" s="3">
        <v>29.25</v>
      </c>
      <c r="H123" s="4">
        <v>3.7502500000000008E-2</v>
      </c>
      <c r="M123" s="3">
        <v>29.25</v>
      </c>
      <c r="N123" s="4">
        <v>2.9680152847595842E-2</v>
      </c>
    </row>
    <row r="124" spans="7:14" x14ac:dyDescent="0.3">
      <c r="G124" s="3">
        <v>29.5</v>
      </c>
      <c r="H124" s="4">
        <v>3.7435000000000003E-2</v>
      </c>
      <c r="M124" s="3">
        <v>29.5</v>
      </c>
      <c r="N124" s="4">
        <v>2.9545284879834988E-2</v>
      </c>
    </row>
    <row r="125" spans="7:14" x14ac:dyDescent="0.3">
      <c r="G125" s="3">
        <v>29.75</v>
      </c>
      <c r="H125" s="4">
        <v>3.7367499999999998E-2</v>
      </c>
      <c r="M125" s="3">
        <v>29.75</v>
      </c>
      <c r="N125" s="4">
        <v>2.9410418042882469E-2</v>
      </c>
    </row>
    <row r="126" spans="7:14" x14ac:dyDescent="0.3">
      <c r="G126" s="3">
        <v>30</v>
      </c>
      <c r="H126" s="4">
        <v>3.73E-2</v>
      </c>
      <c r="M126" s="3">
        <v>30</v>
      </c>
      <c r="N126" s="4">
        <v>2.9275552336674338E-2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Homework</vt:lpstr>
      <vt:lpstr>HW_ans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2022-10-25T21:55:00Z</dcterms:modified>
</cp:coreProperties>
</file>