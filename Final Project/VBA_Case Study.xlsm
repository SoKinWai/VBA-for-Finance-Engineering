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filterPrivacy="1" codeName="ThisWorkbook" defaultThemeVersion="124226"/>
  <xr:revisionPtr revIDLastSave="0" documentId="13_ncr:1_{06FE823F-22FA-4DEC-A087-0119AF186390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Input" sheetId="4" r:id="rId1"/>
    <sheet name="Market_Data" sheetId="3" r:id="rId2"/>
    <sheet name="Yield Curve" sheetId="5" r:id="rId3"/>
    <sheet name="RiskFreeRate" sheetId="7" r:id="rId4"/>
    <sheet name="Output" sheetId="2" r:id="rId5"/>
    <sheet name="Report" sheetId="8" r:id="rId6"/>
  </sheets>
  <functionGroups builtInGroupCount="19"/>
  <definedNames>
    <definedName name="AAPL_Date">Market_Data!$A$102:$A$201</definedName>
    <definedName name="AAPL_Price">Market_Data!$C$102:$C$201</definedName>
    <definedName name="AMZN_Date">Market_Data!$A$202:$A$301</definedName>
    <definedName name="AMZN_Price">Market_Data!$C$202:$C$301</definedName>
    <definedName name="COUPON">Input!$F$1:$F$6</definedName>
    <definedName name="Coupon_Margin">Input!$G$1:$G$6</definedName>
    <definedName name="discount">'Yield Curve'!$H$6:$H$105</definedName>
    <definedName name="Discount_Rate">RiskFreeRate!$B$1:$B$101</definedName>
    <definedName name="Forward_Rate">'Yield Curve'!$J$6:$J$105</definedName>
    <definedName name="FRN_Date">'Yield Curve'!$I$6:$I$105</definedName>
    <definedName name="GOOG_Date">Market_Data!$A$902:$A$1001</definedName>
    <definedName name="GOOG_Price">Market_Data!$C$902:$C$1001</definedName>
    <definedName name="Instrument_Type">Input!$B$1:$B$6</definedName>
    <definedName name="INTC_Date">Market_Data!$A$702:$A$801</definedName>
    <definedName name="INTC_Price">Market_Data!$C$702:$C$801</definedName>
    <definedName name="KO_Date">Market_Data!$A$502:$A$601</definedName>
    <definedName name="KO_Price">Market_Data!$C$502:$C$601</definedName>
    <definedName name="MSFT_Date">Market_Data!$A$302:$A$401</definedName>
    <definedName name="MSFT_Price">Market_Data!$C$302:$C$401</definedName>
    <definedName name="Notional">Input!$E$1:$E$6</definedName>
    <definedName name="Path">Input!$D$11</definedName>
    <definedName name="Position_ID">Input!$A$1:$A$6</definedName>
    <definedName name="Quantity">Input!$D$1:$D$6</definedName>
    <definedName name="Riskfree_Date">RiskFreeRate!$A$1:$A$101</definedName>
    <definedName name="SPY_Date">Market_Data!$A$402:$A$501</definedName>
    <definedName name="SPY_Price">Market_Data!$C$402:$C$501</definedName>
    <definedName name="T_Date">Market_Data!$A$602:$A$701</definedName>
    <definedName name="T_Price">Market_Data!$C$602:$C$701</definedName>
    <definedName name="TGT_Date">Market_Data!$A$802:$A$901</definedName>
    <definedName name="TGT_Price">Market_Data!$C$802:$C$901</definedName>
    <definedName name="Ticker">Input!$C$1:$C$6</definedName>
    <definedName name="TSLA_Date">Market_Data!$A$2:$A$101</definedName>
    <definedName name="TSLA_Price">Market_Data!$C$2:$C$101</definedName>
    <definedName name="xx">'Yield Curve'!$H$6:$H$10805</definedName>
    <definedName name="Yield">'Yield Curve'!$H$6:$H$10805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8" l="1"/>
  <c r="B203" i="2" l="1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2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102" i="2"/>
  <c r="J3" i="5" a="1"/>
  <c r="G3" i="5" a="1"/>
  <c r="G6" i="5" a="1"/>
  <c r="J91" i="5" a="1"/>
  <c r="J98" i="5" a="1"/>
  <c r="J9" i="5" a="1"/>
  <c r="J48" i="5" a="1"/>
  <c r="J97" i="5" a="1"/>
  <c r="J67" i="5" a="1"/>
  <c r="J37" i="5" a="1"/>
  <c r="J103" i="5" a="1"/>
  <c r="J38" i="5" a="1"/>
  <c r="J18" i="5" a="1"/>
  <c r="J75" i="5" a="1"/>
  <c r="J41" i="5" a="1"/>
  <c r="J25" i="5" a="1"/>
  <c r="J80" i="5" a="1"/>
  <c r="J79" i="5" a="1"/>
  <c r="J49" i="5" a="1"/>
  <c r="J12" i="5" a="1"/>
  <c r="J16" i="5" a="1"/>
  <c r="J8" i="5" a="1"/>
  <c r="J68" i="5" a="1"/>
  <c r="J100" i="5" a="1"/>
  <c r="J40" i="5" a="1"/>
  <c r="J20" i="5" a="1"/>
  <c r="J105" i="5" a="1"/>
  <c r="J83" i="5" a="1"/>
  <c r="J11" i="5" a="1"/>
  <c r="J47" i="5" a="1"/>
  <c r="J72" i="5" a="1"/>
  <c r="J10" i="5" a="1"/>
  <c r="J28" i="5" a="1"/>
  <c r="J96" i="5" a="1"/>
  <c r="J85" i="5" a="1"/>
  <c r="J50" i="5" a="1"/>
  <c r="J82" i="5" a="1"/>
  <c r="J26" i="5" a="1"/>
  <c r="J78" i="5" a="1"/>
  <c r="J23" i="5" a="1"/>
  <c r="J35" i="5" a="1"/>
  <c r="J54" i="5" a="1"/>
  <c r="J95" i="5" a="1"/>
  <c r="J76" i="5" a="1"/>
  <c r="J62" i="5" a="1"/>
  <c r="J69" i="5" a="1"/>
  <c r="J46" i="5" a="1"/>
  <c r="J14" i="5" a="1"/>
  <c r="J71" i="5" a="1"/>
  <c r="J63" i="5" a="1"/>
  <c r="J61" i="5" a="1"/>
  <c r="J58" i="5" a="1"/>
  <c r="J45" i="5" a="1"/>
  <c r="J86" i="5" a="1"/>
  <c r="J60" i="5" a="1"/>
  <c r="J88" i="5" a="1"/>
  <c r="J66" i="5" a="1"/>
  <c r="J73" i="5" a="1"/>
  <c r="J34" i="5" a="1"/>
  <c r="J74" i="5" a="1"/>
  <c r="J31" i="5" a="1"/>
  <c r="J104" i="5" a="1"/>
  <c r="J13" i="5" a="1"/>
  <c r="J102" i="5" a="1"/>
  <c r="J29" i="5" a="1"/>
  <c r="J56" i="5" a="1"/>
  <c r="J32" i="5" a="1"/>
  <c r="J39" i="5" a="1"/>
  <c r="J33" i="5" a="1"/>
  <c r="J44" i="5" a="1"/>
  <c r="J42" i="5" a="1"/>
  <c r="J87" i="5" a="1"/>
  <c r="J92" i="5" a="1"/>
  <c r="J70" i="5" a="1"/>
  <c r="J81" i="5" a="1"/>
  <c r="J22" i="5" a="1"/>
  <c r="J24" i="5" a="1"/>
  <c r="J53" i="5" a="1"/>
  <c r="J30" i="5" a="1"/>
  <c r="J89" i="5" a="1"/>
  <c r="J101" i="5" a="1"/>
  <c r="J90" i="5" a="1"/>
  <c r="J55" i="5" a="1"/>
  <c r="J52" i="5" a="1"/>
  <c r="J84" i="5" a="1"/>
  <c r="J15" i="5" a="1"/>
  <c r="J94" i="5" a="1"/>
  <c r="J51" i="5" a="1"/>
  <c r="J65" i="5" a="1"/>
  <c r="J57" i="5" a="1"/>
  <c r="J21" i="5" a="1"/>
  <c r="J77" i="5" a="1"/>
  <c r="J36" i="5" a="1"/>
  <c r="J27" i="5" a="1"/>
  <c r="J59" i="5" a="1"/>
  <c r="J93" i="5" a="1"/>
  <c r="J17" i="5" a="1"/>
  <c r="J43" i="5" a="1"/>
  <c r="J64" i="5" a="1"/>
  <c r="J19" i="5" a="1"/>
  <c r="J99" i="5" a="1"/>
  <c r="J8" i="5" l="1"/>
  <c r="J95" i="5"/>
  <c r="J14" i="5"/>
  <c r="J33" i="5"/>
  <c r="J53" i="5"/>
  <c r="J84" i="5"/>
  <c r="J20" i="5"/>
  <c r="J98" i="5"/>
  <c r="J39" i="5"/>
  <c r="J104" i="5"/>
  <c r="J10" i="5"/>
  <c r="J71" i="5"/>
  <c r="J65" i="5"/>
  <c r="J48" i="5"/>
  <c r="J45" i="5"/>
  <c r="J16" i="5"/>
  <c r="J77" i="5"/>
  <c r="J54" i="5"/>
  <c r="J34" i="5"/>
  <c r="J26" i="5"/>
  <c r="J27" i="5"/>
  <c r="J22" i="5"/>
  <c r="J89" i="5"/>
  <c r="J72" i="5"/>
  <c r="J32" i="5"/>
  <c r="J69" i="5"/>
  <c r="J51" i="5"/>
  <c r="J40" i="5"/>
  <c r="J28" i="5"/>
  <c r="J83" i="5"/>
  <c r="J49" i="5"/>
  <c r="J60" i="5"/>
  <c r="J78" i="5"/>
  <c r="J66" i="5"/>
  <c r="J52" i="5"/>
  <c r="J3" i="5"/>
  <c r="J43" i="5"/>
  <c r="J42" i="5"/>
  <c r="J59" i="5"/>
  <c r="J79" i="5"/>
  <c r="J97" i="5"/>
  <c r="J86" i="5"/>
  <c r="J103" i="5"/>
  <c r="J36" i="5"/>
  <c r="J41" i="5"/>
  <c r="J47" i="5"/>
  <c r="J25" i="5"/>
  <c r="J67" i="5"/>
  <c r="J21" i="5"/>
  <c r="J80" i="5"/>
  <c r="J73" i="5"/>
  <c r="J24" i="5"/>
  <c r="J35" i="5"/>
  <c r="J23" i="5"/>
  <c r="J101" i="5"/>
  <c r="J31" i="5"/>
  <c r="J15" i="5"/>
  <c r="J74" i="5"/>
  <c r="J29" i="5"/>
  <c r="J94" i="5"/>
  <c r="J99" i="5"/>
  <c r="J9" i="5"/>
  <c r="J68" i="5"/>
  <c r="J37" i="5"/>
  <c r="J18" i="5"/>
  <c r="J102" i="5"/>
  <c r="J92" i="5"/>
  <c r="J61" i="5"/>
  <c r="J12" i="5"/>
  <c r="J17" i="5"/>
  <c r="J100" i="5"/>
  <c r="J88" i="5"/>
  <c r="J93" i="5"/>
  <c r="J62" i="5"/>
  <c r="J96" i="5"/>
  <c r="J55" i="5"/>
  <c r="J11" i="5"/>
  <c r="J82" i="5"/>
  <c r="J76" i="5"/>
  <c r="J81" i="5"/>
  <c r="J85" i="5"/>
  <c r="J56" i="5"/>
  <c r="J90" i="5"/>
  <c r="J91" i="5"/>
  <c r="J64" i="5"/>
  <c r="J70" i="5"/>
  <c r="J75" i="5"/>
  <c r="J13" i="5"/>
  <c r="J50" i="5"/>
  <c r="J19" i="5"/>
  <c r="J46" i="5"/>
  <c r="J58" i="5"/>
  <c r="J63" i="5"/>
  <c r="J105" i="5"/>
  <c r="J44" i="5"/>
  <c r="J30" i="5"/>
  <c r="J57" i="5"/>
  <c r="J87" i="5"/>
  <c r="J38" i="5"/>
  <c r="G6" i="5"/>
  <c r="G3" i="5"/>
  <c r="E7" i="5"/>
  <c r="E8" i="5"/>
  <c r="E9" i="5"/>
  <c r="E10" i="5"/>
  <c r="E11" i="5"/>
  <c r="E12" i="5"/>
  <c r="E13" i="5"/>
  <c r="E14" i="5"/>
  <c r="E15" i="5"/>
  <c r="E16" i="5"/>
  <c r="E17" i="5"/>
  <c r="E18" i="5"/>
  <c r="E6" i="5"/>
  <c r="J7" i="5" a="1"/>
  <c r="J7" i="5" l="1"/>
  <c r="D9" i="5"/>
  <c r="D10" i="5"/>
  <c r="D8" i="5"/>
  <c r="D7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<sst xmlns="http://schemas.openxmlformats.org/spreadsheetml/2006/main" count="1603" uniqueCount="88">
  <si>
    <t>Date</t>
  </si>
  <si>
    <t>Ticker</t>
  </si>
  <si>
    <t>Close_Price</t>
  </si>
  <si>
    <t>Instrument_Type</t>
  </si>
  <si>
    <t>Notional</t>
  </si>
  <si>
    <t>Quantity</t>
  </si>
  <si>
    <t>Coupon</t>
  </si>
  <si>
    <t>Position_ID</t>
  </si>
  <si>
    <t>Value</t>
  </si>
  <si>
    <t>COB</t>
  </si>
  <si>
    <t>FROM US TREASURY SITE</t>
  </si>
  <si>
    <t>Rate</t>
  </si>
  <si>
    <t>Portfolio VaR</t>
  </si>
  <si>
    <t>Marginal VaRs of Instruments</t>
  </si>
  <si>
    <t>Returns for Portfolio and Instruments</t>
  </si>
  <si>
    <t>Graphs of Returns</t>
  </si>
  <si>
    <t>Stock</t>
  </si>
  <si>
    <t>Bond</t>
  </si>
  <si>
    <t>Cash</t>
  </si>
  <si>
    <t>Maturity_Date</t>
  </si>
  <si>
    <t>Currency</t>
  </si>
  <si>
    <t>USD</t>
  </si>
  <si>
    <t>Recommendation</t>
  </si>
  <si>
    <t>Coupon_Margin</t>
  </si>
  <si>
    <t>11/22/2022 Yield</t>
  </si>
  <si>
    <t>1 Mo</t>
  </si>
  <si>
    <t>2 Mo</t>
  </si>
  <si>
    <t>3 Mo</t>
  </si>
  <si>
    <t>4 Mo</t>
  </si>
  <si>
    <t>6 Mo</t>
  </si>
  <si>
    <t xml:space="preserve">1 Yr </t>
  </si>
  <si>
    <t>2 Yr</t>
  </si>
  <si>
    <t>3 Yr</t>
  </si>
  <si>
    <t>5 Yr</t>
  </si>
  <si>
    <t>7 Yr</t>
  </si>
  <si>
    <t>10 Yr</t>
  </si>
  <si>
    <t>20 Yr</t>
  </si>
  <si>
    <t>30 Yr</t>
  </si>
  <si>
    <t>Years</t>
  </si>
  <si>
    <t>Yield</t>
  </si>
  <si>
    <t>Data from US TREASURY SITE:</t>
  </si>
  <si>
    <t>A</t>
  </si>
  <si>
    <t>B</t>
  </si>
  <si>
    <t>C</t>
  </si>
  <si>
    <t>D</t>
  </si>
  <si>
    <t>E</t>
  </si>
  <si>
    <t>Data Path:</t>
  </si>
  <si>
    <t>C:\Users\sujhu\OneDrive\Desktop\Online Courses\VBA\VBA_Files\Jianwei Su_VBA Case Study Submission</t>
  </si>
  <si>
    <t>Summary</t>
  </si>
  <si>
    <t>Asset Type</t>
  </si>
  <si>
    <t>Portfolio</t>
  </si>
  <si>
    <t>Returns</t>
  </si>
  <si>
    <t>90% VaR</t>
  </si>
  <si>
    <t>95% VaR</t>
  </si>
  <si>
    <t>99% VaR</t>
  </si>
  <si>
    <t>TSLA</t>
  </si>
  <si>
    <t>AAPL</t>
  </si>
  <si>
    <t>AMZN</t>
  </si>
  <si>
    <t>MSFT</t>
  </si>
  <si>
    <t>SPY</t>
  </si>
  <si>
    <t>KO</t>
  </si>
  <si>
    <t>T</t>
  </si>
  <si>
    <t>INTC</t>
  </si>
  <si>
    <t>TGT</t>
  </si>
  <si>
    <t>GOOG</t>
  </si>
  <si>
    <t>AAPL.BOND001.12M</t>
  </si>
  <si>
    <t>AAPL.FRN001.12M</t>
  </si>
  <si>
    <t>AAPL.FRN002.50M</t>
  </si>
  <si>
    <t>Frequency</t>
  </si>
  <si>
    <t xml:space="preserve">Forward Rate </t>
  </si>
  <si>
    <t>Function:</t>
  </si>
  <si>
    <t>FRN Date</t>
  </si>
  <si>
    <t>Floater(1)</t>
  </si>
  <si>
    <t>Floater(2)</t>
  </si>
  <si>
    <t xml:space="preserve">Recommendation: </t>
  </si>
  <si>
    <t xml:space="preserve">it may take a while to run that, please be patient. </t>
  </si>
  <si>
    <t>User can click the Clear Content button to clear out all input data and the report result.</t>
  </si>
  <si>
    <t>Please click the Run button to get the results for this project,</t>
  </si>
  <si>
    <t>Observation:</t>
  </si>
  <si>
    <t xml:space="preserve">(which is not a predictor of future), I suggest supplementing VaR analysis with </t>
  </si>
  <si>
    <t>additional techniques like Parametric VaR and Monte Carlo VaR methods</t>
  </si>
  <si>
    <t xml:space="preserve"> to accurately gauge the risk of this portfolio.</t>
  </si>
  <si>
    <t>1. Since VaR is calculated using Historical Method - this method relies on past events</t>
  </si>
  <si>
    <t>2. Reducing portfolio allocation of Apple stocks and and allocating the balance  to Bond or Cash will reduce the risk (VaR) of this portfolio.</t>
  </si>
  <si>
    <t>1. Majority gains are being contributed by AAPL stocks.</t>
  </si>
  <si>
    <t>2. I am 90% confident that the estimated loss of this portfolio won't exceed 0.25% over the next 100 days.</t>
  </si>
  <si>
    <t>3. I am 95% confident that the estimated loss of this portfolio won't exceed 0.39% over the next 100 days.</t>
  </si>
  <si>
    <t>4. I am 99% confident that the estimated loss of this portfolio won't exceed 0.51% over the next 100 days.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</si>
</sst>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&quot;$&quot;#,##0.00"/>
    <numFmt numFmtId="166" formatCode="0.000"/>
    <numFmt numFmtId="167" formatCode="0.0000%"/>
    <numFmt numFmtId="168" formatCode="0.000000000000000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left"/>
    </xf>
    <xf numFmtId="10" fontId="0" fillId="0" borderId="0" xfId="1" applyNumberFormat="1" applyFont="1"/>
    <xf numFmtId="0" fontId="2" fillId="0" borderId="0" xfId="0" applyFont="1"/>
    <xf numFmtId="0" fontId="0" fillId="0" borderId="2" xfId="0" applyBorder="1"/>
    <xf numFmtId="165" fontId="0" fillId="0" borderId="2" xfId="0" applyNumberFormat="1" applyBorder="1"/>
    <xf numFmtId="10" fontId="0" fillId="0" borderId="2" xfId="1" applyNumberFormat="1" applyFont="1" applyBorder="1"/>
    <xf numFmtId="14" fontId="0" fillId="0" borderId="2" xfId="0" applyNumberFormat="1" applyBorder="1"/>
    <xf numFmtId="0" fontId="2" fillId="0" borderId="2" xfId="0" applyFont="1" applyBorder="1"/>
    <xf numFmtId="164" fontId="0" fillId="0" borderId="2" xfId="1" applyNumberFormat="1" applyFont="1" applyBorder="1"/>
    <xf numFmtId="14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right"/>
    </xf>
    <xf numFmtId="2" fontId="0" fillId="0" borderId="2" xfId="0" applyNumberFormat="1" applyBorder="1"/>
    <xf numFmtId="0" fontId="2" fillId="0" borderId="1" xfId="0" applyFont="1" applyBorder="1"/>
    <xf numFmtId="166" fontId="0" fillId="0" borderId="0" xfId="0" applyNumberFormat="1"/>
    <xf numFmtId="0" fontId="4" fillId="0" borderId="0" xfId="0" applyFont="1"/>
    <xf numFmtId="166" fontId="0" fillId="0" borderId="2" xfId="0" applyNumberFormat="1" applyBorder="1"/>
    <xf numFmtId="167" fontId="0" fillId="0" borderId="2" xfId="1" applyNumberFormat="1" applyFont="1" applyBorder="1"/>
    <xf numFmtId="168" fontId="0" fillId="0" borderId="0" xfId="0" applyNumberFormat="1"/>
    <xf numFmtId="167" fontId="0" fillId="0" borderId="0" xfId="0" applyNumberFormat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4" xfId="0" applyNumberFormat="1" applyBorder="1"/>
    <xf numFmtId="14" fontId="0" fillId="0" borderId="9" xfId="0" applyNumberForma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 Of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Report!$D$8</c:f>
              <c:strCache>
                <c:ptCount val="1"/>
                <c:pt idx="0">
                  <c:v>Returns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Report!$B$9:$B$14</c:f>
              <c:strCache>
                <c:ptCount val="6"/>
                <c:pt idx="0">
                  <c:v>Stock</c:v>
                </c:pt>
                <c:pt idx="1">
                  <c:v>Bond</c:v>
                </c:pt>
                <c:pt idx="2">
                  <c:v>Floater(1)</c:v>
                </c:pt>
                <c:pt idx="3">
                  <c:v>Cash</c:v>
                </c:pt>
                <c:pt idx="4">
                  <c:v>Floater(2)</c:v>
                </c:pt>
                <c:pt idx="5">
                  <c:v>Portfolio</c:v>
                </c:pt>
              </c:strCache>
            </c:strRef>
          </c:cat>
          <c:val>
            <c:numRef>
              <c:f>Report!$D$9:$D$14</c:f>
              <c:numCache>
                <c:formatCode>0.0000%</c:formatCode>
                <c:ptCount val="6"/>
                <c:pt idx="0">
                  <c:v>1.091964513146E-3</c:v>
                </c:pt>
                <c:pt idx="1">
                  <c:v>3.0426681757855339E-4</c:v>
                </c:pt>
                <c:pt idx="2">
                  <c:v>8.0853909898403793E-8</c:v>
                </c:pt>
                <c:pt idx="3">
                  <c:v>0</c:v>
                </c:pt>
                <c:pt idx="4">
                  <c:v>8.0842716874342871E-8</c:v>
                </c:pt>
                <c:pt idx="5">
                  <c:v>1.064186048945243E-4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AE-44D9-A560-2B71270334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948988351"/>
        <c:axId val="1948995423"/>
      </c:barChart>
      <c:catAx>
        <c:axId val="194898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995423"/>
        <c:crosses val="autoZero"/>
        <c:auto val="1"/>
        <c:lblAlgn val="ctr"/>
        <c:lblOffset val="100"/>
        <c:noMultiLvlLbl val="0"/>
      </c:catAx>
      <c:valAx>
        <c:axId val="1948995423"/>
        <c:scaling>
          <c:orientation val="minMax"/>
        </c:scaling>
        <c:delete val="1"/>
        <c:axPos val="l"/>
        <c:numFmt formatCode="0.0000%" sourceLinked="1"/>
        <c:majorTickMark val="none"/>
        <c:minorTickMark val="none"/>
        <c:tickLblPos val="nextTo"/>
        <c:crossAx val="194898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17</xdr:row>
          <xdr:rowOff>7620</xdr:rowOff>
        </xdr:from>
        <xdr:to>
          <xdr:col>2</xdr:col>
          <xdr:colOff>1226820</xdr:colOff>
          <xdr:row>21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1181100</xdr:colOff>
          <xdr:row>17</xdr:row>
          <xdr:rowOff>22860</xdr:rowOff>
        </xdr:from>
        <xdr:to>
          <xdr:col>8</xdr:col>
          <xdr:colOff>190500</xdr:colOff>
          <xdr:row>20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</xdr:colOff>
      <xdr:row>15</xdr:row>
      <xdr:rowOff>155331</xdr:rowOff>
    </xdr:from>
    <xdr:to>
      <xdr:col>3</xdr:col>
      <xdr:colOff>718038</xdr:colOff>
      <xdr:row>30</xdr:row>
      <xdr:rowOff>172915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9"/>
  <sheetViews>
    <sheetView zoomScale="130" zoomScaleNormal="130" workbookViewId="0">
      <selection activeCell="C2" sqref="C2"/>
    </sheetView>
  </sheetViews>
  <sheetFormatPr defaultRowHeight="14.4" x14ac:dyDescent="0.3"/>
  <cols>
    <col min="1" max="1" width="11.109375" bestFit="1" customWidth="1"/>
    <col min="2" max="2" width="16.33203125" bestFit="1" customWidth="1"/>
    <col min="3" max="3" width="24.44140625" customWidth="1"/>
    <col min="4" max="4" width="8.6640625" bestFit="1" customWidth="1"/>
    <col min="5" max="5" width="14.44140625" customWidth="1"/>
    <col min="7" max="7" width="17.44140625" customWidth="1"/>
    <col min="8" max="8" width="19.109375" customWidth="1"/>
    <col min="10" max="10" width="11.109375" bestFit="1" customWidth="1"/>
  </cols>
  <sheetData>
    <row r="1" spans="1:12" x14ac:dyDescent="0.3">
      <c r="A1" s="5" t="s">
        <v>7</v>
      </c>
      <c r="B1" s="9" t="s">
        <v>3</v>
      </c>
      <c r="C1" s="9" t="s">
        <v>1</v>
      </c>
      <c r="D1" s="9" t="s">
        <v>5</v>
      </c>
      <c r="E1" s="9" t="s">
        <v>4</v>
      </c>
      <c r="F1" s="9" t="s">
        <v>6</v>
      </c>
      <c r="G1" s="9" t="s">
        <v>23</v>
      </c>
      <c r="H1" s="9" t="s">
        <v>19</v>
      </c>
      <c r="I1" s="9" t="s">
        <v>20</v>
      </c>
    </row>
    <row r="2" spans="1:12" x14ac:dyDescent="0.3">
      <c r="A2" s="11">
        <v>1</v>
      </c>
      <c r="B2" s="9" t="s">
        <v>16</v>
      </c>
      <c r="C2" s="5" t="s">
        <v>56</v>
      </c>
      <c r="D2" s="5">
        <v>10</v>
      </c>
      <c r="E2" s="6"/>
      <c r="F2" s="5"/>
      <c r="G2" s="7"/>
      <c r="H2" s="8"/>
      <c r="I2" s="5" t="s">
        <v>21</v>
      </c>
    </row>
    <row r="3" spans="1:12" x14ac:dyDescent="0.3">
      <c r="A3" s="11">
        <v>2</v>
      </c>
      <c r="B3" s="9" t="s">
        <v>17</v>
      </c>
      <c r="C3" s="5" t="s">
        <v>65</v>
      </c>
      <c r="D3" s="5"/>
      <c r="E3" s="6">
        <v>100</v>
      </c>
      <c r="F3" s="7">
        <v>0.05</v>
      </c>
      <c r="G3" s="7"/>
      <c r="H3" s="8">
        <v>44895</v>
      </c>
      <c r="I3" s="5" t="s">
        <v>21</v>
      </c>
    </row>
    <row r="4" spans="1:12" x14ac:dyDescent="0.3">
      <c r="A4" s="11">
        <v>3</v>
      </c>
      <c r="B4" s="9" t="s">
        <v>72</v>
      </c>
      <c r="C4" s="5" t="s">
        <v>66</v>
      </c>
      <c r="D4" s="5"/>
      <c r="E4" s="6">
        <v>100</v>
      </c>
      <c r="F4" s="5"/>
      <c r="G4" s="7">
        <v>0.04</v>
      </c>
      <c r="H4" s="8">
        <v>44895</v>
      </c>
      <c r="I4" s="5" t="s">
        <v>21</v>
      </c>
    </row>
    <row r="5" spans="1:12" x14ac:dyDescent="0.3">
      <c r="A5" s="11">
        <v>4</v>
      </c>
      <c r="B5" s="9" t="s">
        <v>18</v>
      </c>
      <c r="C5" s="5" t="s">
        <v>21</v>
      </c>
      <c r="D5" s="5">
        <v>1000</v>
      </c>
      <c r="E5" s="6"/>
      <c r="F5" s="5"/>
      <c r="G5" s="7"/>
      <c r="H5" s="8"/>
      <c r="I5" s="5" t="s">
        <v>21</v>
      </c>
    </row>
    <row r="6" spans="1:12" x14ac:dyDescent="0.3">
      <c r="A6" s="11">
        <v>5</v>
      </c>
      <c r="B6" s="9" t="s">
        <v>73</v>
      </c>
      <c r="C6" s="5" t="s">
        <v>67</v>
      </c>
      <c r="D6" s="5"/>
      <c r="E6" s="6">
        <v>100</v>
      </c>
      <c r="F6" s="5"/>
      <c r="G6" s="7">
        <v>0.09</v>
      </c>
      <c r="H6" s="8">
        <v>44895</v>
      </c>
      <c r="I6" s="5" t="s">
        <v>21</v>
      </c>
    </row>
    <row r="7" spans="1:12" x14ac:dyDescent="0.3">
      <c r="A7" s="2"/>
    </row>
    <row r="8" spans="1:12" x14ac:dyDescent="0.3">
      <c r="A8" s="2"/>
    </row>
    <row r="9" spans="1:12" x14ac:dyDescent="0.3">
      <c r="A9" s="2"/>
    </row>
    <row r="10" spans="1:12" x14ac:dyDescent="0.3">
      <c r="A10" s="2"/>
    </row>
    <row r="11" spans="1:12" x14ac:dyDescent="0.3">
      <c r="A11" s="1"/>
      <c r="C11" s="4" t="s">
        <v>46</v>
      </c>
      <c r="D11" s="31" t="s">
        <v>47</v>
      </c>
      <c r="E11" s="32"/>
      <c r="F11" s="32"/>
      <c r="G11" s="32"/>
      <c r="H11" s="32"/>
      <c r="I11" s="32"/>
      <c r="J11" s="32"/>
      <c r="K11" s="33"/>
    </row>
    <row r="13" spans="1:12" x14ac:dyDescent="0.3">
      <c r="A13" s="1"/>
    </row>
    <row r="16" spans="1:12" x14ac:dyDescent="0.3">
      <c r="A16" s="29" t="s">
        <v>77</v>
      </c>
      <c r="B16" s="23"/>
      <c r="C16" s="24"/>
      <c r="G16" s="31" t="s">
        <v>76</v>
      </c>
      <c r="H16" s="32"/>
      <c r="I16" s="32"/>
      <c r="J16" s="32"/>
      <c r="K16" s="32"/>
      <c r="L16" s="33"/>
    </row>
    <row r="17" spans="1:3" x14ac:dyDescent="0.3">
      <c r="A17" s="30" t="s">
        <v>75</v>
      </c>
      <c r="B17" s="21"/>
      <c r="C17" s="28"/>
    </row>
    <row r="19" spans="1:3" x14ac:dyDescent="0.3">
      <c r="A19" s="1"/>
    </row>
  </sheetData>
  <dataValidations count="1">
    <dataValidation type="list" allowBlank="1" showInputMessage="1" showErrorMessage="1" sqref="C2" xr:uid="{D666507A-28D0-49A5-A97D-2099483D067B}">
      <formula1>"TSLA,AAPL,AMZN,MSFT,SPY,KO,T,INTC,TGT,GOOG"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Run">
                <anchor moveWithCells="1" sizeWithCells="1">
                  <from>
                    <xdr:col>1</xdr:col>
                    <xdr:colOff>1104900</xdr:colOff>
                    <xdr:row>17</xdr:row>
                    <xdr:rowOff>7620</xdr:rowOff>
                  </from>
                  <to>
                    <xdr:col>2</xdr:col>
                    <xdr:colOff>1226820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Content">
                <anchor moveWithCells="1" sizeWithCells="1">
                  <from>
                    <xdr:col>6</xdr:col>
                    <xdr:colOff>1181100</xdr:colOff>
                    <xdr:row>17</xdr:row>
                    <xdr:rowOff>22860</xdr:rowOff>
                  </from>
                  <to>
                    <xdr:col>8</xdr:col>
                    <xdr:colOff>190500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1"/>
  <sheetViews>
    <sheetView zoomScale="130" zoomScaleNormal="130" workbookViewId="0">
      <selection activeCell="C2" sqref="C2:C61"/>
    </sheetView>
  </sheetViews>
  <sheetFormatPr defaultRowHeight="14.4" x14ac:dyDescent="0.3"/>
  <cols>
    <col min="1" max="1" width="19.44140625" customWidth="1"/>
    <col min="2" max="2" width="21" customWidth="1"/>
    <col min="3" max="3" width="25.21875" customWidth="1"/>
  </cols>
  <sheetData>
    <row r="1" spans="1:3" x14ac:dyDescent="0.3">
      <c r="A1" s="9" t="s">
        <v>0</v>
      </c>
      <c r="B1" s="9" t="s">
        <v>1</v>
      </c>
      <c r="C1" s="9" t="s">
        <v>2</v>
      </c>
    </row>
    <row r="2" spans="1:3" x14ac:dyDescent="0.3">
      <c r="A2" s="8">
        <v>44740</v>
      </c>
      <c r="B2" s="5" t="s">
        <v>55</v>
      </c>
      <c r="C2" s="6">
        <v>232.663330078125</v>
      </c>
    </row>
    <row r="3" spans="1:3" x14ac:dyDescent="0.3">
      <c r="A3" s="8">
        <v>44741</v>
      </c>
      <c r="B3" s="5" t="s">
        <v>55</v>
      </c>
      <c r="C3" s="6">
        <v>228.49000549316401</v>
      </c>
    </row>
    <row r="4" spans="1:3" x14ac:dyDescent="0.3">
      <c r="A4" s="8">
        <v>44742</v>
      </c>
      <c r="B4" s="5" t="s">
        <v>55</v>
      </c>
      <c r="C4" s="6">
        <v>224.47332763671801</v>
      </c>
    </row>
    <row r="5" spans="1:3" x14ac:dyDescent="0.3">
      <c r="A5" s="8">
        <v>44743</v>
      </c>
      <c r="B5" s="5" t="s">
        <v>55</v>
      </c>
      <c r="C5" s="6">
        <v>227.26333618164</v>
      </c>
    </row>
    <row r="6" spans="1:3" x14ac:dyDescent="0.3">
      <c r="A6" s="8">
        <v>44747</v>
      </c>
      <c r="B6" s="5" t="s">
        <v>55</v>
      </c>
      <c r="C6" s="6">
        <v>233.06666564941401</v>
      </c>
    </row>
    <row r="7" spans="1:3" x14ac:dyDescent="0.3">
      <c r="A7" s="8">
        <v>44748</v>
      </c>
      <c r="B7" s="5" t="s">
        <v>55</v>
      </c>
      <c r="C7" s="6">
        <v>231.73333740234301</v>
      </c>
    </row>
    <row r="8" spans="1:3" x14ac:dyDescent="0.3">
      <c r="A8" s="8">
        <v>44749</v>
      </c>
      <c r="B8" s="5" t="s">
        <v>55</v>
      </c>
      <c r="C8" s="6">
        <v>244.54333496093699</v>
      </c>
    </row>
    <row r="9" spans="1:3" x14ac:dyDescent="0.3">
      <c r="A9" s="8">
        <v>44750</v>
      </c>
      <c r="B9" s="5" t="s">
        <v>55</v>
      </c>
      <c r="C9" s="6">
        <v>250.76333618164</v>
      </c>
    </row>
    <row r="10" spans="1:3" x14ac:dyDescent="0.3">
      <c r="A10" s="8">
        <v>44753</v>
      </c>
      <c r="B10" s="5" t="s">
        <v>55</v>
      </c>
      <c r="C10" s="6">
        <v>234.343338012695</v>
      </c>
    </row>
    <row r="11" spans="1:3" x14ac:dyDescent="0.3">
      <c r="A11" s="8">
        <v>44754</v>
      </c>
      <c r="B11" s="5" t="s">
        <v>55</v>
      </c>
      <c r="C11" s="6">
        <v>233.07000732421801</v>
      </c>
    </row>
    <row r="12" spans="1:3" x14ac:dyDescent="0.3">
      <c r="A12" s="8">
        <v>44755</v>
      </c>
      <c r="B12" s="5" t="s">
        <v>55</v>
      </c>
      <c r="C12" s="6">
        <v>237.03999328613199</v>
      </c>
    </row>
    <row r="13" spans="1:3" x14ac:dyDescent="0.3">
      <c r="A13" s="8">
        <v>44756</v>
      </c>
      <c r="B13" s="5" t="s">
        <v>55</v>
      </c>
      <c r="C13" s="6">
        <v>238.31333923339801</v>
      </c>
    </row>
    <row r="14" spans="1:3" x14ac:dyDescent="0.3">
      <c r="A14" s="8">
        <v>44757</v>
      </c>
      <c r="B14" s="5" t="s">
        <v>55</v>
      </c>
      <c r="C14" s="6">
        <v>240.06666564941401</v>
      </c>
    </row>
    <row r="15" spans="1:3" x14ac:dyDescent="0.3">
      <c r="A15" s="8">
        <v>44760</v>
      </c>
      <c r="B15" s="5" t="s">
        <v>55</v>
      </c>
      <c r="C15" s="6">
        <v>240.54666137695301</v>
      </c>
    </row>
    <row r="16" spans="1:3" x14ac:dyDescent="0.3">
      <c r="A16" s="8">
        <v>44761</v>
      </c>
      <c r="B16" s="5" t="s">
        <v>55</v>
      </c>
      <c r="C16" s="6">
        <v>245.52999877929599</v>
      </c>
    </row>
    <row r="17" spans="1:3" x14ac:dyDescent="0.3">
      <c r="A17" s="8">
        <v>44762</v>
      </c>
      <c r="B17" s="5" t="s">
        <v>55</v>
      </c>
      <c r="C17" s="6">
        <v>247.5</v>
      </c>
    </row>
    <row r="18" spans="1:3" x14ac:dyDescent="0.3">
      <c r="A18" s="8">
        <v>44763</v>
      </c>
      <c r="B18" s="5" t="s">
        <v>55</v>
      </c>
      <c r="C18" s="6">
        <v>271.70666503906199</v>
      </c>
    </row>
    <row r="19" spans="1:3" x14ac:dyDescent="0.3">
      <c r="A19" s="8">
        <v>44764</v>
      </c>
      <c r="B19" s="5" t="s">
        <v>55</v>
      </c>
      <c r="C19" s="6">
        <v>272.24334716796801</v>
      </c>
    </row>
    <row r="20" spans="1:3" x14ac:dyDescent="0.3">
      <c r="A20" s="8">
        <v>44767</v>
      </c>
      <c r="B20" s="5" t="s">
        <v>55</v>
      </c>
      <c r="C20" s="6">
        <v>268.43331909179602</v>
      </c>
    </row>
    <row r="21" spans="1:3" x14ac:dyDescent="0.3">
      <c r="A21" s="8">
        <v>44768</v>
      </c>
      <c r="B21" s="5" t="s">
        <v>55</v>
      </c>
      <c r="C21" s="6">
        <v>258.85998535156199</v>
      </c>
    </row>
    <row r="22" spans="1:3" x14ac:dyDescent="0.3">
      <c r="A22" s="8">
        <v>44769</v>
      </c>
      <c r="B22" s="5" t="s">
        <v>55</v>
      </c>
      <c r="C22" s="6">
        <v>274.82000732421801</v>
      </c>
    </row>
    <row r="23" spans="1:3" x14ac:dyDescent="0.3">
      <c r="A23" s="8">
        <v>44770</v>
      </c>
      <c r="B23" s="5" t="s">
        <v>55</v>
      </c>
      <c r="C23" s="6">
        <v>280.89999389648398</v>
      </c>
    </row>
    <row r="24" spans="1:3" x14ac:dyDescent="0.3">
      <c r="A24" s="8">
        <v>44771</v>
      </c>
      <c r="B24" s="5" t="s">
        <v>55</v>
      </c>
      <c r="C24" s="6">
        <v>297.14999389648398</v>
      </c>
    </row>
    <row r="25" spans="1:3" x14ac:dyDescent="0.3">
      <c r="A25" s="8">
        <v>44774</v>
      </c>
      <c r="B25" s="5" t="s">
        <v>55</v>
      </c>
      <c r="C25" s="6">
        <v>297.27667236328102</v>
      </c>
    </row>
    <row r="26" spans="1:3" x14ac:dyDescent="0.3">
      <c r="A26" s="8">
        <v>44775</v>
      </c>
      <c r="B26" s="5" t="s">
        <v>55</v>
      </c>
      <c r="C26" s="6">
        <v>300.586669921875</v>
      </c>
    </row>
    <row r="27" spans="1:3" x14ac:dyDescent="0.3">
      <c r="A27" s="8">
        <v>44776</v>
      </c>
      <c r="B27" s="5" t="s">
        <v>55</v>
      </c>
      <c r="C27" s="6">
        <v>307.39666748046801</v>
      </c>
    </row>
    <row r="28" spans="1:3" x14ac:dyDescent="0.3">
      <c r="A28" s="8">
        <v>44777</v>
      </c>
      <c r="B28" s="5" t="s">
        <v>55</v>
      </c>
      <c r="C28" s="6">
        <v>308.63333129882801</v>
      </c>
    </row>
    <row r="29" spans="1:3" x14ac:dyDescent="0.3">
      <c r="A29" s="8">
        <v>44778</v>
      </c>
      <c r="B29" s="5" t="s">
        <v>55</v>
      </c>
      <c r="C29" s="6">
        <v>288.17001342773398</v>
      </c>
    </row>
    <row r="30" spans="1:3" x14ac:dyDescent="0.3">
      <c r="A30" s="8">
        <v>44781</v>
      </c>
      <c r="B30" s="5" t="s">
        <v>55</v>
      </c>
      <c r="C30" s="6">
        <v>290.42333984375</v>
      </c>
    </row>
    <row r="31" spans="1:3" x14ac:dyDescent="0.3">
      <c r="A31" s="8">
        <v>44782</v>
      </c>
      <c r="B31" s="5" t="s">
        <v>55</v>
      </c>
      <c r="C31" s="6">
        <v>283.33334350585898</v>
      </c>
    </row>
    <row r="32" spans="1:3" x14ac:dyDescent="0.3">
      <c r="A32" s="8">
        <v>44783</v>
      </c>
      <c r="B32" s="5" t="s">
        <v>55</v>
      </c>
      <c r="C32" s="6">
        <v>294.35665893554602</v>
      </c>
    </row>
    <row r="33" spans="1:3" x14ac:dyDescent="0.3">
      <c r="A33" s="8">
        <v>44784</v>
      </c>
      <c r="B33" s="5" t="s">
        <v>55</v>
      </c>
      <c r="C33" s="6">
        <v>286.63000488281199</v>
      </c>
    </row>
    <row r="34" spans="1:3" x14ac:dyDescent="0.3">
      <c r="A34" s="8">
        <v>44785</v>
      </c>
      <c r="B34" s="5" t="s">
        <v>55</v>
      </c>
      <c r="C34" s="6">
        <v>300.02999877929602</v>
      </c>
    </row>
    <row r="35" spans="1:3" x14ac:dyDescent="0.3">
      <c r="A35" s="8">
        <v>44788</v>
      </c>
      <c r="B35" s="5" t="s">
        <v>55</v>
      </c>
      <c r="C35" s="6">
        <v>309.32000732421801</v>
      </c>
    </row>
    <row r="36" spans="1:3" x14ac:dyDescent="0.3">
      <c r="A36" s="8">
        <v>44789</v>
      </c>
      <c r="B36" s="5" t="s">
        <v>55</v>
      </c>
      <c r="C36" s="6">
        <v>306.56332397460898</v>
      </c>
    </row>
    <row r="37" spans="1:3" x14ac:dyDescent="0.3">
      <c r="A37" s="8">
        <v>44790</v>
      </c>
      <c r="B37" s="5" t="s">
        <v>55</v>
      </c>
      <c r="C37" s="6">
        <v>303.99667358398398</v>
      </c>
    </row>
    <row r="38" spans="1:3" x14ac:dyDescent="0.3">
      <c r="A38" s="8">
        <v>44791</v>
      </c>
      <c r="B38" s="5" t="s">
        <v>55</v>
      </c>
      <c r="C38" s="6">
        <v>302.86999511718699</v>
      </c>
    </row>
    <row r="39" spans="1:3" x14ac:dyDescent="0.3">
      <c r="A39" s="8">
        <v>44792</v>
      </c>
      <c r="B39" s="5" t="s">
        <v>55</v>
      </c>
      <c r="C39" s="6">
        <v>296.66665649414</v>
      </c>
    </row>
    <row r="40" spans="1:3" x14ac:dyDescent="0.3">
      <c r="A40" s="8">
        <v>44795</v>
      </c>
      <c r="B40" s="5" t="s">
        <v>55</v>
      </c>
      <c r="C40" s="6">
        <v>289.913330078125</v>
      </c>
    </row>
    <row r="41" spans="1:3" x14ac:dyDescent="0.3">
      <c r="A41" s="8">
        <v>44796</v>
      </c>
      <c r="B41" s="5" t="s">
        <v>55</v>
      </c>
      <c r="C41" s="6">
        <v>296.45333862304602</v>
      </c>
    </row>
    <row r="42" spans="1:3" x14ac:dyDescent="0.3">
      <c r="A42" s="8">
        <v>44797</v>
      </c>
      <c r="B42" s="5" t="s">
        <v>55</v>
      </c>
      <c r="C42" s="6">
        <v>297.0966796875</v>
      </c>
    </row>
    <row r="43" spans="1:3" x14ac:dyDescent="0.3">
      <c r="A43" s="8">
        <v>44798</v>
      </c>
      <c r="B43" s="5" t="s">
        <v>55</v>
      </c>
      <c r="C43" s="6">
        <v>296.07000732421801</v>
      </c>
    </row>
    <row r="44" spans="1:3" x14ac:dyDescent="0.3">
      <c r="A44" s="8">
        <v>44799</v>
      </c>
      <c r="B44" s="5" t="s">
        <v>55</v>
      </c>
      <c r="C44" s="6">
        <v>288.08999633789</v>
      </c>
    </row>
    <row r="45" spans="1:3" x14ac:dyDescent="0.3">
      <c r="A45" s="8">
        <v>44802</v>
      </c>
      <c r="B45" s="5" t="s">
        <v>55</v>
      </c>
      <c r="C45" s="6">
        <v>284.82000732421801</v>
      </c>
    </row>
    <row r="46" spans="1:3" x14ac:dyDescent="0.3">
      <c r="A46" s="8">
        <v>44803</v>
      </c>
      <c r="B46" s="5" t="s">
        <v>55</v>
      </c>
      <c r="C46" s="6">
        <v>277.70001220703102</v>
      </c>
    </row>
    <row r="47" spans="1:3" x14ac:dyDescent="0.3">
      <c r="A47" s="8">
        <v>44804</v>
      </c>
      <c r="B47" s="5" t="s">
        <v>55</v>
      </c>
      <c r="C47" s="6">
        <v>275.60998535156199</v>
      </c>
    </row>
    <row r="48" spans="1:3" x14ac:dyDescent="0.3">
      <c r="A48" s="8">
        <v>44805</v>
      </c>
      <c r="B48" s="5" t="s">
        <v>55</v>
      </c>
      <c r="C48" s="6">
        <v>277.16000366210898</v>
      </c>
    </row>
    <row r="49" spans="1:3" x14ac:dyDescent="0.3">
      <c r="A49" s="8">
        <v>44806</v>
      </c>
      <c r="B49" s="5" t="s">
        <v>55</v>
      </c>
      <c r="C49" s="6">
        <v>270.20999145507801</v>
      </c>
    </row>
    <row r="50" spans="1:3" x14ac:dyDescent="0.3">
      <c r="A50" s="8">
        <v>44810</v>
      </c>
      <c r="B50" s="5" t="s">
        <v>55</v>
      </c>
      <c r="C50" s="6">
        <v>274.42001342773398</v>
      </c>
    </row>
    <row r="51" spans="1:3" x14ac:dyDescent="0.3">
      <c r="A51" s="8">
        <v>44811</v>
      </c>
      <c r="B51" s="5" t="s">
        <v>55</v>
      </c>
      <c r="C51" s="6">
        <v>283.70001220703102</v>
      </c>
    </row>
    <row r="52" spans="1:3" x14ac:dyDescent="0.3">
      <c r="A52" s="8">
        <v>44812</v>
      </c>
      <c r="B52" s="5" t="s">
        <v>55</v>
      </c>
      <c r="C52" s="6">
        <v>289.260009765625</v>
      </c>
    </row>
    <row r="53" spans="1:3" x14ac:dyDescent="0.3">
      <c r="A53" s="8">
        <v>44813</v>
      </c>
      <c r="B53" s="5" t="s">
        <v>55</v>
      </c>
      <c r="C53" s="6">
        <v>299.67999267578102</v>
      </c>
    </row>
    <row r="54" spans="1:3" x14ac:dyDescent="0.3">
      <c r="A54" s="8">
        <v>44816</v>
      </c>
      <c r="B54" s="5" t="s">
        <v>55</v>
      </c>
      <c r="C54" s="6">
        <v>304.42001342773398</v>
      </c>
    </row>
    <row r="55" spans="1:3" x14ac:dyDescent="0.3">
      <c r="A55" s="8">
        <v>44817</v>
      </c>
      <c r="B55" s="5" t="s">
        <v>55</v>
      </c>
      <c r="C55" s="6">
        <v>292.13000488281199</v>
      </c>
    </row>
    <row r="56" spans="1:3" x14ac:dyDescent="0.3">
      <c r="A56" s="8">
        <v>44818</v>
      </c>
      <c r="B56" s="5" t="s">
        <v>55</v>
      </c>
      <c r="C56" s="6">
        <v>302.60998535156199</v>
      </c>
    </row>
    <row r="57" spans="1:3" x14ac:dyDescent="0.3">
      <c r="A57" s="8">
        <v>44819</v>
      </c>
      <c r="B57" s="5" t="s">
        <v>55</v>
      </c>
      <c r="C57" s="6">
        <v>303.75</v>
      </c>
    </row>
    <row r="58" spans="1:3" x14ac:dyDescent="0.3">
      <c r="A58" s="8">
        <v>44820</v>
      </c>
      <c r="B58" s="5" t="s">
        <v>55</v>
      </c>
      <c r="C58" s="6">
        <v>303.350006103515</v>
      </c>
    </row>
    <row r="59" spans="1:3" x14ac:dyDescent="0.3">
      <c r="A59" s="8">
        <v>44823</v>
      </c>
      <c r="B59" s="5" t="s">
        <v>55</v>
      </c>
      <c r="C59" s="6">
        <v>309.07000732421801</v>
      </c>
    </row>
    <row r="60" spans="1:3" x14ac:dyDescent="0.3">
      <c r="A60" s="8">
        <v>44824</v>
      </c>
      <c r="B60" s="5" t="s">
        <v>55</v>
      </c>
      <c r="C60" s="6">
        <v>308.73001098632801</v>
      </c>
    </row>
    <row r="61" spans="1:3" x14ac:dyDescent="0.3">
      <c r="A61" s="8">
        <v>44825</v>
      </c>
      <c r="B61" s="5" t="s">
        <v>55</v>
      </c>
      <c r="C61" s="6">
        <v>300.79998779296801</v>
      </c>
    </row>
    <row r="62" spans="1:3" x14ac:dyDescent="0.3">
      <c r="A62" s="8">
        <v>44826</v>
      </c>
      <c r="B62" s="5" t="s">
        <v>55</v>
      </c>
      <c r="C62" s="6">
        <v>288.58999633789</v>
      </c>
    </row>
    <row r="63" spans="1:3" x14ac:dyDescent="0.3">
      <c r="A63" s="8">
        <v>44827</v>
      </c>
      <c r="B63" s="5" t="s">
        <v>55</v>
      </c>
      <c r="C63" s="6">
        <v>275.329986572265</v>
      </c>
    </row>
    <row r="64" spans="1:3" x14ac:dyDescent="0.3">
      <c r="A64" s="8">
        <v>44830</v>
      </c>
      <c r="B64" s="5" t="s">
        <v>55</v>
      </c>
      <c r="C64" s="6">
        <v>276.010009765625</v>
      </c>
    </row>
    <row r="65" spans="1:3" x14ac:dyDescent="0.3">
      <c r="A65" s="8">
        <v>44831</v>
      </c>
      <c r="B65" s="5" t="s">
        <v>55</v>
      </c>
      <c r="C65" s="6">
        <v>282.94000244140602</v>
      </c>
    </row>
    <row r="66" spans="1:3" x14ac:dyDescent="0.3">
      <c r="A66" s="8">
        <v>44832</v>
      </c>
      <c r="B66" s="5" t="s">
        <v>55</v>
      </c>
      <c r="C66" s="6">
        <v>287.80999755859301</v>
      </c>
    </row>
    <row r="67" spans="1:3" x14ac:dyDescent="0.3">
      <c r="A67" s="8">
        <v>44833</v>
      </c>
      <c r="B67" s="5" t="s">
        <v>55</v>
      </c>
      <c r="C67" s="6">
        <v>268.20999145507801</v>
      </c>
    </row>
    <row r="68" spans="1:3" x14ac:dyDescent="0.3">
      <c r="A68" s="8">
        <v>44834</v>
      </c>
      <c r="B68" s="5" t="s">
        <v>55</v>
      </c>
      <c r="C68" s="6">
        <v>265.25</v>
      </c>
    </row>
    <row r="69" spans="1:3" x14ac:dyDescent="0.3">
      <c r="A69" s="8">
        <v>44837</v>
      </c>
      <c r="B69" s="5" t="s">
        <v>55</v>
      </c>
      <c r="C69" s="6">
        <v>242.39999389648401</v>
      </c>
    </row>
    <row r="70" spans="1:3" x14ac:dyDescent="0.3">
      <c r="A70" s="8">
        <v>44838</v>
      </c>
      <c r="B70" s="5" t="s">
        <v>55</v>
      </c>
      <c r="C70" s="6">
        <v>249.44000244140599</v>
      </c>
    </row>
    <row r="71" spans="1:3" x14ac:dyDescent="0.3">
      <c r="A71" s="8">
        <v>44839</v>
      </c>
      <c r="B71" s="5" t="s">
        <v>55</v>
      </c>
      <c r="C71" s="6">
        <v>240.80999755859301</v>
      </c>
    </row>
    <row r="72" spans="1:3" x14ac:dyDescent="0.3">
      <c r="A72" s="8">
        <v>44840</v>
      </c>
      <c r="B72" s="5" t="s">
        <v>55</v>
      </c>
      <c r="C72" s="6">
        <v>238.13000488281199</v>
      </c>
    </row>
    <row r="73" spans="1:3" x14ac:dyDescent="0.3">
      <c r="A73" s="8">
        <v>44841</v>
      </c>
      <c r="B73" s="5" t="s">
        <v>55</v>
      </c>
      <c r="C73" s="6">
        <v>223.07000732421801</v>
      </c>
    </row>
    <row r="74" spans="1:3" x14ac:dyDescent="0.3">
      <c r="A74" s="8">
        <v>44844</v>
      </c>
      <c r="B74" s="5" t="s">
        <v>55</v>
      </c>
      <c r="C74" s="6">
        <v>222.96000671386699</v>
      </c>
    </row>
    <row r="75" spans="1:3" x14ac:dyDescent="0.3">
      <c r="A75" s="8">
        <v>44845</v>
      </c>
      <c r="B75" s="5" t="s">
        <v>55</v>
      </c>
      <c r="C75" s="6">
        <v>216.5</v>
      </c>
    </row>
    <row r="76" spans="1:3" x14ac:dyDescent="0.3">
      <c r="A76" s="8">
        <v>44846</v>
      </c>
      <c r="B76" s="5" t="s">
        <v>55</v>
      </c>
      <c r="C76" s="6">
        <v>217.24000549316401</v>
      </c>
    </row>
    <row r="77" spans="1:3" x14ac:dyDescent="0.3">
      <c r="A77" s="8">
        <v>44847</v>
      </c>
      <c r="B77" s="5" t="s">
        <v>55</v>
      </c>
      <c r="C77" s="6">
        <v>221.72000122070301</v>
      </c>
    </row>
    <row r="78" spans="1:3" x14ac:dyDescent="0.3">
      <c r="A78" s="8">
        <v>44848</v>
      </c>
      <c r="B78" s="5" t="s">
        <v>55</v>
      </c>
      <c r="C78" s="6">
        <v>204.99000549316401</v>
      </c>
    </row>
    <row r="79" spans="1:3" x14ac:dyDescent="0.3">
      <c r="A79" s="8">
        <v>44851</v>
      </c>
      <c r="B79" s="5" t="s">
        <v>55</v>
      </c>
      <c r="C79" s="6">
        <v>219.350006103515</v>
      </c>
    </row>
    <row r="80" spans="1:3" x14ac:dyDescent="0.3">
      <c r="A80" s="8">
        <v>44852</v>
      </c>
      <c r="B80" s="5" t="s">
        <v>55</v>
      </c>
      <c r="C80" s="6">
        <v>220.19000244140599</v>
      </c>
    </row>
    <row r="81" spans="1:3" x14ac:dyDescent="0.3">
      <c r="A81" s="8">
        <v>44853</v>
      </c>
      <c r="B81" s="5" t="s">
        <v>55</v>
      </c>
      <c r="C81" s="6">
        <v>222.03999328613199</v>
      </c>
    </row>
    <row r="82" spans="1:3" x14ac:dyDescent="0.3">
      <c r="A82" s="8">
        <v>44854</v>
      </c>
      <c r="B82" s="5" t="s">
        <v>55</v>
      </c>
      <c r="C82" s="6">
        <v>207.27999877929599</v>
      </c>
    </row>
    <row r="83" spans="1:3" x14ac:dyDescent="0.3">
      <c r="A83" s="8">
        <v>44855</v>
      </c>
      <c r="B83" s="5" t="s">
        <v>55</v>
      </c>
      <c r="C83" s="6">
        <v>214.44000244140599</v>
      </c>
    </row>
    <row r="84" spans="1:3" x14ac:dyDescent="0.3">
      <c r="A84" s="8">
        <v>44858</v>
      </c>
      <c r="B84" s="5" t="s">
        <v>55</v>
      </c>
      <c r="C84" s="6">
        <v>211.25</v>
      </c>
    </row>
    <row r="85" spans="1:3" x14ac:dyDescent="0.3">
      <c r="A85" s="8">
        <v>44859</v>
      </c>
      <c r="B85" s="5" t="s">
        <v>55</v>
      </c>
      <c r="C85" s="6">
        <v>222.419998168945</v>
      </c>
    </row>
    <row r="86" spans="1:3" x14ac:dyDescent="0.3">
      <c r="A86" s="8">
        <v>44860</v>
      </c>
      <c r="B86" s="5" t="s">
        <v>55</v>
      </c>
      <c r="C86" s="6">
        <v>224.63999938964801</v>
      </c>
    </row>
    <row r="87" spans="1:3" x14ac:dyDescent="0.3">
      <c r="A87" s="8">
        <v>44861</v>
      </c>
      <c r="B87" s="5" t="s">
        <v>55</v>
      </c>
      <c r="C87" s="6">
        <v>225.08999633789</v>
      </c>
    </row>
    <row r="88" spans="1:3" x14ac:dyDescent="0.3">
      <c r="A88" s="8">
        <v>44862</v>
      </c>
      <c r="B88" s="5" t="s">
        <v>55</v>
      </c>
      <c r="C88" s="6">
        <v>228.52000427246</v>
      </c>
    </row>
    <row r="89" spans="1:3" x14ac:dyDescent="0.3">
      <c r="A89" s="8">
        <v>44865</v>
      </c>
      <c r="B89" s="5" t="s">
        <v>55</v>
      </c>
      <c r="C89" s="6">
        <v>227.53999328613199</v>
      </c>
    </row>
    <row r="90" spans="1:3" x14ac:dyDescent="0.3">
      <c r="A90" s="8">
        <v>44866</v>
      </c>
      <c r="B90" s="5" t="s">
        <v>55</v>
      </c>
      <c r="C90" s="6">
        <v>227.82000732421801</v>
      </c>
    </row>
    <row r="91" spans="1:3" x14ac:dyDescent="0.3">
      <c r="A91" s="8">
        <v>44867</v>
      </c>
      <c r="B91" s="5" t="s">
        <v>55</v>
      </c>
      <c r="C91" s="6">
        <v>214.97999572753901</v>
      </c>
    </row>
    <row r="92" spans="1:3" x14ac:dyDescent="0.3">
      <c r="A92" s="8">
        <v>44868</v>
      </c>
      <c r="B92" s="5" t="s">
        <v>55</v>
      </c>
      <c r="C92" s="6">
        <v>215.30999755859301</v>
      </c>
    </row>
    <row r="93" spans="1:3" x14ac:dyDescent="0.3">
      <c r="A93" s="8">
        <v>44869</v>
      </c>
      <c r="B93" s="5" t="s">
        <v>55</v>
      </c>
      <c r="C93" s="6">
        <v>207.47000122070301</v>
      </c>
    </row>
    <row r="94" spans="1:3" x14ac:dyDescent="0.3">
      <c r="A94" s="8">
        <v>44872</v>
      </c>
      <c r="B94" s="5" t="s">
        <v>55</v>
      </c>
      <c r="C94" s="6">
        <v>197.08000183105401</v>
      </c>
    </row>
    <row r="95" spans="1:3" x14ac:dyDescent="0.3">
      <c r="A95" s="8">
        <v>44873</v>
      </c>
      <c r="B95" s="5" t="s">
        <v>55</v>
      </c>
      <c r="C95" s="6">
        <v>191.30000305175699</v>
      </c>
    </row>
    <row r="96" spans="1:3" x14ac:dyDescent="0.3">
      <c r="A96" s="8">
        <v>44874</v>
      </c>
      <c r="B96" s="5" t="s">
        <v>55</v>
      </c>
      <c r="C96" s="6">
        <v>177.58999633789</v>
      </c>
    </row>
    <row r="97" spans="1:3" x14ac:dyDescent="0.3">
      <c r="A97" s="8">
        <v>44875</v>
      </c>
      <c r="B97" s="5" t="s">
        <v>55</v>
      </c>
      <c r="C97" s="6">
        <v>190.72000122070301</v>
      </c>
    </row>
    <row r="98" spans="1:3" x14ac:dyDescent="0.3">
      <c r="A98" s="8">
        <v>44876</v>
      </c>
      <c r="B98" s="5" t="s">
        <v>55</v>
      </c>
      <c r="C98" s="6">
        <v>195.97000122070301</v>
      </c>
    </row>
    <row r="99" spans="1:3" x14ac:dyDescent="0.3">
      <c r="A99" s="8">
        <v>44879</v>
      </c>
      <c r="B99" s="5" t="s">
        <v>55</v>
      </c>
      <c r="C99" s="6">
        <v>190.94999694824199</v>
      </c>
    </row>
    <row r="100" spans="1:3" x14ac:dyDescent="0.3">
      <c r="A100" s="8">
        <v>44880</v>
      </c>
      <c r="B100" s="5" t="s">
        <v>55</v>
      </c>
      <c r="C100" s="6">
        <v>194.419998168945</v>
      </c>
    </row>
    <row r="101" spans="1:3" x14ac:dyDescent="0.3">
      <c r="A101" s="8">
        <v>44881</v>
      </c>
      <c r="B101" s="5" t="s">
        <v>55</v>
      </c>
      <c r="C101" s="6">
        <v>186.919998168945</v>
      </c>
    </row>
    <row r="102" spans="1:3" x14ac:dyDescent="0.3">
      <c r="A102" s="8">
        <v>44740</v>
      </c>
      <c r="B102" s="5" t="s">
        <v>56</v>
      </c>
      <c r="C102" s="6">
        <v>137.02206420898401</v>
      </c>
    </row>
    <row r="103" spans="1:3" x14ac:dyDescent="0.3">
      <c r="A103" s="8">
        <v>44741</v>
      </c>
      <c r="B103" s="5" t="s">
        <v>56</v>
      </c>
      <c r="C103" s="6">
        <v>138.80661010742099</v>
      </c>
    </row>
    <row r="104" spans="1:3" x14ac:dyDescent="0.3">
      <c r="A104" s="8">
        <v>44742</v>
      </c>
      <c r="B104" s="5" t="s">
        <v>56</v>
      </c>
      <c r="C104" s="6">
        <v>136.30424499511699</v>
      </c>
    </row>
    <row r="105" spans="1:3" x14ac:dyDescent="0.3">
      <c r="A105" s="8">
        <v>44743</v>
      </c>
      <c r="B105" s="5" t="s">
        <v>56</v>
      </c>
      <c r="C105" s="6">
        <v>138.50750732421801</v>
      </c>
    </row>
    <row r="106" spans="1:3" x14ac:dyDescent="0.3">
      <c r="A106" s="8">
        <v>44747</v>
      </c>
      <c r="B106" s="5" t="s">
        <v>56</v>
      </c>
      <c r="C106" s="6">
        <v>141.12953186035099</v>
      </c>
    </row>
    <row r="107" spans="1:3" x14ac:dyDescent="0.3">
      <c r="A107" s="8">
        <v>44748</v>
      </c>
      <c r="B107" s="5" t="s">
        <v>56</v>
      </c>
      <c r="C107" s="6">
        <v>142.48538208007801</v>
      </c>
    </row>
    <row r="108" spans="1:3" x14ac:dyDescent="0.3">
      <c r="A108" s="8">
        <v>44749</v>
      </c>
      <c r="B108" s="5" t="s">
        <v>56</v>
      </c>
      <c r="C108" s="6">
        <v>145.90496826171801</v>
      </c>
    </row>
    <row r="109" spans="1:3" x14ac:dyDescent="0.3">
      <c r="A109" s="8">
        <v>44750</v>
      </c>
      <c r="B109" s="5" t="s">
        <v>56</v>
      </c>
      <c r="C109" s="6">
        <v>146.592849731445</v>
      </c>
    </row>
    <row r="110" spans="1:3" x14ac:dyDescent="0.3">
      <c r="A110" s="8">
        <v>44753</v>
      </c>
      <c r="B110" s="5" t="s">
        <v>56</v>
      </c>
      <c r="C110" s="6">
        <v>144.42945861816401</v>
      </c>
    </row>
    <row r="111" spans="1:3" x14ac:dyDescent="0.3">
      <c r="A111" s="8">
        <v>44754</v>
      </c>
      <c r="B111" s="5" t="s">
        <v>56</v>
      </c>
      <c r="C111" s="6">
        <v>145.41644287109301</v>
      </c>
    </row>
    <row r="112" spans="1:3" x14ac:dyDescent="0.3">
      <c r="A112" s="8">
        <v>44755</v>
      </c>
      <c r="B112" s="5" t="s">
        <v>56</v>
      </c>
      <c r="C112" s="6">
        <v>145.04757690429599</v>
      </c>
    </row>
    <row r="113" spans="1:3" x14ac:dyDescent="0.3">
      <c r="A113" s="8">
        <v>44756</v>
      </c>
      <c r="B113" s="5" t="s">
        <v>56</v>
      </c>
      <c r="C113" s="6">
        <v>148.01852416992099</v>
      </c>
    </row>
    <row r="114" spans="1:3" x14ac:dyDescent="0.3">
      <c r="A114" s="8">
        <v>44757</v>
      </c>
      <c r="B114" s="5" t="s">
        <v>56</v>
      </c>
      <c r="C114" s="6">
        <v>149.71333312988199</v>
      </c>
    </row>
    <row r="115" spans="1:3" x14ac:dyDescent="0.3">
      <c r="A115" s="8">
        <v>44760</v>
      </c>
      <c r="B115" s="5" t="s">
        <v>56</v>
      </c>
      <c r="C115" s="6">
        <v>146.622787475585</v>
      </c>
    </row>
    <row r="116" spans="1:3" x14ac:dyDescent="0.3">
      <c r="A116" s="8">
        <v>44761</v>
      </c>
      <c r="B116" s="5" t="s">
        <v>56</v>
      </c>
      <c r="C116" s="6">
        <v>150.54081726074199</v>
      </c>
    </row>
    <row r="117" spans="1:3" x14ac:dyDescent="0.3">
      <c r="A117" s="8">
        <v>44762</v>
      </c>
      <c r="B117" s="5" t="s">
        <v>56</v>
      </c>
      <c r="C117" s="6">
        <v>152.574615478515</v>
      </c>
    </row>
    <row r="118" spans="1:3" x14ac:dyDescent="0.3">
      <c r="A118" s="8">
        <v>44763</v>
      </c>
      <c r="B118" s="5" t="s">
        <v>56</v>
      </c>
      <c r="C118" s="6">
        <v>154.87759399414</v>
      </c>
    </row>
    <row r="119" spans="1:3" x14ac:dyDescent="0.3">
      <c r="A119" s="8">
        <v>44764</v>
      </c>
      <c r="B119" s="5" t="s">
        <v>56</v>
      </c>
      <c r="C119" s="6">
        <v>153.62141418457</v>
      </c>
    </row>
    <row r="120" spans="1:3" x14ac:dyDescent="0.3">
      <c r="A120" s="8">
        <v>44767</v>
      </c>
      <c r="B120" s="5" t="s">
        <v>56</v>
      </c>
      <c r="C120" s="6">
        <v>152.48489379882801</v>
      </c>
    </row>
    <row r="121" spans="1:3" x14ac:dyDescent="0.3">
      <c r="A121" s="8">
        <v>44768</v>
      </c>
      <c r="B121" s="5" t="s">
        <v>56</v>
      </c>
      <c r="C121" s="6">
        <v>151.13899230957</v>
      </c>
    </row>
    <row r="122" spans="1:3" x14ac:dyDescent="0.3">
      <c r="A122" s="8">
        <v>44769</v>
      </c>
      <c r="B122" s="5" t="s">
        <v>56</v>
      </c>
      <c r="C122" s="6">
        <v>156.31320190429599</v>
      </c>
    </row>
    <row r="123" spans="1:3" x14ac:dyDescent="0.3">
      <c r="A123" s="8">
        <v>44770</v>
      </c>
      <c r="B123" s="5" t="s">
        <v>56</v>
      </c>
      <c r="C123" s="6">
        <v>156.87152099609301</v>
      </c>
    </row>
    <row r="124" spans="1:3" x14ac:dyDescent="0.3">
      <c r="A124" s="8">
        <v>44771</v>
      </c>
      <c r="B124" s="5" t="s">
        <v>56</v>
      </c>
      <c r="C124" s="6">
        <v>162.01580810546801</v>
      </c>
    </row>
    <row r="125" spans="1:3" x14ac:dyDescent="0.3">
      <c r="A125" s="8">
        <v>44774</v>
      </c>
      <c r="B125" s="5" t="s">
        <v>56</v>
      </c>
      <c r="C125" s="6">
        <v>161.01884460449199</v>
      </c>
    </row>
    <row r="126" spans="1:3" x14ac:dyDescent="0.3">
      <c r="A126" s="8">
        <v>44775</v>
      </c>
      <c r="B126" s="5" t="s">
        <v>56</v>
      </c>
      <c r="C126" s="6">
        <v>159.52340698242099</v>
      </c>
    </row>
    <row r="127" spans="1:3" x14ac:dyDescent="0.3">
      <c r="A127" s="8">
        <v>44776</v>
      </c>
      <c r="B127" s="5" t="s">
        <v>56</v>
      </c>
      <c r="C127" s="6">
        <v>165.62481689453099</v>
      </c>
    </row>
    <row r="128" spans="1:3" x14ac:dyDescent="0.3">
      <c r="A128" s="8">
        <v>44777</v>
      </c>
      <c r="B128" s="5" t="s">
        <v>56</v>
      </c>
      <c r="C128" s="6">
        <v>165.30578613281199</v>
      </c>
    </row>
    <row r="129" spans="1:3" x14ac:dyDescent="0.3">
      <c r="A129" s="8">
        <v>44778</v>
      </c>
      <c r="B129" s="5" t="s">
        <v>56</v>
      </c>
      <c r="C129" s="6">
        <v>165.076171875</v>
      </c>
    </row>
    <row r="130" spans="1:3" x14ac:dyDescent="0.3">
      <c r="A130" s="8">
        <v>44781</v>
      </c>
      <c r="B130" s="5" t="s">
        <v>56</v>
      </c>
      <c r="C130" s="6">
        <v>164.59695434570301</v>
      </c>
    </row>
    <row r="131" spans="1:3" x14ac:dyDescent="0.3">
      <c r="A131" s="8">
        <v>44782</v>
      </c>
      <c r="B131" s="5" t="s">
        <v>56</v>
      </c>
      <c r="C131" s="6">
        <v>164.64686584472599</v>
      </c>
    </row>
    <row r="132" spans="1:3" x14ac:dyDescent="0.3">
      <c r="A132" s="8">
        <v>44783</v>
      </c>
      <c r="B132" s="5" t="s">
        <v>56</v>
      </c>
      <c r="C132" s="6">
        <v>168.95973205566401</v>
      </c>
    </row>
    <row r="133" spans="1:3" x14ac:dyDescent="0.3">
      <c r="A133" s="8">
        <v>44784</v>
      </c>
      <c r="B133" s="5" t="s">
        <v>56</v>
      </c>
      <c r="C133" s="6">
        <v>168.21096801757801</v>
      </c>
    </row>
    <row r="134" spans="1:3" x14ac:dyDescent="0.3">
      <c r="A134" s="8">
        <v>44785</v>
      </c>
      <c r="B134" s="5" t="s">
        <v>56</v>
      </c>
      <c r="C134" s="6">
        <v>171.81498718261699</v>
      </c>
    </row>
    <row r="135" spans="1:3" x14ac:dyDescent="0.3">
      <c r="A135" s="8">
        <v>44788</v>
      </c>
      <c r="B135" s="5" t="s">
        <v>56</v>
      </c>
      <c r="C135" s="6">
        <v>172.90318298339801</v>
      </c>
    </row>
    <row r="136" spans="1:3" x14ac:dyDescent="0.3">
      <c r="A136" s="8">
        <v>44789</v>
      </c>
      <c r="B136" s="5" t="s">
        <v>56</v>
      </c>
      <c r="C136" s="6">
        <v>172.74343872070301</v>
      </c>
    </row>
    <row r="137" spans="1:3" x14ac:dyDescent="0.3">
      <c r="A137" s="8">
        <v>44790</v>
      </c>
      <c r="B137" s="5" t="s">
        <v>56</v>
      </c>
      <c r="C137" s="6">
        <v>174.26092529296801</v>
      </c>
    </row>
    <row r="138" spans="1:3" x14ac:dyDescent="0.3">
      <c r="A138" s="8">
        <v>44791</v>
      </c>
      <c r="B138" s="5" t="s">
        <v>56</v>
      </c>
      <c r="C138" s="6">
        <v>173.86158752441401</v>
      </c>
    </row>
    <row r="139" spans="1:3" x14ac:dyDescent="0.3">
      <c r="A139" s="8">
        <v>44792</v>
      </c>
      <c r="B139" s="5" t="s">
        <v>56</v>
      </c>
      <c r="C139" s="6">
        <v>171.23594665527301</v>
      </c>
    </row>
    <row r="140" spans="1:3" x14ac:dyDescent="0.3">
      <c r="A140" s="8">
        <v>44795</v>
      </c>
      <c r="B140" s="5" t="s">
        <v>56</v>
      </c>
      <c r="C140" s="6">
        <v>167.29249572753901</v>
      </c>
    </row>
    <row r="141" spans="1:3" x14ac:dyDescent="0.3">
      <c r="A141" s="8">
        <v>44796</v>
      </c>
      <c r="B141" s="5" t="s">
        <v>56</v>
      </c>
      <c r="C141" s="6">
        <v>166.95304870605401</v>
      </c>
    </row>
    <row r="142" spans="1:3" x14ac:dyDescent="0.3">
      <c r="A142" s="8">
        <v>44797</v>
      </c>
      <c r="B142" s="5" t="s">
        <v>56</v>
      </c>
      <c r="C142" s="6">
        <v>167.25254821777301</v>
      </c>
    </row>
    <row r="143" spans="1:3" x14ac:dyDescent="0.3">
      <c r="A143" s="8">
        <v>44798</v>
      </c>
      <c r="B143" s="5" t="s">
        <v>56</v>
      </c>
      <c r="C143" s="6">
        <v>169.74841308593699</v>
      </c>
    </row>
    <row r="144" spans="1:3" x14ac:dyDescent="0.3">
      <c r="A144" s="8">
        <v>44799</v>
      </c>
      <c r="B144" s="5" t="s">
        <v>56</v>
      </c>
      <c r="C144" s="6">
        <v>163.34901428222599</v>
      </c>
    </row>
    <row r="145" spans="1:3" x14ac:dyDescent="0.3">
      <c r="A145" s="8">
        <v>44802</v>
      </c>
      <c r="B145" s="5" t="s">
        <v>56</v>
      </c>
      <c r="C145" s="6">
        <v>161.11274719238199</v>
      </c>
    </row>
    <row r="146" spans="1:3" x14ac:dyDescent="0.3">
      <c r="A146" s="8">
        <v>44803</v>
      </c>
      <c r="B146" s="5" t="s">
        <v>56</v>
      </c>
      <c r="C146" s="6">
        <v>158.64683532714801</v>
      </c>
    </row>
    <row r="147" spans="1:3" x14ac:dyDescent="0.3">
      <c r="A147" s="8">
        <v>44804</v>
      </c>
      <c r="B147" s="5" t="s">
        <v>56</v>
      </c>
      <c r="C147" s="6">
        <v>156.95962524414</v>
      </c>
    </row>
    <row r="148" spans="1:3" x14ac:dyDescent="0.3">
      <c r="A148" s="8">
        <v>44805</v>
      </c>
      <c r="B148" s="5" t="s">
        <v>56</v>
      </c>
      <c r="C148" s="6">
        <v>157.69841003417901</v>
      </c>
    </row>
    <row r="149" spans="1:3" x14ac:dyDescent="0.3">
      <c r="A149" s="8">
        <v>44806</v>
      </c>
      <c r="B149" s="5" t="s">
        <v>56</v>
      </c>
      <c r="C149" s="6">
        <v>155.55195617675699</v>
      </c>
    </row>
    <row r="150" spans="1:3" x14ac:dyDescent="0.3">
      <c r="A150" s="8">
        <v>44810</v>
      </c>
      <c r="B150" s="5" t="s">
        <v>56</v>
      </c>
      <c r="C150" s="6">
        <v>154.27407836914</v>
      </c>
    </row>
    <row r="151" spans="1:3" x14ac:dyDescent="0.3">
      <c r="A151" s="8">
        <v>44811</v>
      </c>
      <c r="B151" s="5" t="s">
        <v>56</v>
      </c>
      <c r="C151" s="6">
        <v>155.70172119140599</v>
      </c>
    </row>
    <row r="152" spans="1:3" x14ac:dyDescent="0.3">
      <c r="A152" s="8">
        <v>44812</v>
      </c>
      <c r="B152" s="5" t="s">
        <v>56</v>
      </c>
      <c r="C152" s="6">
        <v>154.20420837402301</v>
      </c>
    </row>
    <row r="153" spans="1:3" x14ac:dyDescent="0.3">
      <c r="A153" s="8">
        <v>44813</v>
      </c>
      <c r="B153" s="5" t="s">
        <v>56</v>
      </c>
      <c r="C153" s="6">
        <v>157.109375</v>
      </c>
    </row>
    <row r="154" spans="1:3" x14ac:dyDescent="0.3">
      <c r="A154" s="8">
        <v>44816</v>
      </c>
      <c r="B154" s="5" t="s">
        <v>56</v>
      </c>
      <c r="C154" s="6">
        <v>163.15933227539</v>
      </c>
    </row>
    <row r="155" spans="1:3" x14ac:dyDescent="0.3">
      <c r="A155" s="8">
        <v>44817</v>
      </c>
      <c r="B155" s="5" t="s">
        <v>56</v>
      </c>
      <c r="C155" s="6">
        <v>153.58522033691401</v>
      </c>
    </row>
    <row r="156" spans="1:3" x14ac:dyDescent="0.3">
      <c r="A156" s="8">
        <v>44818</v>
      </c>
      <c r="B156" s="5" t="s">
        <v>56</v>
      </c>
      <c r="C156" s="6">
        <v>155.05278015136699</v>
      </c>
    </row>
    <row r="157" spans="1:3" x14ac:dyDescent="0.3">
      <c r="A157" s="8">
        <v>44819</v>
      </c>
      <c r="B157" s="5" t="s">
        <v>56</v>
      </c>
      <c r="C157" s="6">
        <v>152.11764526367099</v>
      </c>
    </row>
    <row r="158" spans="1:3" x14ac:dyDescent="0.3">
      <c r="A158" s="8">
        <v>44820</v>
      </c>
      <c r="B158" s="5" t="s">
        <v>56</v>
      </c>
      <c r="C158" s="6">
        <v>150.450424194335</v>
      </c>
    </row>
    <row r="159" spans="1:3" x14ac:dyDescent="0.3">
      <c r="A159" s="8">
        <v>44823</v>
      </c>
      <c r="B159" s="5" t="s">
        <v>56</v>
      </c>
      <c r="C159" s="6">
        <v>154.22415161132801</v>
      </c>
    </row>
    <row r="160" spans="1:3" x14ac:dyDescent="0.3">
      <c r="A160" s="8">
        <v>44824</v>
      </c>
      <c r="B160" s="5" t="s">
        <v>56</v>
      </c>
      <c r="C160" s="6">
        <v>156.64015197753901</v>
      </c>
    </row>
    <row r="161" spans="1:3" x14ac:dyDescent="0.3">
      <c r="A161" s="8">
        <v>44825</v>
      </c>
      <c r="B161" s="5" t="s">
        <v>56</v>
      </c>
      <c r="C161" s="6">
        <v>153.46542358398401</v>
      </c>
    </row>
    <row r="162" spans="1:3" x14ac:dyDescent="0.3">
      <c r="A162" s="8">
        <v>44826</v>
      </c>
      <c r="B162" s="5" t="s">
        <v>56</v>
      </c>
      <c r="C162" s="6">
        <v>152.487045288085</v>
      </c>
    </row>
    <row r="163" spans="1:3" x14ac:dyDescent="0.3">
      <c r="A163" s="8">
        <v>44827</v>
      </c>
      <c r="B163" s="5" t="s">
        <v>56</v>
      </c>
      <c r="C163" s="6">
        <v>150.18086242675699</v>
      </c>
    </row>
    <row r="164" spans="1:3" x14ac:dyDescent="0.3">
      <c r="A164" s="8">
        <v>44830</v>
      </c>
      <c r="B164" s="5" t="s">
        <v>56</v>
      </c>
      <c r="C164" s="6">
        <v>150.52030944824199</v>
      </c>
    </row>
    <row r="165" spans="1:3" x14ac:dyDescent="0.3">
      <c r="A165" s="8">
        <v>44831</v>
      </c>
      <c r="B165" s="5" t="s">
        <v>56</v>
      </c>
      <c r="C165" s="6">
        <v>151.50866699218699</v>
      </c>
    </row>
    <row r="166" spans="1:3" x14ac:dyDescent="0.3">
      <c r="A166" s="8">
        <v>44832</v>
      </c>
      <c r="B166" s="5" t="s">
        <v>56</v>
      </c>
      <c r="C166" s="6">
        <v>149.59184265136699</v>
      </c>
    </row>
    <row r="167" spans="1:3" x14ac:dyDescent="0.3">
      <c r="A167" s="8">
        <v>44833</v>
      </c>
      <c r="B167" s="5" t="s">
        <v>56</v>
      </c>
      <c r="C167" s="6">
        <v>142.24403381347599</v>
      </c>
    </row>
    <row r="168" spans="1:3" x14ac:dyDescent="0.3">
      <c r="A168" s="8">
        <v>44834</v>
      </c>
      <c r="B168" s="5" t="s">
        <v>56</v>
      </c>
      <c r="C168" s="6">
        <v>137.97111511230401</v>
      </c>
    </row>
    <row r="169" spans="1:3" x14ac:dyDescent="0.3">
      <c r="A169" s="8">
        <v>44837</v>
      </c>
      <c r="B169" s="5" t="s">
        <v>56</v>
      </c>
      <c r="C169" s="6">
        <v>142.21408081054599</v>
      </c>
    </row>
    <row r="170" spans="1:3" x14ac:dyDescent="0.3">
      <c r="A170" s="8">
        <v>44838</v>
      </c>
      <c r="B170" s="5" t="s">
        <v>56</v>
      </c>
      <c r="C170" s="6">
        <v>145.85804748535099</v>
      </c>
    </row>
    <row r="171" spans="1:3" x14ac:dyDescent="0.3">
      <c r="A171" s="8">
        <v>44839</v>
      </c>
      <c r="B171" s="5" t="s">
        <v>56</v>
      </c>
      <c r="C171" s="6">
        <v>146.15753173828099</v>
      </c>
    </row>
    <row r="172" spans="1:3" x14ac:dyDescent="0.3">
      <c r="A172" s="8">
        <v>44840</v>
      </c>
      <c r="B172" s="5" t="s">
        <v>56</v>
      </c>
      <c r="C172" s="6">
        <v>145.18914794921801</v>
      </c>
    </row>
    <row r="173" spans="1:3" x14ac:dyDescent="0.3">
      <c r="A173" s="8">
        <v>44841</v>
      </c>
      <c r="B173" s="5" t="s">
        <v>56</v>
      </c>
      <c r="C173" s="6">
        <v>139.857986450195</v>
      </c>
    </row>
    <row r="174" spans="1:3" x14ac:dyDescent="0.3">
      <c r="A174" s="8">
        <v>44844</v>
      </c>
      <c r="B174" s="5" t="s">
        <v>56</v>
      </c>
      <c r="C174" s="6">
        <v>140.18743896484301</v>
      </c>
    </row>
    <row r="175" spans="1:3" x14ac:dyDescent="0.3">
      <c r="A175" s="8">
        <v>44845</v>
      </c>
      <c r="B175" s="5" t="s">
        <v>56</v>
      </c>
      <c r="C175" s="6">
        <v>138.74983215332</v>
      </c>
    </row>
    <row r="176" spans="1:3" x14ac:dyDescent="0.3">
      <c r="A176" s="8">
        <v>44846</v>
      </c>
      <c r="B176" s="5" t="s">
        <v>56</v>
      </c>
      <c r="C176" s="6">
        <v>138.11088562011699</v>
      </c>
    </row>
    <row r="177" spans="1:3" x14ac:dyDescent="0.3">
      <c r="A177" s="8">
        <v>44847</v>
      </c>
      <c r="B177" s="5" t="s">
        <v>56</v>
      </c>
      <c r="C177" s="6">
        <v>142.75320434570301</v>
      </c>
    </row>
    <row r="178" spans="1:3" x14ac:dyDescent="0.3">
      <c r="A178" s="8">
        <v>44848</v>
      </c>
      <c r="B178" s="5" t="s">
        <v>56</v>
      </c>
      <c r="C178" s="6">
        <v>138.15083312988199</v>
      </c>
    </row>
    <row r="179" spans="1:3" x14ac:dyDescent="0.3">
      <c r="A179" s="8">
        <v>44851</v>
      </c>
      <c r="B179" s="5" t="s">
        <v>56</v>
      </c>
      <c r="C179" s="6">
        <v>142.17416381835901</v>
      </c>
    </row>
    <row r="180" spans="1:3" x14ac:dyDescent="0.3">
      <c r="A180" s="8">
        <v>44852</v>
      </c>
      <c r="B180" s="5" t="s">
        <v>56</v>
      </c>
      <c r="C180" s="6">
        <v>143.51193237304599</v>
      </c>
    </row>
    <row r="181" spans="1:3" x14ac:dyDescent="0.3">
      <c r="A181" s="8">
        <v>44853</v>
      </c>
      <c r="B181" s="5" t="s">
        <v>56</v>
      </c>
      <c r="C181" s="6">
        <v>143.62174987792901</v>
      </c>
    </row>
    <row r="182" spans="1:3" x14ac:dyDescent="0.3">
      <c r="A182" s="8">
        <v>44854</v>
      </c>
      <c r="B182" s="5" t="s">
        <v>56</v>
      </c>
      <c r="C182" s="6">
        <v>143.15252685546801</v>
      </c>
    </row>
    <row r="183" spans="1:3" x14ac:dyDescent="0.3">
      <c r="A183" s="8">
        <v>44855</v>
      </c>
      <c r="B183" s="5" t="s">
        <v>56</v>
      </c>
      <c r="C183" s="6">
        <v>147.026107788085</v>
      </c>
    </row>
    <row r="184" spans="1:3" x14ac:dyDescent="0.3">
      <c r="A184" s="8">
        <v>44858</v>
      </c>
      <c r="B184" s="5" t="s">
        <v>56</v>
      </c>
      <c r="C184" s="6">
        <v>149.20248413085901</v>
      </c>
    </row>
    <row r="185" spans="1:3" x14ac:dyDescent="0.3">
      <c r="A185" s="8">
        <v>44859</v>
      </c>
      <c r="B185" s="5" t="s">
        <v>56</v>
      </c>
      <c r="C185" s="6">
        <v>152.08770751953099</v>
      </c>
    </row>
    <row r="186" spans="1:3" x14ac:dyDescent="0.3">
      <c r="A186" s="8">
        <v>44860</v>
      </c>
      <c r="B186" s="5" t="s">
        <v>56</v>
      </c>
      <c r="C186" s="6">
        <v>149.10266113281199</v>
      </c>
    </row>
    <row r="187" spans="1:3" x14ac:dyDescent="0.3">
      <c r="A187" s="8">
        <v>44861</v>
      </c>
      <c r="B187" s="5" t="s">
        <v>56</v>
      </c>
      <c r="C187" s="6">
        <v>144.56019592285099</v>
      </c>
    </row>
    <row r="188" spans="1:3" x14ac:dyDescent="0.3">
      <c r="A188" s="8">
        <v>44862</v>
      </c>
      <c r="B188" s="5" t="s">
        <v>56</v>
      </c>
      <c r="C188" s="6">
        <v>155.48208618164</v>
      </c>
    </row>
    <row r="189" spans="1:3" x14ac:dyDescent="0.3">
      <c r="A189" s="8">
        <v>44865</v>
      </c>
      <c r="B189" s="5" t="s">
        <v>56</v>
      </c>
      <c r="C189" s="6">
        <v>153.08604431152301</v>
      </c>
    </row>
    <row r="190" spans="1:3" x14ac:dyDescent="0.3">
      <c r="A190" s="8">
        <v>44866</v>
      </c>
      <c r="B190" s="5" t="s">
        <v>56</v>
      </c>
      <c r="C190" s="6">
        <v>150.40049743652301</v>
      </c>
    </row>
    <row r="191" spans="1:3" x14ac:dyDescent="0.3">
      <c r="A191" s="8">
        <v>44867</v>
      </c>
      <c r="B191" s="5" t="s">
        <v>56</v>
      </c>
      <c r="C191" s="6">
        <v>144.78981018066401</v>
      </c>
    </row>
    <row r="192" spans="1:3" x14ac:dyDescent="0.3">
      <c r="A192" s="8">
        <v>44868</v>
      </c>
      <c r="B192" s="5" t="s">
        <v>56</v>
      </c>
      <c r="C192" s="6">
        <v>138.65000915527301</v>
      </c>
    </row>
    <row r="193" spans="1:3" x14ac:dyDescent="0.3">
      <c r="A193" s="8">
        <v>44869</v>
      </c>
      <c r="B193" s="5" t="s">
        <v>56</v>
      </c>
      <c r="C193" s="6">
        <v>138.38000488281199</v>
      </c>
    </row>
    <row r="194" spans="1:3" x14ac:dyDescent="0.3">
      <c r="A194" s="8">
        <v>44872</v>
      </c>
      <c r="B194" s="5" t="s">
        <v>56</v>
      </c>
      <c r="C194" s="6">
        <v>138.919998168945</v>
      </c>
    </row>
    <row r="195" spans="1:3" x14ac:dyDescent="0.3">
      <c r="A195" s="8">
        <v>44873</v>
      </c>
      <c r="B195" s="5" t="s">
        <v>56</v>
      </c>
      <c r="C195" s="6">
        <v>139.5</v>
      </c>
    </row>
    <row r="196" spans="1:3" x14ac:dyDescent="0.3">
      <c r="A196" s="8">
        <v>44874</v>
      </c>
      <c r="B196" s="5" t="s">
        <v>56</v>
      </c>
      <c r="C196" s="6">
        <v>134.86999511718699</v>
      </c>
    </row>
    <row r="197" spans="1:3" x14ac:dyDescent="0.3">
      <c r="A197" s="8">
        <v>44875</v>
      </c>
      <c r="B197" s="5" t="s">
        <v>56</v>
      </c>
      <c r="C197" s="6">
        <v>146.86999511718699</v>
      </c>
    </row>
    <row r="198" spans="1:3" x14ac:dyDescent="0.3">
      <c r="A198" s="8">
        <v>44876</v>
      </c>
      <c r="B198" s="5" t="s">
        <v>56</v>
      </c>
      <c r="C198" s="6">
        <v>149.69999694824199</v>
      </c>
    </row>
    <row r="199" spans="1:3" x14ac:dyDescent="0.3">
      <c r="A199" s="8">
        <v>44879</v>
      </c>
      <c r="B199" s="5" t="s">
        <v>56</v>
      </c>
      <c r="C199" s="6">
        <v>148.27999877929599</v>
      </c>
    </row>
    <row r="200" spans="1:3" x14ac:dyDescent="0.3">
      <c r="A200" s="8">
        <v>44880</v>
      </c>
      <c r="B200" s="5" t="s">
        <v>56</v>
      </c>
      <c r="C200" s="6">
        <v>150.03999328613199</v>
      </c>
    </row>
    <row r="201" spans="1:3" x14ac:dyDescent="0.3">
      <c r="A201" s="8">
        <v>44881</v>
      </c>
      <c r="B201" s="5" t="s">
        <v>56</v>
      </c>
      <c r="C201" s="6">
        <v>148.78999328613199</v>
      </c>
    </row>
    <row r="202" spans="1:3" x14ac:dyDescent="0.3">
      <c r="A202" s="8">
        <v>44740</v>
      </c>
      <c r="B202" s="5" t="s">
        <v>57</v>
      </c>
      <c r="C202" s="6">
        <v>107.400001525878</v>
      </c>
    </row>
    <row r="203" spans="1:3" x14ac:dyDescent="0.3">
      <c r="A203" s="8">
        <v>44741</v>
      </c>
      <c r="B203" s="5" t="s">
        <v>57</v>
      </c>
      <c r="C203" s="6">
        <v>108.919998168945</v>
      </c>
    </row>
    <row r="204" spans="1:3" x14ac:dyDescent="0.3">
      <c r="A204" s="8">
        <v>44742</v>
      </c>
      <c r="B204" s="5" t="s">
        <v>57</v>
      </c>
      <c r="C204" s="6">
        <v>106.209999084472</v>
      </c>
    </row>
    <row r="205" spans="1:3" x14ac:dyDescent="0.3">
      <c r="A205" s="8">
        <v>44743</v>
      </c>
      <c r="B205" s="5" t="s">
        <v>57</v>
      </c>
      <c r="C205" s="6">
        <v>109.559997558593</v>
      </c>
    </row>
    <row r="206" spans="1:3" x14ac:dyDescent="0.3">
      <c r="A206" s="8">
        <v>44747</v>
      </c>
      <c r="B206" s="5" t="s">
        <v>57</v>
      </c>
      <c r="C206" s="6">
        <v>113.5</v>
      </c>
    </row>
    <row r="207" spans="1:3" x14ac:dyDescent="0.3">
      <c r="A207" s="8">
        <v>44748</v>
      </c>
      <c r="B207" s="5" t="s">
        <v>57</v>
      </c>
      <c r="C207" s="6">
        <v>114.33000183105401</v>
      </c>
    </row>
    <row r="208" spans="1:3" x14ac:dyDescent="0.3">
      <c r="A208" s="8">
        <v>44749</v>
      </c>
      <c r="B208" s="5" t="s">
        <v>57</v>
      </c>
      <c r="C208" s="6">
        <v>116.33000183105401</v>
      </c>
    </row>
    <row r="209" spans="1:3" x14ac:dyDescent="0.3">
      <c r="A209" s="8">
        <v>44750</v>
      </c>
      <c r="B209" s="5" t="s">
        <v>57</v>
      </c>
      <c r="C209" s="6">
        <v>115.540000915527</v>
      </c>
    </row>
    <row r="210" spans="1:3" x14ac:dyDescent="0.3">
      <c r="A210" s="8">
        <v>44753</v>
      </c>
      <c r="B210" s="5" t="s">
        <v>57</v>
      </c>
      <c r="C210" s="6">
        <v>111.75</v>
      </c>
    </row>
    <row r="211" spans="1:3" x14ac:dyDescent="0.3">
      <c r="A211" s="8">
        <v>44754</v>
      </c>
      <c r="B211" s="5" t="s">
        <v>57</v>
      </c>
      <c r="C211" s="6">
        <v>109.220001220703</v>
      </c>
    </row>
    <row r="212" spans="1:3" x14ac:dyDescent="0.3">
      <c r="A212" s="8">
        <v>44755</v>
      </c>
      <c r="B212" s="5" t="s">
        <v>57</v>
      </c>
      <c r="C212" s="6">
        <v>110.400001525878</v>
      </c>
    </row>
    <row r="213" spans="1:3" x14ac:dyDescent="0.3">
      <c r="A213" s="8">
        <v>44756</v>
      </c>
      <c r="B213" s="5" t="s">
        <v>57</v>
      </c>
      <c r="C213" s="6">
        <v>110.629997253417</v>
      </c>
    </row>
    <row r="214" spans="1:3" x14ac:dyDescent="0.3">
      <c r="A214" s="8">
        <v>44757</v>
      </c>
      <c r="B214" s="5" t="s">
        <v>57</v>
      </c>
      <c r="C214" s="6">
        <v>113.550003051757</v>
      </c>
    </row>
    <row r="215" spans="1:3" x14ac:dyDescent="0.3">
      <c r="A215" s="8">
        <v>44760</v>
      </c>
      <c r="B215" s="5" t="s">
        <v>57</v>
      </c>
      <c r="C215" s="6">
        <v>113.76000213623</v>
      </c>
    </row>
    <row r="216" spans="1:3" x14ac:dyDescent="0.3">
      <c r="A216" s="8">
        <v>44761</v>
      </c>
      <c r="B216" s="5" t="s">
        <v>57</v>
      </c>
      <c r="C216" s="6">
        <v>118.209999084472</v>
      </c>
    </row>
    <row r="217" spans="1:3" x14ac:dyDescent="0.3">
      <c r="A217" s="8">
        <v>44762</v>
      </c>
      <c r="B217" s="5" t="s">
        <v>57</v>
      </c>
      <c r="C217" s="6">
        <v>122.76999664306599</v>
      </c>
    </row>
    <row r="218" spans="1:3" x14ac:dyDescent="0.3">
      <c r="A218" s="8">
        <v>44763</v>
      </c>
      <c r="B218" s="5" t="s">
        <v>57</v>
      </c>
      <c r="C218" s="6">
        <v>124.629997253417</v>
      </c>
    </row>
    <row r="219" spans="1:3" x14ac:dyDescent="0.3">
      <c r="A219" s="8">
        <v>44764</v>
      </c>
      <c r="B219" s="5" t="s">
        <v>57</v>
      </c>
      <c r="C219" s="6">
        <v>122.419998168945</v>
      </c>
    </row>
    <row r="220" spans="1:3" x14ac:dyDescent="0.3">
      <c r="A220" s="8">
        <v>44767</v>
      </c>
      <c r="B220" s="5" t="s">
        <v>57</v>
      </c>
      <c r="C220" s="6">
        <v>121.139999389648</v>
      </c>
    </row>
    <row r="221" spans="1:3" x14ac:dyDescent="0.3">
      <c r="A221" s="8">
        <v>44768</v>
      </c>
      <c r="B221" s="5" t="s">
        <v>57</v>
      </c>
      <c r="C221" s="6">
        <v>114.809997558593</v>
      </c>
    </row>
    <row r="222" spans="1:3" x14ac:dyDescent="0.3">
      <c r="A222" s="8">
        <v>44769</v>
      </c>
      <c r="B222" s="5" t="s">
        <v>57</v>
      </c>
      <c r="C222" s="6">
        <v>120.970001220703</v>
      </c>
    </row>
    <row r="223" spans="1:3" x14ac:dyDescent="0.3">
      <c r="A223" s="8">
        <v>44770</v>
      </c>
      <c r="B223" s="5" t="s">
        <v>57</v>
      </c>
      <c r="C223" s="6">
        <v>122.27999877929599</v>
      </c>
    </row>
    <row r="224" spans="1:3" x14ac:dyDescent="0.3">
      <c r="A224" s="8">
        <v>44771</v>
      </c>
      <c r="B224" s="5" t="s">
        <v>57</v>
      </c>
      <c r="C224" s="6">
        <v>134.94999694824199</v>
      </c>
    </row>
    <row r="225" spans="1:3" x14ac:dyDescent="0.3">
      <c r="A225" s="8">
        <v>44774</v>
      </c>
      <c r="B225" s="5" t="s">
        <v>57</v>
      </c>
      <c r="C225" s="6">
        <v>135.38999938964801</v>
      </c>
    </row>
    <row r="226" spans="1:3" x14ac:dyDescent="0.3">
      <c r="A226" s="8">
        <v>44775</v>
      </c>
      <c r="B226" s="5" t="s">
        <v>57</v>
      </c>
      <c r="C226" s="6">
        <v>134.16000366210901</v>
      </c>
    </row>
    <row r="227" spans="1:3" x14ac:dyDescent="0.3">
      <c r="A227" s="8">
        <v>44776</v>
      </c>
      <c r="B227" s="5" t="s">
        <v>57</v>
      </c>
      <c r="C227" s="6">
        <v>139.52000427246</v>
      </c>
    </row>
    <row r="228" spans="1:3" x14ac:dyDescent="0.3">
      <c r="A228" s="8">
        <v>44777</v>
      </c>
      <c r="B228" s="5" t="s">
        <v>57</v>
      </c>
      <c r="C228" s="6">
        <v>142.57000732421801</v>
      </c>
    </row>
    <row r="229" spans="1:3" x14ac:dyDescent="0.3">
      <c r="A229" s="8">
        <v>44778</v>
      </c>
      <c r="B229" s="5" t="s">
        <v>57</v>
      </c>
      <c r="C229" s="6">
        <v>140.80000305175699</v>
      </c>
    </row>
    <row r="230" spans="1:3" x14ac:dyDescent="0.3">
      <c r="A230" s="8">
        <v>44781</v>
      </c>
      <c r="B230" s="5" t="s">
        <v>57</v>
      </c>
      <c r="C230" s="6">
        <v>139.41000366210901</v>
      </c>
    </row>
    <row r="231" spans="1:3" x14ac:dyDescent="0.3">
      <c r="A231" s="8">
        <v>44782</v>
      </c>
      <c r="B231" s="5" t="s">
        <v>57</v>
      </c>
      <c r="C231" s="6">
        <v>137.83000183105401</v>
      </c>
    </row>
    <row r="232" spans="1:3" x14ac:dyDescent="0.3">
      <c r="A232" s="8">
        <v>44783</v>
      </c>
      <c r="B232" s="5" t="s">
        <v>57</v>
      </c>
      <c r="C232" s="6">
        <v>142.69000244140599</v>
      </c>
    </row>
    <row r="233" spans="1:3" x14ac:dyDescent="0.3">
      <c r="A233" s="8">
        <v>44784</v>
      </c>
      <c r="B233" s="5" t="s">
        <v>57</v>
      </c>
      <c r="C233" s="6">
        <v>140.63999938964801</v>
      </c>
    </row>
    <row r="234" spans="1:3" x14ac:dyDescent="0.3">
      <c r="A234" s="8">
        <v>44785</v>
      </c>
      <c r="B234" s="5" t="s">
        <v>57</v>
      </c>
      <c r="C234" s="6">
        <v>143.55000305175699</v>
      </c>
    </row>
    <row r="235" spans="1:3" x14ac:dyDescent="0.3">
      <c r="A235" s="8">
        <v>44788</v>
      </c>
      <c r="B235" s="5" t="s">
        <v>57</v>
      </c>
      <c r="C235" s="6">
        <v>143.17999267578099</v>
      </c>
    </row>
    <row r="236" spans="1:3" x14ac:dyDescent="0.3">
      <c r="A236" s="8">
        <v>44789</v>
      </c>
      <c r="B236" s="5" t="s">
        <v>57</v>
      </c>
      <c r="C236" s="6">
        <v>144.77999877929599</v>
      </c>
    </row>
    <row r="237" spans="1:3" x14ac:dyDescent="0.3">
      <c r="A237" s="8">
        <v>44790</v>
      </c>
      <c r="B237" s="5" t="s">
        <v>57</v>
      </c>
      <c r="C237" s="6">
        <v>142.100006103515</v>
      </c>
    </row>
    <row r="238" spans="1:3" x14ac:dyDescent="0.3">
      <c r="A238" s="8">
        <v>44791</v>
      </c>
      <c r="B238" s="5" t="s">
        <v>57</v>
      </c>
      <c r="C238" s="6">
        <v>142.30000305175699</v>
      </c>
    </row>
    <row r="239" spans="1:3" x14ac:dyDescent="0.3">
      <c r="A239" s="8">
        <v>44792</v>
      </c>
      <c r="B239" s="5" t="s">
        <v>57</v>
      </c>
      <c r="C239" s="6">
        <v>138.22999572753901</v>
      </c>
    </row>
    <row r="240" spans="1:3" x14ac:dyDescent="0.3">
      <c r="A240" s="8">
        <v>44795</v>
      </c>
      <c r="B240" s="5" t="s">
        <v>57</v>
      </c>
      <c r="C240" s="6">
        <v>133.22000122070301</v>
      </c>
    </row>
    <row r="241" spans="1:3" x14ac:dyDescent="0.3">
      <c r="A241" s="8">
        <v>44796</v>
      </c>
      <c r="B241" s="5" t="s">
        <v>57</v>
      </c>
      <c r="C241" s="6">
        <v>133.61999511718699</v>
      </c>
    </row>
    <row r="242" spans="1:3" x14ac:dyDescent="0.3">
      <c r="A242" s="8">
        <v>44797</v>
      </c>
      <c r="B242" s="5" t="s">
        <v>57</v>
      </c>
      <c r="C242" s="6">
        <v>133.80000305175699</v>
      </c>
    </row>
    <row r="243" spans="1:3" x14ac:dyDescent="0.3">
      <c r="A243" s="8">
        <v>44798</v>
      </c>
      <c r="B243" s="5" t="s">
        <v>57</v>
      </c>
      <c r="C243" s="6">
        <v>137.27999877929599</v>
      </c>
    </row>
    <row r="244" spans="1:3" x14ac:dyDescent="0.3">
      <c r="A244" s="8">
        <v>44799</v>
      </c>
      <c r="B244" s="5" t="s">
        <v>57</v>
      </c>
      <c r="C244" s="6">
        <v>130.75</v>
      </c>
    </row>
    <row r="245" spans="1:3" x14ac:dyDescent="0.3">
      <c r="A245" s="8">
        <v>44802</v>
      </c>
      <c r="B245" s="5" t="s">
        <v>57</v>
      </c>
      <c r="C245" s="6">
        <v>129.78999328613199</v>
      </c>
    </row>
    <row r="246" spans="1:3" x14ac:dyDescent="0.3">
      <c r="A246" s="8">
        <v>44803</v>
      </c>
      <c r="B246" s="5" t="s">
        <v>57</v>
      </c>
      <c r="C246" s="6">
        <v>128.72999572753901</v>
      </c>
    </row>
    <row r="247" spans="1:3" x14ac:dyDescent="0.3">
      <c r="A247" s="8">
        <v>44804</v>
      </c>
      <c r="B247" s="5" t="s">
        <v>57</v>
      </c>
      <c r="C247" s="6">
        <v>126.76999664306599</v>
      </c>
    </row>
    <row r="248" spans="1:3" x14ac:dyDescent="0.3">
      <c r="A248" s="8">
        <v>44805</v>
      </c>
      <c r="B248" s="5" t="s">
        <v>57</v>
      </c>
      <c r="C248" s="6">
        <v>127.81999969482401</v>
      </c>
    </row>
    <row r="249" spans="1:3" x14ac:dyDescent="0.3">
      <c r="A249" s="8">
        <v>44806</v>
      </c>
      <c r="B249" s="5" t="s">
        <v>57</v>
      </c>
      <c r="C249" s="6">
        <v>127.51000213623</v>
      </c>
    </row>
    <row r="250" spans="1:3" x14ac:dyDescent="0.3">
      <c r="A250" s="8">
        <v>44810</v>
      </c>
      <c r="B250" s="5" t="s">
        <v>57</v>
      </c>
      <c r="C250" s="6">
        <v>126.11000061035099</v>
      </c>
    </row>
    <row r="251" spans="1:3" x14ac:dyDescent="0.3">
      <c r="A251" s="8">
        <v>44811</v>
      </c>
      <c r="B251" s="5" t="s">
        <v>57</v>
      </c>
      <c r="C251" s="6">
        <v>129.47999572753901</v>
      </c>
    </row>
    <row r="252" spans="1:3" x14ac:dyDescent="0.3">
      <c r="A252" s="8">
        <v>44812</v>
      </c>
      <c r="B252" s="5" t="s">
        <v>57</v>
      </c>
      <c r="C252" s="6">
        <v>129.82000732421801</v>
      </c>
    </row>
    <row r="253" spans="1:3" x14ac:dyDescent="0.3">
      <c r="A253" s="8">
        <v>44813</v>
      </c>
      <c r="B253" s="5" t="s">
        <v>57</v>
      </c>
      <c r="C253" s="6">
        <v>133.27000427246</v>
      </c>
    </row>
    <row r="254" spans="1:3" x14ac:dyDescent="0.3">
      <c r="A254" s="8">
        <v>44816</v>
      </c>
      <c r="B254" s="5" t="s">
        <v>57</v>
      </c>
      <c r="C254" s="6">
        <v>136.44999694824199</v>
      </c>
    </row>
    <row r="255" spans="1:3" x14ac:dyDescent="0.3">
      <c r="A255" s="8">
        <v>44817</v>
      </c>
      <c r="B255" s="5" t="s">
        <v>57</v>
      </c>
      <c r="C255" s="6">
        <v>126.81999969482401</v>
      </c>
    </row>
    <row r="256" spans="1:3" x14ac:dyDescent="0.3">
      <c r="A256" s="8">
        <v>44818</v>
      </c>
      <c r="B256" s="5" t="s">
        <v>57</v>
      </c>
      <c r="C256" s="6">
        <v>128.55000305175699</v>
      </c>
    </row>
    <row r="257" spans="1:3" x14ac:dyDescent="0.3">
      <c r="A257" s="8">
        <v>44819</v>
      </c>
      <c r="B257" s="5" t="s">
        <v>57</v>
      </c>
      <c r="C257" s="6">
        <v>126.27999877929599</v>
      </c>
    </row>
    <row r="258" spans="1:3" x14ac:dyDescent="0.3">
      <c r="A258" s="8">
        <v>44820</v>
      </c>
      <c r="B258" s="5" t="s">
        <v>57</v>
      </c>
      <c r="C258" s="6">
        <v>123.52999877929599</v>
      </c>
    </row>
    <row r="259" spans="1:3" x14ac:dyDescent="0.3">
      <c r="A259" s="8">
        <v>44823</v>
      </c>
      <c r="B259" s="5" t="s">
        <v>57</v>
      </c>
      <c r="C259" s="6">
        <v>124.66000366210901</v>
      </c>
    </row>
    <row r="260" spans="1:3" x14ac:dyDescent="0.3">
      <c r="A260" s="8">
        <v>44824</v>
      </c>
      <c r="B260" s="5" t="s">
        <v>57</v>
      </c>
      <c r="C260" s="6">
        <v>122.19000244140599</v>
      </c>
    </row>
    <row r="261" spans="1:3" x14ac:dyDescent="0.3">
      <c r="A261" s="8">
        <v>44825</v>
      </c>
      <c r="B261" s="5" t="s">
        <v>57</v>
      </c>
      <c r="C261" s="6">
        <v>118.540000915527</v>
      </c>
    </row>
    <row r="262" spans="1:3" x14ac:dyDescent="0.3">
      <c r="A262" s="8">
        <v>44826</v>
      </c>
      <c r="B262" s="5" t="s">
        <v>57</v>
      </c>
      <c r="C262" s="6">
        <v>117.309997558593</v>
      </c>
    </row>
    <row r="263" spans="1:3" x14ac:dyDescent="0.3">
      <c r="A263" s="8">
        <v>44827</v>
      </c>
      <c r="B263" s="5" t="s">
        <v>57</v>
      </c>
      <c r="C263" s="6">
        <v>113.77999877929599</v>
      </c>
    </row>
    <row r="264" spans="1:3" x14ac:dyDescent="0.3">
      <c r="A264" s="8">
        <v>44830</v>
      </c>
      <c r="B264" s="5" t="s">
        <v>57</v>
      </c>
      <c r="C264" s="6">
        <v>115.150001525878</v>
      </c>
    </row>
    <row r="265" spans="1:3" x14ac:dyDescent="0.3">
      <c r="A265" s="8">
        <v>44831</v>
      </c>
      <c r="B265" s="5" t="s">
        <v>57</v>
      </c>
      <c r="C265" s="6">
        <v>114.41000366210901</v>
      </c>
    </row>
    <row r="266" spans="1:3" x14ac:dyDescent="0.3">
      <c r="A266" s="8">
        <v>44832</v>
      </c>
      <c r="B266" s="5" t="s">
        <v>57</v>
      </c>
      <c r="C266" s="6">
        <v>118.01000213623</v>
      </c>
    </row>
    <row r="267" spans="1:3" x14ac:dyDescent="0.3">
      <c r="A267" s="8">
        <v>44833</v>
      </c>
      <c r="B267" s="5" t="s">
        <v>57</v>
      </c>
      <c r="C267" s="6">
        <v>114.800003051757</v>
      </c>
    </row>
    <row r="268" spans="1:3" x14ac:dyDescent="0.3">
      <c r="A268" s="8">
        <v>44834</v>
      </c>
      <c r="B268" s="5" t="s">
        <v>57</v>
      </c>
      <c r="C268" s="6">
        <v>113</v>
      </c>
    </row>
    <row r="269" spans="1:3" x14ac:dyDescent="0.3">
      <c r="A269" s="8">
        <v>44837</v>
      </c>
      <c r="B269" s="5" t="s">
        <v>57</v>
      </c>
      <c r="C269" s="6">
        <v>115.879997253417</v>
      </c>
    </row>
    <row r="270" spans="1:3" x14ac:dyDescent="0.3">
      <c r="A270" s="8">
        <v>44838</v>
      </c>
      <c r="B270" s="5" t="s">
        <v>57</v>
      </c>
      <c r="C270" s="6">
        <v>121.08999633789</v>
      </c>
    </row>
    <row r="271" spans="1:3" x14ac:dyDescent="0.3">
      <c r="A271" s="8">
        <v>44839</v>
      </c>
      <c r="B271" s="5" t="s">
        <v>57</v>
      </c>
      <c r="C271" s="6">
        <v>120.949996948242</v>
      </c>
    </row>
    <row r="272" spans="1:3" x14ac:dyDescent="0.3">
      <c r="A272" s="8">
        <v>44840</v>
      </c>
      <c r="B272" s="5" t="s">
        <v>57</v>
      </c>
      <c r="C272" s="6">
        <v>120.300003051757</v>
      </c>
    </row>
    <row r="273" spans="1:3" x14ac:dyDescent="0.3">
      <c r="A273" s="8">
        <v>44841</v>
      </c>
      <c r="B273" s="5" t="s">
        <v>57</v>
      </c>
      <c r="C273" s="6">
        <v>114.559997558593</v>
      </c>
    </row>
    <row r="274" spans="1:3" x14ac:dyDescent="0.3">
      <c r="A274" s="8">
        <v>44844</v>
      </c>
      <c r="B274" s="5" t="s">
        <v>57</v>
      </c>
      <c r="C274" s="6">
        <v>113.669998168945</v>
      </c>
    </row>
    <row r="275" spans="1:3" x14ac:dyDescent="0.3">
      <c r="A275" s="8">
        <v>44845</v>
      </c>
      <c r="B275" s="5" t="s">
        <v>57</v>
      </c>
      <c r="C275" s="6">
        <v>112.209999084472</v>
      </c>
    </row>
    <row r="276" spans="1:3" x14ac:dyDescent="0.3">
      <c r="A276" s="8">
        <v>44846</v>
      </c>
      <c r="B276" s="5" t="s">
        <v>57</v>
      </c>
      <c r="C276" s="6">
        <v>112.900001525878</v>
      </c>
    </row>
    <row r="277" spans="1:3" x14ac:dyDescent="0.3">
      <c r="A277" s="8">
        <v>44847</v>
      </c>
      <c r="B277" s="5" t="s">
        <v>57</v>
      </c>
      <c r="C277" s="6">
        <v>112.52999877929599</v>
      </c>
    </row>
    <row r="278" spans="1:3" x14ac:dyDescent="0.3">
      <c r="A278" s="8">
        <v>44848</v>
      </c>
      <c r="B278" s="5" t="s">
        <v>57</v>
      </c>
      <c r="C278" s="6">
        <v>106.900001525878</v>
      </c>
    </row>
    <row r="279" spans="1:3" x14ac:dyDescent="0.3">
      <c r="A279" s="8">
        <v>44851</v>
      </c>
      <c r="B279" s="5" t="s">
        <v>57</v>
      </c>
      <c r="C279" s="6">
        <v>113.790000915527</v>
      </c>
    </row>
    <row r="280" spans="1:3" x14ac:dyDescent="0.3">
      <c r="A280" s="8">
        <v>44852</v>
      </c>
      <c r="B280" s="5" t="s">
        <v>57</v>
      </c>
      <c r="C280" s="6">
        <v>116.36000061035099</v>
      </c>
    </row>
    <row r="281" spans="1:3" x14ac:dyDescent="0.3">
      <c r="A281" s="8">
        <v>44853</v>
      </c>
      <c r="B281" s="5" t="s">
        <v>57</v>
      </c>
      <c r="C281" s="6">
        <v>115.06999969482401</v>
      </c>
    </row>
    <row r="282" spans="1:3" x14ac:dyDescent="0.3">
      <c r="A282" s="8">
        <v>44854</v>
      </c>
      <c r="B282" s="5" t="s">
        <v>57</v>
      </c>
      <c r="C282" s="6">
        <v>115.25</v>
      </c>
    </row>
    <row r="283" spans="1:3" x14ac:dyDescent="0.3">
      <c r="A283" s="8">
        <v>44855</v>
      </c>
      <c r="B283" s="5" t="s">
        <v>57</v>
      </c>
      <c r="C283" s="6">
        <v>119.31999969482401</v>
      </c>
    </row>
    <row r="284" spans="1:3" x14ac:dyDescent="0.3">
      <c r="A284" s="8">
        <v>44858</v>
      </c>
      <c r="B284" s="5" t="s">
        <v>57</v>
      </c>
      <c r="C284" s="6">
        <v>119.81999969482401</v>
      </c>
    </row>
    <row r="285" spans="1:3" x14ac:dyDescent="0.3">
      <c r="A285" s="8">
        <v>44859</v>
      </c>
      <c r="B285" s="5" t="s">
        <v>57</v>
      </c>
      <c r="C285" s="6">
        <v>120.59999847412099</v>
      </c>
    </row>
    <row r="286" spans="1:3" x14ac:dyDescent="0.3">
      <c r="A286" s="8">
        <v>44860</v>
      </c>
      <c r="B286" s="5" t="s">
        <v>57</v>
      </c>
      <c r="C286" s="6">
        <v>115.66000366210901</v>
      </c>
    </row>
    <row r="287" spans="1:3" x14ac:dyDescent="0.3">
      <c r="A287" s="8">
        <v>44861</v>
      </c>
      <c r="B287" s="5" t="s">
        <v>57</v>
      </c>
      <c r="C287" s="6">
        <v>110.959999084472</v>
      </c>
    </row>
    <row r="288" spans="1:3" x14ac:dyDescent="0.3">
      <c r="A288" s="8">
        <v>44862</v>
      </c>
      <c r="B288" s="5" t="s">
        <v>57</v>
      </c>
      <c r="C288" s="6">
        <v>103.41000366210901</v>
      </c>
    </row>
    <row r="289" spans="1:3" x14ac:dyDescent="0.3">
      <c r="A289" s="8">
        <v>44865</v>
      </c>
      <c r="B289" s="5" t="s">
        <v>57</v>
      </c>
      <c r="C289" s="6">
        <v>102.44000244140599</v>
      </c>
    </row>
    <row r="290" spans="1:3" x14ac:dyDescent="0.3">
      <c r="A290" s="8">
        <v>44866</v>
      </c>
      <c r="B290" s="5" t="s">
        <v>57</v>
      </c>
      <c r="C290" s="6">
        <v>96.790000915527301</v>
      </c>
    </row>
    <row r="291" spans="1:3" x14ac:dyDescent="0.3">
      <c r="A291" s="8">
        <v>44867</v>
      </c>
      <c r="B291" s="5" t="s">
        <v>57</v>
      </c>
      <c r="C291" s="6">
        <v>92.120002746582003</v>
      </c>
    </row>
    <row r="292" spans="1:3" x14ac:dyDescent="0.3">
      <c r="A292" s="8">
        <v>44868</v>
      </c>
      <c r="B292" s="5" t="s">
        <v>57</v>
      </c>
      <c r="C292" s="6">
        <v>89.300003051757798</v>
      </c>
    </row>
    <row r="293" spans="1:3" x14ac:dyDescent="0.3">
      <c r="A293" s="8">
        <v>44869</v>
      </c>
      <c r="B293" s="5" t="s">
        <v>57</v>
      </c>
      <c r="C293" s="6">
        <v>90.980003356933594</v>
      </c>
    </row>
    <row r="294" spans="1:3" x14ac:dyDescent="0.3">
      <c r="A294" s="8">
        <v>44872</v>
      </c>
      <c r="B294" s="5" t="s">
        <v>57</v>
      </c>
      <c r="C294" s="6">
        <v>90.529998779296804</v>
      </c>
    </row>
    <row r="295" spans="1:3" x14ac:dyDescent="0.3">
      <c r="A295" s="8">
        <v>44873</v>
      </c>
      <c r="B295" s="5" t="s">
        <v>57</v>
      </c>
      <c r="C295" s="6">
        <v>89.980003356933594</v>
      </c>
    </row>
    <row r="296" spans="1:3" x14ac:dyDescent="0.3">
      <c r="A296" s="8">
        <v>44874</v>
      </c>
      <c r="B296" s="5" t="s">
        <v>57</v>
      </c>
      <c r="C296" s="6">
        <v>86.139999389648395</v>
      </c>
    </row>
    <row r="297" spans="1:3" x14ac:dyDescent="0.3">
      <c r="A297" s="8">
        <v>44875</v>
      </c>
      <c r="B297" s="5" t="s">
        <v>57</v>
      </c>
      <c r="C297" s="6">
        <v>96.629997253417898</v>
      </c>
    </row>
    <row r="298" spans="1:3" x14ac:dyDescent="0.3">
      <c r="A298" s="8">
        <v>44876</v>
      </c>
      <c r="B298" s="5" t="s">
        <v>57</v>
      </c>
      <c r="C298" s="6">
        <v>100.790000915527</v>
      </c>
    </row>
    <row r="299" spans="1:3" x14ac:dyDescent="0.3">
      <c r="A299" s="8">
        <v>44879</v>
      </c>
      <c r="B299" s="5" t="s">
        <v>57</v>
      </c>
      <c r="C299" s="6">
        <v>98.489997863769503</v>
      </c>
    </row>
    <row r="300" spans="1:3" x14ac:dyDescent="0.3">
      <c r="A300" s="8">
        <v>44880</v>
      </c>
      <c r="B300" s="5" t="s">
        <v>57</v>
      </c>
      <c r="C300" s="6">
        <v>98.940002441406193</v>
      </c>
    </row>
    <row r="301" spans="1:3" x14ac:dyDescent="0.3">
      <c r="A301" s="8">
        <v>44881</v>
      </c>
      <c r="B301" s="5" t="s">
        <v>57</v>
      </c>
      <c r="C301" s="6">
        <v>97.120002746582003</v>
      </c>
    </row>
    <row r="302" spans="1:3" x14ac:dyDescent="0.3">
      <c r="A302" s="8">
        <v>44740</v>
      </c>
      <c r="B302" s="5" t="s">
        <v>58</v>
      </c>
      <c r="C302" s="6">
        <v>255.217514038085</v>
      </c>
    </row>
    <row r="303" spans="1:3" x14ac:dyDescent="0.3">
      <c r="A303" s="8">
        <v>44741</v>
      </c>
      <c r="B303" s="5" t="s">
        <v>58</v>
      </c>
      <c r="C303" s="6">
        <v>258.978912353515</v>
      </c>
    </row>
    <row r="304" spans="1:3" x14ac:dyDescent="0.3">
      <c r="A304" s="8">
        <v>44742</v>
      </c>
      <c r="B304" s="5" t="s">
        <v>58</v>
      </c>
      <c r="C304" s="6">
        <v>255.56578063964801</v>
      </c>
    </row>
    <row r="305" spans="1:3" x14ac:dyDescent="0.3">
      <c r="A305" s="8">
        <v>44743</v>
      </c>
      <c r="B305" s="5" t="s">
        <v>58</v>
      </c>
      <c r="C305" s="6">
        <v>258.30221557617102</v>
      </c>
    </row>
    <row r="306" spans="1:3" x14ac:dyDescent="0.3">
      <c r="A306" s="8">
        <v>44747</v>
      </c>
      <c r="B306" s="5" t="s">
        <v>58</v>
      </c>
      <c r="C306" s="6">
        <v>261.55615234375</v>
      </c>
    </row>
    <row r="307" spans="1:3" x14ac:dyDescent="0.3">
      <c r="A307" s="8">
        <v>44748</v>
      </c>
      <c r="B307" s="5" t="s">
        <v>58</v>
      </c>
      <c r="C307" s="6">
        <v>264.89959716796801</v>
      </c>
    </row>
    <row r="308" spans="1:3" x14ac:dyDescent="0.3">
      <c r="A308" s="8">
        <v>44749</v>
      </c>
      <c r="B308" s="5" t="s">
        <v>58</v>
      </c>
      <c r="C308" s="6">
        <v>267.07882690429602</v>
      </c>
    </row>
    <row r="309" spans="1:3" x14ac:dyDescent="0.3">
      <c r="A309" s="8">
        <v>44750</v>
      </c>
      <c r="B309" s="5" t="s">
        <v>58</v>
      </c>
      <c r="C309" s="6">
        <v>266.34246826171801</v>
      </c>
    </row>
    <row r="310" spans="1:3" x14ac:dyDescent="0.3">
      <c r="A310" s="8">
        <v>44753</v>
      </c>
      <c r="B310" s="5" t="s">
        <v>58</v>
      </c>
      <c r="C310" s="6">
        <v>263.20797729492102</v>
      </c>
    </row>
    <row r="311" spans="1:3" x14ac:dyDescent="0.3">
      <c r="A311" s="8">
        <v>44754</v>
      </c>
      <c r="B311" s="5" t="s">
        <v>58</v>
      </c>
      <c r="C311" s="6">
        <v>252.42132568359301</v>
      </c>
    </row>
    <row r="312" spans="1:3" x14ac:dyDescent="0.3">
      <c r="A312" s="8">
        <v>44755</v>
      </c>
      <c r="B312" s="5" t="s">
        <v>58</v>
      </c>
      <c r="C312" s="6">
        <v>251.47601318359301</v>
      </c>
    </row>
    <row r="313" spans="1:3" x14ac:dyDescent="0.3">
      <c r="A313" s="8">
        <v>44756</v>
      </c>
      <c r="B313" s="5" t="s">
        <v>58</v>
      </c>
      <c r="C313" s="6">
        <v>252.829330444335</v>
      </c>
    </row>
    <row r="314" spans="1:3" x14ac:dyDescent="0.3">
      <c r="A314" s="8">
        <v>44757</v>
      </c>
      <c r="B314" s="5" t="s">
        <v>58</v>
      </c>
      <c r="C314" s="6">
        <v>255.45631408691401</v>
      </c>
    </row>
    <row r="315" spans="1:3" x14ac:dyDescent="0.3">
      <c r="A315" s="8">
        <v>44760</v>
      </c>
      <c r="B315" s="5" t="s">
        <v>58</v>
      </c>
      <c r="C315" s="6">
        <v>252.99847412109301</v>
      </c>
    </row>
    <row r="316" spans="1:3" x14ac:dyDescent="0.3">
      <c r="A316" s="8">
        <v>44761</v>
      </c>
      <c r="B316" s="5" t="s">
        <v>58</v>
      </c>
      <c r="C316" s="6">
        <v>258.25250244140602</v>
      </c>
    </row>
    <row r="317" spans="1:3" x14ac:dyDescent="0.3">
      <c r="A317" s="8">
        <v>44762</v>
      </c>
      <c r="B317" s="5" t="s">
        <v>58</v>
      </c>
      <c r="C317" s="6">
        <v>260.97900390625</v>
      </c>
    </row>
    <row r="318" spans="1:3" x14ac:dyDescent="0.3">
      <c r="A318" s="8">
        <v>44763</v>
      </c>
      <c r="B318" s="5" t="s">
        <v>58</v>
      </c>
      <c r="C318" s="6">
        <v>263.53634643554602</v>
      </c>
    </row>
    <row r="319" spans="1:3" x14ac:dyDescent="0.3">
      <c r="A319" s="8">
        <v>44764</v>
      </c>
      <c r="B319" s="5" t="s">
        <v>58</v>
      </c>
      <c r="C319" s="6">
        <v>259.07839965820301</v>
      </c>
    </row>
    <row r="320" spans="1:3" x14ac:dyDescent="0.3">
      <c r="A320" s="8">
        <v>44767</v>
      </c>
      <c r="B320" s="5" t="s">
        <v>58</v>
      </c>
      <c r="C320" s="6">
        <v>257.555908203125</v>
      </c>
    </row>
    <row r="321" spans="1:3" x14ac:dyDescent="0.3">
      <c r="A321" s="8">
        <v>44768</v>
      </c>
      <c r="B321" s="5" t="s">
        <v>58</v>
      </c>
      <c r="C321" s="6">
        <v>250.66003417968699</v>
      </c>
    </row>
    <row r="322" spans="1:3" x14ac:dyDescent="0.3">
      <c r="A322" s="8">
        <v>44769</v>
      </c>
      <c r="B322" s="5" t="s">
        <v>58</v>
      </c>
      <c r="C322" s="6">
        <v>267.41714477539</v>
      </c>
    </row>
    <row r="323" spans="1:3" x14ac:dyDescent="0.3">
      <c r="A323" s="8">
        <v>44770</v>
      </c>
      <c r="B323" s="5" t="s">
        <v>58</v>
      </c>
      <c r="C323" s="6">
        <v>275.04940795898398</v>
      </c>
    </row>
    <row r="324" spans="1:3" x14ac:dyDescent="0.3">
      <c r="A324" s="8">
        <v>44771</v>
      </c>
      <c r="B324" s="5" t="s">
        <v>58</v>
      </c>
      <c r="C324" s="6">
        <v>279.35809326171801</v>
      </c>
    </row>
    <row r="325" spans="1:3" x14ac:dyDescent="0.3">
      <c r="A325" s="8">
        <v>44774</v>
      </c>
      <c r="B325" s="5" t="s">
        <v>58</v>
      </c>
      <c r="C325" s="6">
        <v>276.64154052734301</v>
      </c>
    </row>
    <row r="326" spans="1:3" x14ac:dyDescent="0.3">
      <c r="A326" s="8">
        <v>44775</v>
      </c>
      <c r="B326" s="5" t="s">
        <v>58</v>
      </c>
      <c r="C326" s="6">
        <v>273.46722412109301</v>
      </c>
    </row>
    <row r="327" spans="1:3" x14ac:dyDescent="0.3">
      <c r="A327" s="8">
        <v>44776</v>
      </c>
      <c r="B327" s="5" t="s">
        <v>58</v>
      </c>
      <c r="C327" s="6">
        <v>281.07955932617102</v>
      </c>
    </row>
    <row r="328" spans="1:3" x14ac:dyDescent="0.3">
      <c r="A328" s="8">
        <v>44777</v>
      </c>
      <c r="B328" s="5" t="s">
        <v>58</v>
      </c>
      <c r="C328" s="6">
        <v>282.25375366210898</v>
      </c>
    </row>
    <row r="329" spans="1:3" x14ac:dyDescent="0.3">
      <c r="A329" s="8">
        <v>44778</v>
      </c>
      <c r="B329" s="5" t="s">
        <v>58</v>
      </c>
      <c r="C329" s="6">
        <v>281.51739501953102</v>
      </c>
    </row>
    <row r="330" spans="1:3" x14ac:dyDescent="0.3">
      <c r="A330" s="8">
        <v>44781</v>
      </c>
      <c r="B330" s="5" t="s">
        <v>58</v>
      </c>
      <c r="C330" s="6">
        <v>278.94015502929602</v>
      </c>
    </row>
    <row r="331" spans="1:3" x14ac:dyDescent="0.3">
      <c r="A331" s="8">
        <v>44782</v>
      </c>
      <c r="B331" s="5" t="s">
        <v>58</v>
      </c>
      <c r="C331" s="6">
        <v>280.910400390625</v>
      </c>
    </row>
    <row r="332" spans="1:3" x14ac:dyDescent="0.3">
      <c r="A332" s="8">
        <v>44783</v>
      </c>
      <c r="B332" s="5" t="s">
        <v>58</v>
      </c>
      <c r="C332" s="6">
        <v>287.73663330078102</v>
      </c>
    </row>
    <row r="333" spans="1:3" x14ac:dyDescent="0.3">
      <c r="A333" s="8">
        <v>44784</v>
      </c>
      <c r="B333" s="5" t="s">
        <v>58</v>
      </c>
      <c r="C333" s="6">
        <v>285.60714721679602</v>
      </c>
    </row>
    <row r="334" spans="1:3" x14ac:dyDescent="0.3">
      <c r="A334" s="8">
        <v>44785</v>
      </c>
      <c r="B334" s="5" t="s">
        <v>58</v>
      </c>
      <c r="C334" s="6">
        <v>290.47311401367102</v>
      </c>
    </row>
    <row r="335" spans="1:3" x14ac:dyDescent="0.3">
      <c r="A335" s="8">
        <v>44788</v>
      </c>
      <c r="B335" s="5" t="s">
        <v>58</v>
      </c>
      <c r="C335" s="6">
        <v>292.02545166015602</v>
      </c>
    </row>
    <row r="336" spans="1:3" x14ac:dyDescent="0.3">
      <c r="A336" s="8">
        <v>44789</v>
      </c>
      <c r="B336" s="5" t="s">
        <v>58</v>
      </c>
      <c r="C336" s="6">
        <v>291.26916503906199</v>
      </c>
    </row>
    <row r="337" spans="1:3" x14ac:dyDescent="0.3">
      <c r="A337" s="8">
        <v>44790</v>
      </c>
      <c r="B337" s="5" t="s">
        <v>58</v>
      </c>
      <c r="C337" s="6">
        <v>290.50134277343699</v>
      </c>
    </row>
    <row r="338" spans="1:3" x14ac:dyDescent="0.3">
      <c r="A338" s="8">
        <v>44791</v>
      </c>
      <c r="B338" s="5" t="s">
        <v>58</v>
      </c>
      <c r="C338" s="6">
        <v>289.35455322265602</v>
      </c>
    </row>
    <row r="339" spans="1:3" x14ac:dyDescent="0.3">
      <c r="A339" s="8">
        <v>44792</v>
      </c>
      <c r="B339" s="5" t="s">
        <v>58</v>
      </c>
      <c r="C339" s="6">
        <v>285.34585571289</v>
      </c>
    </row>
    <row r="340" spans="1:3" x14ac:dyDescent="0.3">
      <c r="A340" s="8">
        <v>44795</v>
      </c>
      <c r="B340" s="5" t="s">
        <v>58</v>
      </c>
      <c r="C340" s="6">
        <v>276.96945190429602</v>
      </c>
    </row>
    <row r="341" spans="1:3" x14ac:dyDescent="0.3">
      <c r="A341" s="8">
        <v>44796</v>
      </c>
      <c r="B341" s="5" t="s">
        <v>58</v>
      </c>
      <c r="C341" s="6">
        <v>275.66314697265602</v>
      </c>
    </row>
    <row r="342" spans="1:3" x14ac:dyDescent="0.3">
      <c r="A342" s="8">
        <v>44797</v>
      </c>
      <c r="B342" s="5" t="s">
        <v>58</v>
      </c>
      <c r="C342" s="6">
        <v>275.01498413085898</v>
      </c>
    </row>
    <row r="343" spans="1:3" x14ac:dyDescent="0.3">
      <c r="A343" s="8">
        <v>44798</v>
      </c>
      <c r="B343" s="5" t="s">
        <v>58</v>
      </c>
      <c r="C343" s="6">
        <v>278.06637573242102</v>
      </c>
    </row>
    <row r="344" spans="1:3" x14ac:dyDescent="0.3">
      <c r="A344" s="8">
        <v>44799</v>
      </c>
      <c r="B344" s="5" t="s">
        <v>58</v>
      </c>
      <c r="C344" s="6">
        <v>267.33660888671801</v>
      </c>
    </row>
    <row r="345" spans="1:3" x14ac:dyDescent="0.3">
      <c r="A345" s="8">
        <v>44802</v>
      </c>
      <c r="B345" s="5" t="s">
        <v>58</v>
      </c>
      <c r="C345" s="6">
        <v>264.48464965820301</v>
      </c>
    </row>
    <row r="346" spans="1:3" x14ac:dyDescent="0.3">
      <c r="A346" s="8">
        <v>44803</v>
      </c>
      <c r="B346" s="5" t="s">
        <v>58</v>
      </c>
      <c r="C346" s="6">
        <v>262.23098754882801</v>
      </c>
    </row>
    <row r="347" spans="1:3" x14ac:dyDescent="0.3">
      <c r="A347" s="8">
        <v>44804</v>
      </c>
      <c r="B347" s="5" t="s">
        <v>58</v>
      </c>
      <c r="C347" s="6">
        <v>260.73519897460898</v>
      </c>
    </row>
    <row r="348" spans="1:3" x14ac:dyDescent="0.3">
      <c r="A348" s="8">
        <v>44805</v>
      </c>
      <c r="B348" s="5" t="s">
        <v>58</v>
      </c>
      <c r="C348" s="6">
        <v>259.668212890625</v>
      </c>
    </row>
    <row r="349" spans="1:3" x14ac:dyDescent="0.3">
      <c r="A349" s="8">
        <v>44806</v>
      </c>
      <c r="B349" s="5" t="s">
        <v>58</v>
      </c>
      <c r="C349" s="6">
        <v>255.340408325195</v>
      </c>
    </row>
    <row r="350" spans="1:3" x14ac:dyDescent="0.3">
      <c r="A350" s="8">
        <v>44810</v>
      </c>
      <c r="B350" s="5" t="s">
        <v>58</v>
      </c>
      <c r="C350" s="6">
        <v>252.53829956054599</v>
      </c>
    </row>
    <row r="351" spans="1:3" x14ac:dyDescent="0.3">
      <c r="A351" s="8">
        <v>44811</v>
      </c>
      <c r="B351" s="5" t="s">
        <v>58</v>
      </c>
      <c r="C351" s="6">
        <v>257.36471557617102</v>
      </c>
    </row>
    <row r="352" spans="1:3" x14ac:dyDescent="0.3">
      <c r="A352" s="8">
        <v>44812</v>
      </c>
      <c r="B352" s="5" t="s">
        <v>58</v>
      </c>
      <c r="C352" s="6">
        <v>257.79348754882801</v>
      </c>
    </row>
    <row r="353" spans="1:3" x14ac:dyDescent="0.3">
      <c r="A353" s="8">
        <v>44813</v>
      </c>
      <c r="B353" s="5" t="s">
        <v>58</v>
      </c>
      <c r="C353" s="6">
        <v>263.716796875</v>
      </c>
    </row>
    <row r="354" spans="1:3" x14ac:dyDescent="0.3">
      <c r="A354" s="8">
        <v>44816</v>
      </c>
      <c r="B354" s="5" t="s">
        <v>58</v>
      </c>
      <c r="C354" s="6">
        <v>265.900634765625</v>
      </c>
    </row>
    <row r="355" spans="1:3" x14ac:dyDescent="0.3">
      <c r="A355" s="8">
        <v>44817</v>
      </c>
      <c r="B355" s="5" t="s">
        <v>58</v>
      </c>
      <c r="C355" s="6">
        <v>251.28186035156199</v>
      </c>
    </row>
    <row r="356" spans="1:3" x14ac:dyDescent="0.3">
      <c r="A356" s="8">
        <v>44818</v>
      </c>
      <c r="B356" s="5" t="s">
        <v>58</v>
      </c>
      <c r="C356" s="6">
        <v>251.51119995117099</v>
      </c>
    </row>
    <row r="357" spans="1:3" x14ac:dyDescent="0.3">
      <c r="A357" s="8">
        <v>44819</v>
      </c>
      <c r="B357" s="5" t="s">
        <v>58</v>
      </c>
      <c r="C357" s="6">
        <v>244.6904296875</v>
      </c>
    </row>
    <row r="358" spans="1:3" x14ac:dyDescent="0.3">
      <c r="A358" s="8">
        <v>44820</v>
      </c>
      <c r="B358" s="5" t="s">
        <v>58</v>
      </c>
      <c r="C358" s="6">
        <v>244.05223083496</v>
      </c>
    </row>
    <row r="359" spans="1:3" x14ac:dyDescent="0.3">
      <c r="A359" s="8">
        <v>44823</v>
      </c>
      <c r="B359" s="5" t="s">
        <v>58</v>
      </c>
      <c r="C359" s="6">
        <v>243.83283996582</v>
      </c>
    </row>
    <row r="360" spans="1:3" x14ac:dyDescent="0.3">
      <c r="A360" s="8">
        <v>44824</v>
      </c>
      <c r="B360" s="5" t="s">
        <v>58</v>
      </c>
      <c r="C360" s="6">
        <v>241.76866149902301</v>
      </c>
    </row>
    <row r="361" spans="1:3" x14ac:dyDescent="0.3">
      <c r="A361" s="8">
        <v>44825</v>
      </c>
      <c r="B361" s="5" t="s">
        <v>58</v>
      </c>
      <c r="C361" s="6">
        <v>238.27848815917901</v>
      </c>
    </row>
    <row r="362" spans="1:3" x14ac:dyDescent="0.3">
      <c r="A362" s="8">
        <v>44826</v>
      </c>
      <c r="B362" s="5" t="s">
        <v>58</v>
      </c>
      <c r="C362" s="6">
        <v>240.30278015136699</v>
      </c>
    </row>
    <row r="363" spans="1:3" x14ac:dyDescent="0.3">
      <c r="A363" s="8">
        <v>44827</v>
      </c>
      <c r="B363" s="5" t="s">
        <v>58</v>
      </c>
      <c r="C363" s="6">
        <v>237.25138854980401</v>
      </c>
    </row>
    <row r="364" spans="1:3" x14ac:dyDescent="0.3">
      <c r="A364" s="8">
        <v>44830</v>
      </c>
      <c r="B364" s="5" t="s">
        <v>58</v>
      </c>
      <c r="C364" s="6">
        <v>236.78269958496</v>
      </c>
    </row>
    <row r="365" spans="1:3" x14ac:dyDescent="0.3">
      <c r="A365" s="8">
        <v>44831</v>
      </c>
      <c r="B365" s="5" t="s">
        <v>58</v>
      </c>
      <c r="C365" s="6">
        <v>235.74563598632801</v>
      </c>
    </row>
    <row r="366" spans="1:3" x14ac:dyDescent="0.3">
      <c r="A366" s="8">
        <v>44832</v>
      </c>
      <c r="B366" s="5" t="s">
        <v>58</v>
      </c>
      <c r="C366" s="6">
        <v>240.39254760742099</v>
      </c>
    </row>
    <row r="367" spans="1:3" x14ac:dyDescent="0.3">
      <c r="A367" s="8">
        <v>44833</v>
      </c>
      <c r="B367" s="5" t="s">
        <v>58</v>
      </c>
      <c r="C367" s="6">
        <v>236.83256530761699</v>
      </c>
    </row>
    <row r="368" spans="1:3" x14ac:dyDescent="0.3">
      <c r="A368" s="8">
        <v>44834</v>
      </c>
      <c r="B368" s="5" t="s">
        <v>58</v>
      </c>
      <c r="C368" s="6">
        <v>232.24548339843699</v>
      </c>
    </row>
    <row r="369" spans="1:3" x14ac:dyDescent="0.3">
      <c r="A369" s="8">
        <v>44837</v>
      </c>
      <c r="B369" s="5" t="s">
        <v>58</v>
      </c>
      <c r="C369" s="6">
        <v>240.06346130371</v>
      </c>
    </row>
    <row r="370" spans="1:3" x14ac:dyDescent="0.3">
      <c r="A370" s="8">
        <v>44838</v>
      </c>
      <c r="B370" s="5" t="s">
        <v>58</v>
      </c>
      <c r="C370" s="6">
        <v>248.18058776855401</v>
      </c>
    </row>
    <row r="371" spans="1:3" x14ac:dyDescent="0.3">
      <c r="A371" s="8">
        <v>44839</v>
      </c>
      <c r="B371" s="5" t="s">
        <v>58</v>
      </c>
      <c r="C371" s="6">
        <v>248.49967956542901</v>
      </c>
    </row>
    <row r="372" spans="1:3" x14ac:dyDescent="0.3">
      <c r="A372" s="8">
        <v>44840</v>
      </c>
      <c r="B372" s="5" t="s">
        <v>58</v>
      </c>
      <c r="C372" s="6">
        <v>246.09645080566401</v>
      </c>
    </row>
    <row r="373" spans="1:3" x14ac:dyDescent="0.3">
      <c r="A373" s="8">
        <v>44841</v>
      </c>
      <c r="B373" s="5" t="s">
        <v>58</v>
      </c>
      <c r="C373" s="6">
        <v>233.58174133300699</v>
      </c>
    </row>
    <row r="374" spans="1:3" x14ac:dyDescent="0.3">
      <c r="A374" s="8">
        <v>44844</v>
      </c>
      <c r="B374" s="5" t="s">
        <v>58</v>
      </c>
      <c r="C374" s="6">
        <v>228.60575866699199</v>
      </c>
    </row>
    <row r="375" spans="1:3" x14ac:dyDescent="0.3">
      <c r="A375" s="8">
        <v>44845</v>
      </c>
      <c r="B375" s="5" t="s">
        <v>58</v>
      </c>
      <c r="C375" s="6">
        <v>224.77655029296801</v>
      </c>
    </row>
    <row r="376" spans="1:3" x14ac:dyDescent="0.3">
      <c r="A376" s="8">
        <v>44846</v>
      </c>
      <c r="B376" s="5" t="s">
        <v>58</v>
      </c>
      <c r="C376" s="6">
        <v>225.11558532714801</v>
      </c>
    </row>
    <row r="377" spans="1:3" x14ac:dyDescent="0.3">
      <c r="A377" s="8">
        <v>44847</v>
      </c>
      <c r="B377" s="5" t="s">
        <v>58</v>
      </c>
      <c r="C377" s="6">
        <v>233.58174133300699</v>
      </c>
    </row>
    <row r="378" spans="1:3" x14ac:dyDescent="0.3">
      <c r="A378" s="8">
        <v>44848</v>
      </c>
      <c r="B378" s="5" t="s">
        <v>58</v>
      </c>
      <c r="C378" s="6">
        <v>227.91769409179599</v>
      </c>
    </row>
    <row r="379" spans="1:3" x14ac:dyDescent="0.3">
      <c r="A379" s="8">
        <v>44851</v>
      </c>
      <c r="B379" s="5" t="s">
        <v>58</v>
      </c>
      <c r="C379" s="6">
        <v>236.86248779296801</v>
      </c>
    </row>
    <row r="380" spans="1:3" x14ac:dyDescent="0.3">
      <c r="A380" s="8">
        <v>44852</v>
      </c>
      <c r="B380" s="5" t="s">
        <v>58</v>
      </c>
      <c r="C380" s="6">
        <v>237.82975769042901</v>
      </c>
    </row>
    <row r="381" spans="1:3" x14ac:dyDescent="0.3">
      <c r="A381" s="8">
        <v>44853</v>
      </c>
      <c r="B381" s="5" t="s">
        <v>58</v>
      </c>
      <c r="C381" s="6">
        <v>235.8154296875</v>
      </c>
    </row>
    <row r="382" spans="1:3" x14ac:dyDescent="0.3">
      <c r="A382" s="8">
        <v>44854</v>
      </c>
      <c r="B382" s="5" t="s">
        <v>58</v>
      </c>
      <c r="C382" s="6">
        <v>235.48635864257801</v>
      </c>
    </row>
    <row r="383" spans="1:3" x14ac:dyDescent="0.3">
      <c r="A383" s="8">
        <v>44855</v>
      </c>
      <c r="B383" s="5" t="s">
        <v>58</v>
      </c>
      <c r="C383" s="6">
        <v>241.43957519531199</v>
      </c>
    </row>
    <row r="384" spans="1:3" x14ac:dyDescent="0.3">
      <c r="A384" s="8">
        <v>44858</v>
      </c>
      <c r="B384" s="5" t="s">
        <v>58</v>
      </c>
      <c r="C384" s="6">
        <v>246.55517578125</v>
      </c>
    </row>
    <row r="385" spans="1:3" x14ac:dyDescent="0.3">
      <c r="A385" s="8">
        <v>44859</v>
      </c>
      <c r="B385" s="5" t="s">
        <v>58</v>
      </c>
      <c r="C385" s="6">
        <v>249.95558166503901</v>
      </c>
    </row>
    <row r="386" spans="1:3" x14ac:dyDescent="0.3">
      <c r="A386" s="8">
        <v>44860</v>
      </c>
      <c r="B386" s="5" t="s">
        <v>58</v>
      </c>
      <c r="C386" s="6">
        <v>230.66993713378901</v>
      </c>
    </row>
    <row r="387" spans="1:3" x14ac:dyDescent="0.3">
      <c r="A387" s="8">
        <v>44861</v>
      </c>
      <c r="B387" s="5" t="s">
        <v>58</v>
      </c>
      <c r="C387" s="6">
        <v>226.11277770996</v>
      </c>
    </row>
    <row r="388" spans="1:3" x14ac:dyDescent="0.3">
      <c r="A388" s="8">
        <v>44862</v>
      </c>
      <c r="B388" s="5" t="s">
        <v>58</v>
      </c>
      <c r="C388" s="6">
        <v>235.20713806152301</v>
      </c>
    </row>
    <row r="389" spans="1:3" x14ac:dyDescent="0.3">
      <c r="A389" s="8">
        <v>44865</v>
      </c>
      <c r="B389" s="5" t="s">
        <v>58</v>
      </c>
      <c r="C389" s="6">
        <v>231.47766113281199</v>
      </c>
    </row>
    <row r="390" spans="1:3" x14ac:dyDescent="0.3">
      <c r="A390" s="8">
        <v>44866</v>
      </c>
      <c r="B390" s="5" t="s">
        <v>58</v>
      </c>
      <c r="C390" s="6">
        <v>227.52879333496</v>
      </c>
    </row>
    <row r="391" spans="1:3" x14ac:dyDescent="0.3">
      <c r="A391" s="8">
        <v>44867</v>
      </c>
      <c r="B391" s="5" t="s">
        <v>58</v>
      </c>
      <c r="C391" s="6">
        <v>219.48147583007801</v>
      </c>
    </row>
    <row r="392" spans="1:3" x14ac:dyDescent="0.3">
      <c r="A392" s="8">
        <v>44868</v>
      </c>
      <c r="B392" s="5" t="s">
        <v>58</v>
      </c>
      <c r="C392" s="6">
        <v>213.64790344238199</v>
      </c>
    </row>
    <row r="393" spans="1:3" x14ac:dyDescent="0.3">
      <c r="A393" s="8">
        <v>44869</v>
      </c>
      <c r="B393" s="5" t="s">
        <v>58</v>
      </c>
      <c r="C393" s="6">
        <v>220.76783752441401</v>
      </c>
    </row>
    <row r="394" spans="1:3" x14ac:dyDescent="0.3">
      <c r="A394" s="8">
        <v>44872</v>
      </c>
      <c r="B394" s="5" t="s">
        <v>58</v>
      </c>
      <c r="C394" s="6">
        <v>227.22962951660099</v>
      </c>
    </row>
    <row r="395" spans="1:3" x14ac:dyDescent="0.3">
      <c r="A395" s="8">
        <v>44873</v>
      </c>
      <c r="B395" s="5" t="s">
        <v>58</v>
      </c>
      <c r="C395" s="6">
        <v>228.22682189941401</v>
      </c>
    </row>
    <row r="396" spans="1:3" x14ac:dyDescent="0.3">
      <c r="A396" s="8">
        <v>44874</v>
      </c>
      <c r="B396" s="5" t="s">
        <v>58</v>
      </c>
      <c r="C396" s="6">
        <v>223.87907409667901</v>
      </c>
    </row>
    <row r="397" spans="1:3" x14ac:dyDescent="0.3">
      <c r="A397" s="8">
        <v>44875</v>
      </c>
      <c r="B397" s="5" t="s">
        <v>58</v>
      </c>
      <c r="C397" s="6">
        <v>242.29716491699199</v>
      </c>
    </row>
    <row r="398" spans="1:3" x14ac:dyDescent="0.3">
      <c r="A398" s="8">
        <v>44876</v>
      </c>
      <c r="B398" s="5" t="s">
        <v>58</v>
      </c>
      <c r="C398" s="6">
        <v>246.41555786132801</v>
      </c>
    </row>
    <row r="399" spans="1:3" x14ac:dyDescent="0.3">
      <c r="A399" s="8">
        <v>44879</v>
      </c>
      <c r="B399" s="5" t="s">
        <v>58</v>
      </c>
      <c r="C399" s="6">
        <v>240.87118530273401</v>
      </c>
    </row>
    <row r="400" spans="1:3" x14ac:dyDescent="0.3">
      <c r="A400" s="8">
        <v>44880</v>
      </c>
      <c r="B400" s="5" t="s">
        <v>58</v>
      </c>
      <c r="C400" s="6">
        <v>241.29000854492099</v>
      </c>
    </row>
    <row r="401" spans="1:3" x14ac:dyDescent="0.3">
      <c r="A401" s="8">
        <v>44881</v>
      </c>
      <c r="B401" s="5" t="s">
        <v>58</v>
      </c>
      <c r="C401" s="6">
        <v>241.72999572753901</v>
      </c>
    </row>
    <row r="402" spans="1:3" x14ac:dyDescent="0.3">
      <c r="A402" s="8">
        <v>44740</v>
      </c>
      <c r="B402" s="5" t="s">
        <v>59</v>
      </c>
      <c r="C402" s="6">
        <v>379.09274291992102</v>
      </c>
    </row>
    <row r="403" spans="1:3" x14ac:dyDescent="0.3">
      <c r="A403" s="8">
        <v>44741</v>
      </c>
      <c r="B403" s="5" t="s">
        <v>59</v>
      </c>
      <c r="C403" s="6">
        <v>378.78402709960898</v>
      </c>
    </row>
    <row r="404" spans="1:3" x14ac:dyDescent="0.3">
      <c r="A404" s="8">
        <v>44742</v>
      </c>
      <c r="B404" s="5" t="s">
        <v>59</v>
      </c>
      <c r="C404" s="6">
        <v>375.70666503906199</v>
      </c>
    </row>
    <row r="405" spans="1:3" x14ac:dyDescent="0.3">
      <c r="A405" s="8">
        <v>44743</v>
      </c>
      <c r="B405" s="5" t="s">
        <v>59</v>
      </c>
      <c r="C405" s="6">
        <v>379.68032836914</v>
      </c>
    </row>
    <row r="406" spans="1:3" x14ac:dyDescent="0.3">
      <c r="A406" s="8">
        <v>44747</v>
      </c>
      <c r="B406" s="5" t="s">
        <v>59</v>
      </c>
      <c r="C406" s="6">
        <v>380.397369384765</v>
      </c>
    </row>
    <row r="407" spans="1:3" x14ac:dyDescent="0.3">
      <c r="A407" s="8">
        <v>44748</v>
      </c>
      <c r="B407" s="5" t="s">
        <v>59</v>
      </c>
      <c r="C407" s="6">
        <v>381.68212890625</v>
      </c>
    </row>
    <row r="408" spans="1:3" x14ac:dyDescent="0.3">
      <c r="A408" s="8">
        <v>44749</v>
      </c>
      <c r="B408" s="5" t="s">
        <v>59</v>
      </c>
      <c r="C408" s="6">
        <v>387.39862060546801</v>
      </c>
    </row>
    <row r="409" spans="1:3" x14ac:dyDescent="0.3">
      <c r="A409" s="8">
        <v>44750</v>
      </c>
      <c r="B409" s="5" t="s">
        <v>59</v>
      </c>
      <c r="C409" s="6">
        <v>387.07995605468699</v>
      </c>
    </row>
    <row r="410" spans="1:3" x14ac:dyDescent="0.3">
      <c r="A410" s="8">
        <v>44753</v>
      </c>
      <c r="B410" s="5" t="s">
        <v>59</v>
      </c>
      <c r="C410" s="6">
        <v>382.658111572265</v>
      </c>
    </row>
    <row r="411" spans="1:3" x14ac:dyDescent="0.3">
      <c r="A411" s="8">
        <v>44754</v>
      </c>
      <c r="B411" s="5" t="s">
        <v>59</v>
      </c>
      <c r="C411" s="6">
        <v>379.27200317382801</v>
      </c>
    </row>
    <row r="412" spans="1:3" x14ac:dyDescent="0.3">
      <c r="A412" s="8">
        <v>44755</v>
      </c>
      <c r="B412" s="5" t="s">
        <v>59</v>
      </c>
      <c r="C412" s="6">
        <v>377.280181884765</v>
      </c>
    </row>
    <row r="413" spans="1:3" x14ac:dyDescent="0.3">
      <c r="A413" s="8">
        <v>44756</v>
      </c>
      <c r="B413" s="5" t="s">
        <v>59</v>
      </c>
      <c r="C413" s="6">
        <v>376.36395263671801</v>
      </c>
    </row>
    <row r="414" spans="1:3" x14ac:dyDescent="0.3">
      <c r="A414" s="8">
        <v>44757</v>
      </c>
      <c r="B414" s="5" t="s">
        <v>59</v>
      </c>
      <c r="C414" s="6">
        <v>383.554443359375</v>
      </c>
    </row>
    <row r="415" spans="1:3" x14ac:dyDescent="0.3">
      <c r="A415" s="8">
        <v>44760</v>
      </c>
      <c r="B415" s="5" t="s">
        <v>59</v>
      </c>
      <c r="C415" s="6">
        <v>380.387451171875</v>
      </c>
    </row>
    <row r="416" spans="1:3" x14ac:dyDescent="0.3">
      <c r="A416" s="8">
        <v>44761</v>
      </c>
      <c r="B416" s="5" t="s">
        <v>59</v>
      </c>
      <c r="C416" s="6">
        <v>390.66519165039</v>
      </c>
    </row>
    <row r="417" spans="1:3" x14ac:dyDescent="0.3">
      <c r="A417" s="8">
        <v>44762</v>
      </c>
      <c r="B417" s="5" t="s">
        <v>59</v>
      </c>
      <c r="C417" s="6">
        <v>393.15496826171801</v>
      </c>
    </row>
    <row r="418" spans="1:3" x14ac:dyDescent="0.3">
      <c r="A418" s="8">
        <v>44763</v>
      </c>
      <c r="B418" s="5" t="s">
        <v>59</v>
      </c>
      <c r="C418" s="6">
        <v>397.15853881835898</v>
      </c>
    </row>
    <row r="419" spans="1:3" x14ac:dyDescent="0.3">
      <c r="A419" s="8">
        <v>44764</v>
      </c>
      <c r="B419" s="5" t="s">
        <v>59</v>
      </c>
      <c r="C419" s="6">
        <v>393.47366333007801</v>
      </c>
    </row>
    <row r="420" spans="1:3" x14ac:dyDescent="0.3">
      <c r="A420" s="8">
        <v>44767</v>
      </c>
      <c r="B420" s="5" t="s">
        <v>59</v>
      </c>
      <c r="C420" s="6">
        <v>393.95172119140602</v>
      </c>
    </row>
    <row r="421" spans="1:3" x14ac:dyDescent="0.3">
      <c r="A421" s="8">
        <v>44768</v>
      </c>
      <c r="B421" s="5" t="s">
        <v>59</v>
      </c>
      <c r="C421" s="6">
        <v>389.29086303710898</v>
      </c>
    </row>
    <row r="422" spans="1:3" x14ac:dyDescent="0.3">
      <c r="A422" s="8">
        <v>44769</v>
      </c>
      <c r="B422" s="5" t="s">
        <v>59</v>
      </c>
      <c r="C422" s="6">
        <v>399.39935302734301</v>
      </c>
    </row>
    <row r="423" spans="1:3" x14ac:dyDescent="0.3">
      <c r="A423" s="8">
        <v>44770</v>
      </c>
      <c r="B423" s="5" t="s">
        <v>59</v>
      </c>
      <c r="C423" s="6">
        <v>404.40875244140602</v>
      </c>
    </row>
    <row r="424" spans="1:3" x14ac:dyDescent="0.3">
      <c r="A424" s="8">
        <v>44771</v>
      </c>
      <c r="B424" s="5" t="s">
        <v>59</v>
      </c>
      <c r="C424" s="6">
        <v>410.30453491210898</v>
      </c>
    </row>
    <row r="425" spans="1:3" x14ac:dyDescent="0.3">
      <c r="A425" s="8">
        <v>44774</v>
      </c>
      <c r="B425" s="5" t="s">
        <v>59</v>
      </c>
      <c r="C425" s="6">
        <v>409.08950805664</v>
      </c>
    </row>
    <row r="426" spans="1:3" x14ac:dyDescent="0.3">
      <c r="A426" s="8">
        <v>44775</v>
      </c>
      <c r="B426" s="5" t="s">
        <v>59</v>
      </c>
      <c r="C426" s="6">
        <v>406.390625</v>
      </c>
    </row>
    <row r="427" spans="1:3" x14ac:dyDescent="0.3">
      <c r="A427" s="8">
        <v>44776</v>
      </c>
      <c r="B427" s="5" t="s">
        <v>59</v>
      </c>
      <c r="C427" s="6">
        <v>412.75448608398398</v>
      </c>
    </row>
    <row r="428" spans="1:3" x14ac:dyDescent="0.3">
      <c r="A428" s="8">
        <v>44777</v>
      </c>
      <c r="B428" s="5" t="s">
        <v>59</v>
      </c>
      <c r="C428" s="6">
        <v>412.47564697265602</v>
      </c>
    </row>
    <row r="429" spans="1:3" x14ac:dyDescent="0.3">
      <c r="A429" s="8">
        <v>44778</v>
      </c>
      <c r="B429" s="5" t="s">
        <v>59</v>
      </c>
      <c r="C429" s="6">
        <v>411.77847290039</v>
      </c>
    </row>
    <row r="430" spans="1:3" x14ac:dyDescent="0.3">
      <c r="A430" s="8">
        <v>44781</v>
      </c>
      <c r="B430" s="5" t="s">
        <v>59</v>
      </c>
      <c r="C430" s="6">
        <v>411.30044555664</v>
      </c>
    </row>
    <row r="431" spans="1:3" x14ac:dyDescent="0.3">
      <c r="A431" s="8">
        <v>44782</v>
      </c>
      <c r="B431" s="5" t="s">
        <v>59</v>
      </c>
      <c r="C431" s="6">
        <v>409.66717529296801</v>
      </c>
    </row>
    <row r="432" spans="1:3" x14ac:dyDescent="0.3">
      <c r="A432" s="8">
        <v>44783</v>
      </c>
      <c r="B432" s="5" t="s">
        <v>59</v>
      </c>
      <c r="C432" s="6">
        <v>418.27178955078102</v>
      </c>
    </row>
    <row r="433" spans="1:3" x14ac:dyDescent="0.3">
      <c r="A433" s="8">
        <v>44784</v>
      </c>
      <c r="B433" s="5" t="s">
        <v>59</v>
      </c>
      <c r="C433" s="6">
        <v>418.27178955078102</v>
      </c>
    </row>
    <row r="434" spans="1:3" x14ac:dyDescent="0.3">
      <c r="A434" s="8">
        <v>44785</v>
      </c>
      <c r="B434" s="5" t="s">
        <v>59</v>
      </c>
      <c r="C434" s="6">
        <v>425.35272216796801</v>
      </c>
    </row>
    <row r="435" spans="1:3" x14ac:dyDescent="0.3">
      <c r="A435" s="8">
        <v>44788</v>
      </c>
      <c r="B435" s="5" t="s">
        <v>59</v>
      </c>
      <c r="C435" s="6">
        <v>427.10549926757801</v>
      </c>
    </row>
    <row r="436" spans="1:3" x14ac:dyDescent="0.3">
      <c r="A436" s="8">
        <v>44789</v>
      </c>
      <c r="B436" s="5" t="s">
        <v>59</v>
      </c>
      <c r="C436" s="6">
        <v>427.94210815429602</v>
      </c>
    </row>
    <row r="437" spans="1:3" x14ac:dyDescent="0.3">
      <c r="A437" s="8">
        <v>44790</v>
      </c>
      <c r="B437" s="5" t="s">
        <v>59</v>
      </c>
      <c r="C437" s="6">
        <v>424.90457153320301</v>
      </c>
    </row>
    <row r="438" spans="1:3" x14ac:dyDescent="0.3">
      <c r="A438" s="8">
        <v>44791</v>
      </c>
      <c r="B438" s="5" t="s">
        <v>59</v>
      </c>
      <c r="C438" s="6">
        <v>426.13949584960898</v>
      </c>
    </row>
    <row r="439" spans="1:3" x14ac:dyDescent="0.3">
      <c r="A439" s="8">
        <v>44792</v>
      </c>
      <c r="B439" s="5" t="s">
        <v>59</v>
      </c>
      <c r="C439" s="6">
        <v>420.41302490234301</v>
      </c>
    </row>
    <row r="440" spans="1:3" x14ac:dyDescent="0.3">
      <c r="A440" s="8">
        <v>44795</v>
      </c>
      <c r="B440" s="5" t="s">
        <v>59</v>
      </c>
      <c r="C440" s="6">
        <v>411.65896606445301</v>
      </c>
    </row>
    <row r="441" spans="1:3" x14ac:dyDescent="0.3">
      <c r="A441" s="8">
        <v>44796</v>
      </c>
      <c r="B441" s="5" t="s">
        <v>59</v>
      </c>
      <c r="C441" s="6">
        <v>410.6630859375</v>
      </c>
    </row>
    <row r="442" spans="1:3" x14ac:dyDescent="0.3">
      <c r="A442" s="8">
        <v>44797</v>
      </c>
      <c r="B442" s="5" t="s">
        <v>59</v>
      </c>
      <c r="C442" s="6">
        <v>411.97769165039</v>
      </c>
    </row>
    <row r="443" spans="1:3" x14ac:dyDescent="0.3">
      <c r="A443" s="8">
        <v>44798</v>
      </c>
      <c r="B443" s="5" t="s">
        <v>59</v>
      </c>
      <c r="C443" s="6">
        <v>417.79379272460898</v>
      </c>
    </row>
    <row r="444" spans="1:3" x14ac:dyDescent="0.3">
      <c r="A444" s="8">
        <v>44799</v>
      </c>
      <c r="B444" s="5" t="s">
        <v>59</v>
      </c>
      <c r="C444" s="6">
        <v>403.65185546875</v>
      </c>
    </row>
    <row r="445" spans="1:3" x14ac:dyDescent="0.3">
      <c r="A445" s="8">
        <v>44802</v>
      </c>
      <c r="B445" s="5" t="s">
        <v>59</v>
      </c>
      <c r="C445" s="6">
        <v>400.98284912109301</v>
      </c>
    </row>
    <row r="446" spans="1:3" x14ac:dyDescent="0.3">
      <c r="A446" s="8">
        <v>44803</v>
      </c>
      <c r="B446" s="5" t="s">
        <v>59</v>
      </c>
      <c r="C446" s="6">
        <v>396.58090209960898</v>
      </c>
    </row>
    <row r="447" spans="1:3" x14ac:dyDescent="0.3">
      <c r="A447" s="8">
        <v>44804</v>
      </c>
      <c r="B447" s="5" t="s">
        <v>59</v>
      </c>
      <c r="C447" s="6">
        <v>393.56329345703102</v>
      </c>
    </row>
    <row r="448" spans="1:3" x14ac:dyDescent="0.3">
      <c r="A448" s="8">
        <v>44805</v>
      </c>
      <c r="B448" s="5" t="s">
        <v>59</v>
      </c>
      <c r="C448" s="6">
        <v>394.798248291015</v>
      </c>
    </row>
    <row r="449" spans="1:3" x14ac:dyDescent="0.3">
      <c r="A449" s="8">
        <v>44806</v>
      </c>
      <c r="B449" s="5" t="s">
        <v>59</v>
      </c>
      <c r="C449" s="6">
        <v>390.63531494140602</v>
      </c>
    </row>
    <row r="450" spans="1:3" x14ac:dyDescent="0.3">
      <c r="A450" s="8">
        <v>44810</v>
      </c>
      <c r="B450" s="5" t="s">
        <v>59</v>
      </c>
      <c r="C450" s="6">
        <v>389.16140747070301</v>
      </c>
    </row>
    <row r="451" spans="1:3" x14ac:dyDescent="0.3">
      <c r="A451" s="8">
        <v>44811</v>
      </c>
      <c r="B451" s="5" t="s">
        <v>59</v>
      </c>
      <c r="C451" s="6">
        <v>396.15267944335898</v>
      </c>
    </row>
    <row r="452" spans="1:3" x14ac:dyDescent="0.3">
      <c r="A452" s="8">
        <v>44812</v>
      </c>
      <c r="B452" s="5" t="s">
        <v>59</v>
      </c>
      <c r="C452" s="6">
        <v>398.74203491210898</v>
      </c>
    </row>
    <row r="453" spans="1:3" x14ac:dyDescent="0.3">
      <c r="A453" s="8">
        <v>44813</v>
      </c>
      <c r="B453" s="5" t="s">
        <v>59</v>
      </c>
      <c r="C453" s="6">
        <v>404.93658447265602</v>
      </c>
    </row>
    <row r="454" spans="1:3" x14ac:dyDescent="0.3">
      <c r="A454" s="8">
        <v>44816</v>
      </c>
      <c r="B454" s="5" t="s">
        <v>59</v>
      </c>
      <c r="C454" s="6">
        <v>409.28872680664</v>
      </c>
    </row>
    <row r="455" spans="1:3" x14ac:dyDescent="0.3">
      <c r="A455" s="8">
        <v>44817</v>
      </c>
      <c r="B455" s="5" t="s">
        <v>59</v>
      </c>
      <c r="C455" s="6">
        <v>391.49182128906199</v>
      </c>
    </row>
    <row r="456" spans="1:3" x14ac:dyDescent="0.3">
      <c r="A456" s="8">
        <v>44818</v>
      </c>
      <c r="B456" s="5" t="s">
        <v>59</v>
      </c>
      <c r="C456" s="6">
        <v>392.98568725585898</v>
      </c>
    </row>
    <row r="457" spans="1:3" x14ac:dyDescent="0.3">
      <c r="A457" s="8">
        <v>44819</v>
      </c>
      <c r="B457" s="5" t="s">
        <v>59</v>
      </c>
      <c r="C457" s="6">
        <v>388.52401733398398</v>
      </c>
    </row>
    <row r="458" spans="1:3" x14ac:dyDescent="0.3">
      <c r="A458" s="8">
        <v>44820</v>
      </c>
      <c r="B458" s="5" t="s">
        <v>59</v>
      </c>
      <c r="C458" s="6">
        <v>385.55999755859301</v>
      </c>
    </row>
    <row r="459" spans="1:3" x14ac:dyDescent="0.3">
      <c r="A459" s="8">
        <v>44823</v>
      </c>
      <c r="B459" s="5" t="s">
        <v>59</v>
      </c>
      <c r="C459" s="6">
        <v>388.54998779296801</v>
      </c>
    </row>
    <row r="460" spans="1:3" x14ac:dyDescent="0.3">
      <c r="A460" s="8">
        <v>44824</v>
      </c>
      <c r="B460" s="5" t="s">
        <v>59</v>
      </c>
      <c r="C460" s="6">
        <v>384.08999633789</v>
      </c>
    </row>
    <row r="461" spans="1:3" x14ac:dyDescent="0.3">
      <c r="A461" s="8">
        <v>44825</v>
      </c>
      <c r="B461" s="5" t="s">
        <v>59</v>
      </c>
      <c r="C461" s="6">
        <v>377.39001464843699</v>
      </c>
    </row>
    <row r="462" spans="1:3" x14ac:dyDescent="0.3">
      <c r="A462" s="8">
        <v>44826</v>
      </c>
      <c r="B462" s="5" t="s">
        <v>59</v>
      </c>
      <c r="C462" s="6">
        <v>374.22000122070301</v>
      </c>
    </row>
    <row r="463" spans="1:3" x14ac:dyDescent="0.3">
      <c r="A463" s="8">
        <v>44827</v>
      </c>
      <c r="B463" s="5" t="s">
        <v>59</v>
      </c>
      <c r="C463" s="6">
        <v>367.95001220703102</v>
      </c>
    </row>
    <row r="464" spans="1:3" x14ac:dyDescent="0.3">
      <c r="A464" s="8">
        <v>44830</v>
      </c>
      <c r="B464" s="5" t="s">
        <v>59</v>
      </c>
      <c r="C464" s="6">
        <v>364.30999755859301</v>
      </c>
    </row>
    <row r="465" spans="1:3" x14ac:dyDescent="0.3">
      <c r="A465" s="8">
        <v>44831</v>
      </c>
      <c r="B465" s="5" t="s">
        <v>59</v>
      </c>
      <c r="C465" s="6">
        <v>363.38000488281199</v>
      </c>
    </row>
    <row r="466" spans="1:3" x14ac:dyDescent="0.3">
      <c r="A466" s="8">
        <v>44832</v>
      </c>
      <c r="B466" s="5" t="s">
        <v>59</v>
      </c>
      <c r="C466" s="6">
        <v>370.52999877929602</v>
      </c>
    </row>
    <row r="467" spans="1:3" x14ac:dyDescent="0.3">
      <c r="A467" s="8">
        <v>44833</v>
      </c>
      <c r="B467" s="5" t="s">
        <v>59</v>
      </c>
      <c r="C467" s="6">
        <v>362.79000854492102</v>
      </c>
    </row>
    <row r="468" spans="1:3" x14ac:dyDescent="0.3">
      <c r="A468" s="8">
        <v>44834</v>
      </c>
      <c r="B468" s="5" t="s">
        <v>59</v>
      </c>
      <c r="C468" s="6">
        <v>357.17999267578102</v>
      </c>
    </row>
    <row r="469" spans="1:3" x14ac:dyDescent="0.3">
      <c r="A469" s="8">
        <v>44837</v>
      </c>
      <c r="B469" s="5" t="s">
        <v>59</v>
      </c>
      <c r="C469" s="6">
        <v>366.60998535156199</v>
      </c>
    </row>
    <row r="470" spans="1:3" x14ac:dyDescent="0.3">
      <c r="A470" s="8">
        <v>44838</v>
      </c>
      <c r="B470" s="5" t="s">
        <v>59</v>
      </c>
      <c r="C470" s="6">
        <v>377.97000122070301</v>
      </c>
    </row>
    <row r="471" spans="1:3" x14ac:dyDescent="0.3">
      <c r="A471" s="8">
        <v>44839</v>
      </c>
      <c r="B471" s="5" t="s">
        <v>59</v>
      </c>
      <c r="C471" s="6">
        <v>377.08999633789</v>
      </c>
    </row>
    <row r="472" spans="1:3" x14ac:dyDescent="0.3">
      <c r="A472" s="8">
        <v>44840</v>
      </c>
      <c r="B472" s="5" t="s">
        <v>59</v>
      </c>
      <c r="C472" s="6">
        <v>373.20001220703102</v>
      </c>
    </row>
    <row r="473" spans="1:3" x14ac:dyDescent="0.3">
      <c r="A473" s="8">
        <v>44841</v>
      </c>
      <c r="B473" s="5" t="s">
        <v>59</v>
      </c>
      <c r="C473" s="6">
        <v>362.79000854492102</v>
      </c>
    </row>
    <row r="474" spans="1:3" x14ac:dyDescent="0.3">
      <c r="A474" s="8">
        <v>44844</v>
      </c>
      <c r="B474" s="5" t="s">
        <v>59</v>
      </c>
      <c r="C474" s="6">
        <v>360.01998901367102</v>
      </c>
    </row>
    <row r="475" spans="1:3" x14ac:dyDescent="0.3">
      <c r="A475" s="8">
        <v>44845</v>
      </c>
      <c r="B475" s="5" t="s">
        <v>59</v>
      </c>
      <c r="C475" s="6">
        <v>357.739990234375</v>
      </c>
    </row>
    <row r="476" spans="1:3" x14ac:dyDescent="0.3">
      <c r="A476" s="8">
        <v>44846</v>
      </c>
      <c r="B476" s="5" t="s">
        <v>59</v>
      </c>
      <c r="C476" s="6">
        <v>356.55999755859301</v>
      </c>
    </row>
    <row r="477" spans="1:3" x14ac:dyDescent="0.3">
      <c r="A477" s="8">
        <v>44847</v>
      </c>
      <c r="B477" s="5" t="s">
        <v>59</v>
      </c>
      <c r="C477" s="6">
        <v>365.97000122070301</v>
      </c>
    </row>
    <row r="478" spans="1:3" x14ac:dyDescent="0.3">
      <c r="A478" s="8">
        <v>44848</v>
      </c>
      <c r="B478" s="5" t="s">
        <v>59</v>
      </c>
      <c r="C478" s="6">
        <v>357.63000488281199</v>
      </c>
    </row>
    <row r="479" spans="1:3" x14ac:dyDescent="0.3">
      <c r="A479" s="8">
        <v>44851</v>
      </c>
      <c r="B479" s="5" t="s">
        <v>59</v>
      </c>
      <c r="C479" s="6">
        <v>366.82000732421801</v>
      </c>
    </row>
    <row r="480" spans="1:3" x14ac:dyDescent="0.3">
      <c r="A480" s="8">
        <v>44852</v>
      </c>
      <c r="B480" s="5" t="s">
        <v>59</v>
      </c>
      <c r="C480" s="6">
        <v>371.13000488281199</v>
      </c>
    </row>
    <row r="481" spans="1:3" x14ac:dyDescent="0.3">
      <c r="A481" s="8">
        <v>44853</v>
      </c>
      <c r="B481" s="5" t="s">
        <v>59</v>
      </c>
      <c r="C481" s="6">
        <v>368.5</v>
      </c>
    </row>
    <row r="482" spans="1:3" x14ac:dyDescent="0.3">
      <c r="A482" s="8">
        <v>44854</v>
      </c>
      <c r="B482" s="5" t="s">
        <v>59</v>
      </c>
      <c r="C482" s="6">
        <v>365.41000366210898</v>
      </c>
    </row>
    <row r="483" spans="1:3" x14ac:dyDescent="0.3">
      <c r="A483" s="8">
        <v>44855</v>
      </c>
      <c r="B483" s="5" t="s">
        <v>59</v>
      </c>
      <c r="C483" s="6">
        <v>374.29000854492102</v>
      </c>
    </row>
    <row r="484" spans="1:3" x14ac:dyDescent="0.3">
      <c r="A484" s="8">
        <v>44858</v>
      </c>
      <c r="B484" s="5" t="s">
        <v>59</v>
      </c>
      <c r="C484" s="6">
        <v>378.86999511718699</v>
      </c>
    </row>
    <row r="485" spans="1:3" x14ac:dyDescent="0.3">
      <c r="A485" s="8">
        <v>44859</v>
      </c>
      <c r="B485" s="5" t="s">
        <v>59</v>
      </c>
      <c r="C485" s="6">
        <v>384.92001342773398</v>
      </c>
    </row>
    <row r="486" spans="1:3" x14ac:dyDescent="0.3">
      <c r="A486" s="8">
        <v>44860</v>
      </c>
      <c r="B486" s="5" t="s">
        <v>59</v>
      </c>
      <c r="C486" s="6">
        <v>382.01998901367102</v>
      </c>
    </row>
    <row r="487" spans="1:3" x14ac:dyDescent="0.3">
      <c r="A487" s="8">
        <v>44861</v>
      </c>
      <c r="B487" s="5" t="s">
        <v>59</v>
      </c>
      <c r="C487" s="6">
        <v>379.98001098632801</v>
      </c>
    </row>
    <row r="488" spans="1:3" x14ac:dyDescent="0.3">
      <c r="A488" s="8">
        <v>44862</v>
      </c>
      <c r="B488" s="5" t="s">
        <v>59</v>
      </c>
      <c r="C488" s="6">
        <v>389.01998901367102</v>
      </c>
    </row>
    <row r="489" spans="1:3" x14ac:dyDescent="0.3">
      <c r="A489" s="8">
        <v>44865</v>
      </c>
      <c r="B489" s="5" t="s">
        <v>59</v>
      </c>
      <c r="C489" s="6">
        <v>386.20999145507801</v>
      </c>
    </row>
    <row r="490" spans="1:3" x14ac:dyDescent="0.3">
      <c r="A490" s="8">
        <v>44866</v>
      </c>
      <c r="B490" s="5" t="s">
        <v>59</v>
      </c>
      <c r="C490" s="6">
        <v>384.51998901367102</v>
      </c>
    </row>
    <row r="491" spans="1:3" x14ac:dyDescent="0.3">
      <c r="A491" s="8">
        <v>44867</v>
      </c>
      <c r="B491" s="5" t="s">
        <v>59</v>
      </c>
      <c r="C491" s="6">
        <v>374.86999511718699</v>
      </c>
    </row>
    <row r="492" spans="1:3" x14ac:dyDescent="0.3">
      <c r="A492" s="8">
        <v>44868</v>
      </c>
      <c r="B492" s="5" t="s">
        <v>59</v>
      </c>
      <c r="C492" s="6">
        <v>371.010009765625</v>
      </c>
    </row>
    <row r="493" spans="1:3" x14ac:dyDescent="0.3">
      <c r="A493" s="8">
        <v>44869</v>
      </c>
      <c r="B493" s="5" t="s">
        <v>59</v>
      </c>
      <c r="C493" s="6">
        <v>376.350006103515</v>
      </c>
    </row>
    <row r="494" spans="1:3" x14ac:dyDescent="0.3">
      <c r="A494" s="8">
        <v>44872</v>
      </c>
      <c r="B494" s="5" t="s">
        <v>59</v>
      </c>
      <c r="C494" s="6">
        <v>379.95001220703102</v>
      </c>
    </row>
    <row r="495" spans="1:3" x14ac:dyDescent="0.3">
      <c r="A495" s="8">
        <v>44873</v>
      </c>
      <c r="B495" s="5" t="s">
        <v>59</v>
      </c>
      <c r="C495" s="6">
        <v>382</v>
      </c>
    </row>
    <row r="496" spans="1:3" x14ac:dyDescent="0.3">
      <c r="A496" s="8">
        <v>44874</v>
      </c>
      <c r="B496" s="5" t="s">
        <v>59</v>
      </c>
      <c r="C496" s="6">
        <v>374.13000488281199</v>
      </c>
    </row>
    <row r="497" spans="1:3" x14ac:dyDescent="0.3">
      <c r="A497" s="8">
        <v>44875</v>
      </c>
      <c r="B497" s="5" t="s">
        <v>59</v>
      </c>
      <c r="C497" s="6">
        <v>394.69000244140602</v>
      </c>
    </row>
    <row r="498" spans="1:3" x14ac:dyDescent="0.3">
      <c r="A498" s="8">
        <v>44876</v>
      </c>
      <c r="B498" s="5" t="s">
        <v>59</v>
      </c>
      <c r="C498" s="6">
        <v>398.510009765625</v>
      </c>
    </row>
    <row r="499" spans="1:3" x14ac:dyDescent="0.3">
      <c r="A499" s="8">
        <v>44879</v>
      </c>
      <c r="B499" s="5" t="s">
        <v>59</v>
      </c>
      <c r="C499" s="6">
        <v>395.11999511718699</v>
      </c>
    </row>
    <row r="500" spans="1:3" x14ac:dyDescent="0.3">
      <c r="A500" s="8">
        <v>44880</v>
      </c>
      <c r="B500" s="5" t="s">
        <v>59</v>
      </c>
      <c r="C500" s="6">
        <v>398.489990234375</v>
      </c>
    </row>
    <row r="501" spans="1:3" x14ac:dyDescent="0.3">
      <c r="A501" s="8">
        <v>44881</v>
      </c>
      <c r="B501" s="5" t="s">
        <v>59</v>
      </c>
      <c r="C501" s="6">
        <v>395.45001220703102</v>
      </c>
    </row>
    <row r="502" spans="1:3" x14ac:dyDescent="0.3">
      <c r="A502" s="8">
        <v>44740</v>
      </c>
      <c r="B502" s="5" t="s">
        <v>60</v>
      </c>
      <c r="C502" s="6">
        <v>61.829216003417898</v>
      </c>
    </row>
    <row r="503" spans="1:3" x14ac:dyDescent="0.3">
      <c r="A503" s="8">
        <v>44741</v>
      </c>
      <c r="B503" s="5" t="s">
        <v>60</v>
      </c>
      <c r="C503" s="6">
        <v>62.2759590148925</v>
      </c>
    </row>
    <row r="504" spans="1:3" x14ac:dyDescent="0.3">
      <c r="A504" s="8">
        <v>44742</v>
      </c>
      <c r="B504" s="5" t="s">
        <v>60</v>
      </c>
      <c r="C504" s="6">
        <v>62.454654693603501</v>
      </c>
    </row>
    <row r="505" spans="1:3" x14ac:dyDescent="0.3">
      <c r="A505" s="8">
        <v>44743</v>
      </c>
      <c r="B505" s="5" t="s">
        <v>60</v>
      </c>
      <c r="C505" s="6">
        <v>63.914012908935497</v>
      </c>
    </row>
    <row r="506" spans="1:3" x14ac:dyDescent="0.3">
      <c r="A506" s="8">
        <v>44747</v>
      </c>
      <c r="B506" s="5" t="s">
        <v>60</v>
      </c>
      <c r="C506" s="6">
        <v>62.821975708007798</v>
      </c>
    </row>
    <row r="507" spans="1:3" x14ac:dyDescent="0.3">
      <c r="A507" s="8">
        <v>44748</v>
      </c>
      <c r="B507" s="5" t="s">
        <v>60</v>
      </c>
      <c r="C507" s="6">
        <v>62.951034545898402</v>
      </c>
    </row>
    <row r="508" spans="1:3" x14ac:dyDescent="0.3">
      <c r="A508" s="8">
        <v>44749</v>
      </c>
      <c r="B508" s="5" t="s">
        <v>60</v>
      </c>
      <c r="C508" s="6">
        <v>62.454654693603501</v>
      </c>
    </row>
    <row r="509" spans="1:3" x14ac:dyDescent="0.3">
      <c r="A509" s="8">
        <v>44750</v>
      </c>
      <c r="B509" s="5" t="s">
        <v>60</v>
      </c>
      <c r="C509" s="6">
        <v>62.682991027832003</v>
      </c>
    </row>
    <row r="510" spans="1:3" x14ac:dyDescent="0.3">
      <c r="A510" s="8">
        <v>44753</v>
      </c>
      <c r="B510" s="5" t="s">
        <v>60</v>
      </c>
      <c r="C510" s="6">
        <v>62.4844360351562</v>
      </c>
    </row>
    <row r="511" spans="1:3" x14ac:dyDescent="0.3">
      <c r="A511" s="8">
        <v>44754</v>
      </c>
      <c r="B511" s="5" t="s">
        <v>60</v>
      </c>
      <c r="C511" s="6">
        <v>62.216392517089801</v>
      </c>
    </row>
    <row r="512" spans="1:3" x14ac:dyDescent="0.3">
      <c r="A512" s="8">
        <v>44755</v>
      </c>
      <c r="B512" s="5" t="s">
        <v>60</v>
      </c>
      <c r="C512" s="6">
        <v>61.928493499755803</v>
      </c>
    </row>
    <row r="513" spans="1:3" x14ac:dyDescent="0.3">
      <c r="A513" s="8">
        <v>44756</v>
      </c>
      <c r="B513" s="5" t="s">
        <v>60</v>
      </c>
      <c r="C513" s="6">
        <v>61.72993850708</v>
      </c>
    </row>
    <row r="514" spans="1:3" x14ac:dyDescent="0.3">
      <c r="A514" s="8">
        <v>44757</v>
      </c>
      <c r="B514" s="5" t="s">
        <v>60</v>
      </c>
      <c r="C514" s="6">
        <v>62.047622680663999</v>
      </c>
    </row>
    <row r="515" spans="1:3" x14ac:dyDescent="0.3">
      <c r="A515" s="8">
        <v>44760</v>
      </c>
      <c r="B515" s="5" t="s">
        <v>60</v>
      </c>
      <c r="C515" s="6">
        <v>61.203777313232401</v>
      </c>
    </row>
    <row r="516" spans="1:3" x14ac:dyDescent="0.3">
      <c r="A516" s="8">
        <v>44761</v>
      </c>
      <c r="B516" s="5" t="s">
        <v>60</v>
      </c>
      <c r="C516" s="6">
        <v>62.077404022216797</v>
      </c>
    </row>
    <row r="517" spans="1:3" x14ac:dyDescent="0.3">
      <c r="A517" s="8">
        <v>44762</v>
      </c>
      <c r="B517" s="5" t="s">
        <v>60</v>
      </c>
      <c r="C517" s="6">
        <v>61.054862976074197</v>
      </c>
    </row>
    <row r="518" spans="1:3" x14ac:dyDescent="0.3">
      <c r="A518" s="8">
        <v>44763</v>
      </c>
      <c r="B518" s="5" t="s">
        <v>60</v>
      </c>
      <c r="C518" s="6">
        <v>60.915874481201101</v>
      </c>
    </row>
    <row r="519" spans="1:3" x14ac:dyDescent="0.3">
      <c r="A519" s="8">
        <v>44764</v>
      </c>
      <c r="B519" s="5" t="s">
        <v>60</v>
      </c>
      <c r="C519" s="6">
        <v>61.144210815429602</v>
      </c>
    </row>
    <row r="520" spans="1:3" x14ac:dyDescent="0.3">
      <c r="A520" s="8">
        <v>44767</v>
      </c>
      <c r="B520" s="5" t="s">
        <v>60</v>
      </c>
      <c r="C520" s="6">
        <v>61.739864349365199</v>
      </c>
    </row>
    <row r="521" spans="1:3" x14ac:dyDescent="0.3">
      <c r="A521" s="8">
        <v>44768</v>
      </c>
      <c r="B521" s="5" t="s">
        <v>60</v>
      </c>
      <c r="C521" s="6">
        <v>62.752483367919901</v>
      </c>
    </row>
    <row r="522" spans="1:3" x14ac:dyDescent="0.3">
      <c r="A522" s="8">
        <v>44769</v>
      </c>
      <c r="B522" s="5" t="s">
        <v>60</v>
      </c>
      <c r="C522" s="6">
        <v>62.553928375244098</v>
      </c>
    </row>
    <row r="523" spans="1:3" x14ac:dyDescent="0.3">
      <c r="A523" s="8">
        <v>44770</v>
      </c>
      <c r="B523" s="5" t="s">
        <v>60</v>
      </c>
      <c r="C523" s="6">
        <v>63.596328735351499</v>
      </c>
    </row>
    <row r="524" spans="1:3" x14ac:dyDescent="0.3">
      <c r="A524" s="8">
        <v>44771</v>
      </c>
      <c r="B524" s="5" t="s">
        <v>60</v>
      </c>
      <c r="C524" s="6">
        <v>63.705532073974602</v>
      </c>
    </row>
    <row r="525" spans="1:3" x14ac:dyDescent="0.3">
      <c r="A525" s="8">
        <v>44774</v>
      </c>
      <c r="B525" s="5" t="s">
        <v>60</v>
      </c>
      <c r="C525" s="6">
        <v>64.053001403808594</v>
      </c>
    </row>
    <row r="526" spans="1:3" x14ac:dyDescent="0.3">
      <c r="A526" s="8">
        <v>44775</v>
      </c>
      <c r="B526" s="5" t="s">
        <v>60</v>
      </c>
      <c r="C526" s="6">
        <v>63.179370880126903</v>
      </c>
    </row>
    <row r="527" spans="1:3" x14ac:dyDescent="0.3">
      <c r="A527" s="8">
        <v>44776</v>
      </c>
      <c r="B527" s="5" t="s">
        <v>60</v>
      </c>
      <c r="C527" s="6">
        <v>63.457344055175703</v>
      </c>
    </row>
    <row r="528" spans="1:3" x14ac:dyDescent="0.3">
      <c r="A528" s="8">
        <v>44777</v>
      </c>
      <c r="B528" s="5" t="s">
        <v>60</v>
      </c>
      <c r="C528" s="6">
        <v>63.209152221679602</v>
      </c>
    </row>
    <row r="529" spans="1:3" x14ac:dyDescent="0.3">
      <c r="A529" s="8">
        <v>44778</v>
      </c>
      <c r="B529" s="5" t="s">
        <v>60</v>
      </c>
      <c r="C529" s="6">
        <v>62.921253204345703</v>
      </c>
    </row>
    <row r="530" spans="1:3" x14ac:dyDescent="0.3">
      <c r="A530" s="8">
        <v>44781</v>
      </c>
      <c r="B530" s="5" t="s">
        <v>60</v>
      </c>
      <c r="C530" s="6">
        <v>62.5142211914062</v>
      </c>
    </row>
    <row r="531" spans="1:3" x14ac:dyDescent="0.3">
      <c r="A531" s="8">
        <v>44782</v>
      </c>
      <c r="B531" s="5" t="s">
        <v>60</v>
      </c>
      <c r="C531" s="6">
        <v>62.593643188476499</v>
      </c>
    </row>
    <row r="532" spans="1:3" x14ac:dyDescent="0.3">
      <c r="A532" s="8">
        <v>44783</v>
      </c>
      <c r="B532" s="5" t="s">
        <v>60</v>
      </c>
      <c r="C532" s="6">
        <v>63.189300537109297</v>
      </c>
    </row>
    <row r="533" spans="1:3" x14ac:dyDescent="0.3">
      <c r="A533" s="8">
        <v>44784</v>
      </c>
      <c r="B533" s="5" t="s">
        <v>60</v>
      </c>
      <c r="C533" s="6">
        <v>62.762413024902301</v>
      </c>
    </row>
    <row r="534" spans="1:3" x14ac:dyDescent="0.3">
      <c r="A534" s="8">
        <v>44785</v>
      </c>
      <c r="B534" s="5" t="s">
        <v>60</v>
      </c>
      <c r="C534" s="6">
        <v>63.238937377929602</v>
      </c>
    </row>
    <row r="535" spans="1:3" x14ac:dyDescent="0.3">
      <c r="A535" s="8">
        <v>44788</v>
      </c>
      <c r="B535" s="5" t="s">
        <v>60</v>
      </c>
      <c r="C535" s="6">
        <v>64.033149719238196</v>
      </c>
    </row>
    <row r="536" spans="1:3" x14ac:dyDescent="0.3">
      <c r="A536" s="8">
        <v>44789</v>
      </c>
      <c r="B536" s="5" t="s">
        <v>60</v>
      </c>
      <c r="C536" s="6">
        <v>64.559310913085895</v>
      </c>
    </row>
    <row r="537" spans="1:3" x14ac:dyDescent="0.3">
      <c r="A537" s="8">
        <v>44790</v>
      </c>
      <c r="B537" s="5" t="s">
        <v>60</v>
      </c>
      <c r="C537" s="6">
        <v>64.410392761230398</v>
      </c>
    </row>
    <row r="538" spans="1:3" x14ac:dyDescent="0.3">
      <c r="A538" s="8">
        <v>44791</v>
      </c>
      <c r="B538" s="5" t="s">
        <v>60</v>
      </c>
      <c r="C538" s="6">
        <v>64.747940063476506</v>
      </c>
    </row>
    <row r="539" spans="1:3" x14ac:dyDescent="0.3">
      <c r="A539" s="8">
        <v>44792</v>
      </c>
      <c r="B539" s="5" t="s">
        <v>60</v>
      </c>
      <c r="C539" s="6">
        <v>64.698295593261705</v>
      </c>
    </row>
    <row r="540" spans="1:3" x14ac:dyDescent="0.3">
      <c r="A540" s="8">
        <v>44795</v>
      </c>
      <c r="B540" s="5" t="s">
        <v>60</v>
      </c>
      <c r="C540" s="6">
        <v>63.735317230224602</v>
      </c>
    </row>
    <row r="541" spans="1:3" x14ac:dyDescent="0.3">
      <c r="A541" s="8">
        <v>44796</v>
      </c>
      <c r="B541" s="5" t="s">
        <v>60</v>
      </c>
      <c r="C541" s="6">
        <v>63.8048095703125</v>
      </c>
    </row>
    <row r="542" spans="1:3" x14ac:dyDescent="0.3">
      <c r="A542" s="8">
        <v>44797</v>
      </c>
      <c r="B542" s="5" t="s">
        <v>60</v>
      </c>
      <c r="C542" s="6">
        <v>63.894161224365199</v>
      </c>
    </row>
    <row r="543" spans="1:3" x14ac:dyDescent="0.3">
      <c r="A543" s="8">
        <v>44798</v>
      </c>
      <c r="B543" s="5" t="s">
        <v>60</v>
      </c>
      <c r="C543" s="6">
        <v>64.201911926269503</v>
      </c>
    </row>
    <row r="544" spans="1:3" x14ac:dyDescent="0.3">
      <c r="A544" s="8">
        <v>44799</v>
      </c>
      <c r="B544" s="5" t="s">
        <v>60</v>
      </c>
      <c r="C544" s="6">
        <v>62.653209686279297</v>
      </c>
    </row>
    <row r="545" spans="1:3" x14ac:dyDescent="0.3">
      <c r="A545" s="8">
        <v>44802</v>
      </c>
      <c r="B545" s="5" t="s">
        <v>60</v>
      </c>
      <c r="C545" s="6">
        <v>62.2759590148925</v>
      </c>
    </row>
    <row r="546" spans="1:3" x14ac:dyDescent="0.3">
      <c r="A546" s="8">
        <v>44803</v>
      </c>
      <c r="B546" s="5" t="s">
        <v>60</v>
      </c>
      <c r="C546" s="6">
        <v>61.700157165527301</v>
      </c>
    </row>
    <row r="547" spans="1:3" x14ac:dyDescent="0.3">
      <c r="A547" s="8">
        <v>44804</v>
      </c>
      <c r="B547" s="5" t="s">
        <v>60</v>
      </c>
      <c r="C547" s="6">
        <v>61.263339996337798</v>
      </c>
    </row>
    <row r="548" spans="1:3" x14ac:dyDescent="0.3">
      <c r="A548" s="8">
        <v>44805</v>
      </c>
      <c r="B548" s="5" t="s">
        <v>60</v>
      </c>
      <c r="C548" s="6">
        <v>61.551242828369098</v>
      </c>
    </row>
    <row r="549" spans="1:3" x14ac:dyDescent="0.3">
      <c r="A549" s="8">
        <v>44806</v>
      </c>
      <c r="B549" s="5" t="s">
        <v>60</v>
      </c>
      <c r="C549" s="6">
        <v>60.7073974609375</v>
      </c>
    </row>
    <row r="550" spans="1:3" x14ac:dyDescent="0.3">
      <c r="A550" s="8">
        <v>44810</v>
      </c>
      <c r="B550" s="5" t="s">
        <v>60</v>
      </c>
      <c r="C550" s="6">
        <v>60.737178802490199</v>
      </c>
    </row>
    <row r="551" spans="1:3" x14ac:dyDescent="0.3">
      <c r="A551" s="8">
        <v>44811</v>
      </c>
      <c r="B551" s="5" t="s">
        <v>60</v>
      </c>
      <c r="C551" s="6">
        <v>61.859001159667898</v>
      </c>
    </row>
    <row r="552" spans="1:3" x14ac:dyDescent="0.3">
      <c r="A552" s="8">
        <v>44812</v>
      </c>
      <c r="B552" s="5" t="s">
        <v>60</v>
      </c>
      <c r="C552" s="6">
        <v>61.670372009277301</v>
      </c>
    </row>
    <row r="553" spans="1:3" x14ac:dyDescent="0.3">
      <c r="A553" s="8">
        <v>44813</v>
      </c>
      <c r="B553" s="5" t="s">
        <v>60</v>
      </c>
      <c r="C553" s="6">
        <v>61.868927001953097</v>
      </c>
    </row>
    <row r="554" spans="1:3" x14ac:dyDescent="0.3">
      <c r="A554" s="8">
        <v>44816</v>
      </c>
      <c r="B554" s="5" t="s">
        <v>60</v>
      </c>
      <c r="C554" s="6">
        <v>62.047622680663999</v>
      </c>
    </row>
    <row r="555" spans="1:3" x14ac:dyDescent="0.3">
      <c r="A555" s="8">
        <v>44817</v>
      </c>
      <c r="B555" s="5" t="s">
        <v>60</v>
      </c>
      <c r="C555" s="6">
        <v>60.032318115234297</v>
      </c>
    </row>
    <row r="556" spans="1:3" x14ac:dyDescent="0.3">
      <c r="A556" s="8">
        <v>44818</v>
      </c>
      <c r="B556" s="5" t="s">
        <v>60</v>
      </c>
      <c r="C556" s="6">
        <v>60.350002288818303</v>
      </c>
    </row>
    <row r="557" spans="1:3" x14ac:dyDescent="0.3">
      <c r="A557" s="8">
        <v>44819</v>
      </c>
      <c r="B557" s="5" t="s">
        <v>60</v>
      </c>
      <c r="C557" s="6">
        <v>59.529998779296797</v>
      </c>
    </row>
    <row r="558" spans="1:3" x14ac:dyDescent="0.3">
      <c r="A558" s="8">
        <v>44820</v>
      </c>
      <c r="B558" s="5" t="s">
        <v>60</v>
      </c>
      <c r="C558" s="6">
        <v>59.540000915527301</v>
      </c>
    </row>
    <row r="559" spans="1:3" x14ac:dyDescent="0.3">
      <c r="A559" s="8">
        <v>44823</v>
      </c>
      <c r="B559" s="5" t="s">
        <v>60</v>
      </c>
      <c r="C559" s="6">
        <v>59.990001678466797</v>
      </c>
    </row>
    <row r="560" spans="1:3" x14ac:dyDescent="0.3">
      <c r="A560" s="8">
        <v>44824</v>
      </c>
      <c r="B560" s="5" t="s">
        <v>60</v>
      </c>
      <c r="C560" s="6">
        <v>59.900001525878899</v>
      </c>
    </row>
    <row r="561" spans="1:3" x14ac:dyDescent="0.3">
      <c r="A561" s="8">
        <v>44825</v>
      </c>
      <c r="B561" s="5" t="s">
        <v>60</v>
      </c>
      <c r="C561" s="6">
        <v>59.400001525878899</v>
      </c>
    </row>
    <row r="562" spans="1:3" x14ac:dyDescent="0.3">
      <c r="A562" s="8">
        <v>44826</v>
      </c>
      <c r="B562" s="5" t="s">
        <v>60</v>
      </c>
      <c r="C562" s="6">
        <v>59.259998321533203</v>
      </c>
    </row>
    <row r="563" spans="1:3" x14ac:dyDescent="0.3">
      <c r="A563" s="8">
        <v>44827</v>
      </c>
      <c r="B563" s="5" t="s">
        <v>60</v>
      </c>
      <c r="C563" s="6">
        <v>58.599998474121001</v>
      </c>
    </row>
    <row r="564" spans="1:3" x14ac:dyDescent="0.3">
      <c r="A564" s="8">
        <v>44830</v>
      </c>
      <c r="B564" s="5" t="s">
        <v>60</v>
      </c>
      <c r="C564" s="6">
        <v>57.869998931884702</v>
      </c>
    </row>
    <row r="565" spans="1:3" x14ac:dyDescent="0.3">
      <c r="A565" s="8">
        <v>44831</v>
      </c>
      <c r="B565" s="5" t="s">
        <v>60</v>
      </c>
      <c r="C565" s="6">
        <v>56.380001068115199</v>
      </c>
    </row>
    <row r="566" spans="1:3" x14ac:dyDescent="0.3">
      <c r="A566" s="8">
        <v>44832</v>
      </c>
      <c r="B566" s="5" t="s">
        <v>60</v>
      </c>
      <c r="C566" s="6">
        <v>56.9799995422363</v>
      </c>
    </row>
    <row r="567" spans="1:3" x14ac:dyDescent="0.3">
      <c r="A567" s="8">
        <v>44833</v>
      </c>
      <c r="B567" s="5" t="s">
        <v>60</v>
      </c>
      <c r="C567" s="6">
        <v>56.569999694824197</v>
      </c>
    </row>
    <row r="568" spans="1:3" x14ac:dyDescent="0.3">
      <c r="A568" s="8">
        <v>44834</v>
      </c>
      <c r="B568" s="5" t="s">
        <v>60</v>
      </c>
      <c r="C568" s="6">
        <v>56.020000457763601</v>
      </c>
    </row>
    <row r="569" spans="1:3" x14ac:dyDescent="0.3">
      <c r="A569" s="8">
        <v>44837</v>
      </c>
      <c r="B569" s="5" t="s">
        <v>60</v>
      </c>
      <c r="C569" s="6">
        <v>56.650001525878899</v>
      </c>
    </row>
    <row r="570" spans="1:3" x14ac:dyDescent="0.3">
      <c r="A570" s="8">
        <v>44838</v>
      </c>
      <c r="B570" s="5" t="s">
        <v>60</v>
      </c>
      <c r="C570" s="6">
        <v>56.779998779296797</v>
      </c>
    </row>
    <row r="571" spans="1:3" x14ac:dyDescent="0.3">
      <c r="A571" s="8">
        <v>44839</v>
      </c>
      <c r="B571" s="5" t="s">
        <v>60</v>
      </c>
      <c r="C571" s="6">
        <v>56.240001678466797</v>
      </c>
    </row>
    <row r="572" spans="1:3" x14ac:dyDescent="0.3">
      <c r="A572" s="8">
        <v>44840</v>
      </c>
      <c r="B572" s="5" t="s">
        <v>60</v>
      </c>
      <c r="C572" s="6">
        <v>55.029998779296797</v>
      </c>
    </row>
    <row r="573" spans="1:3" x14ac:dyDescent="0.3">
      <c r="A573" s="8">
        <v>44841</v>
      </c>
      <c r="B573" s="5" t="s">
        <v>60</v>
      </c>
      <c r="C573" s="6">
        <v>54.509998321533203</v>
      </c>
    </row>
    <row r="574" spans="1:3" x14ac:dyDescent="0.3">
      <c r="A574" s="8">
        <v>44844</v>
      </c>
      <c r="B574" s="5" t="s">
        <v>60</v>
      </c>
      <c r="C574" s="6">
        <v>54.389999389648402</v>
      </c>
    </row>
    <row r="575" spans="1:3" x14ac:dyDescent="0.3">
      <c r="A575" s="8">
        <v>44845</v>
      </c>
      <c r="B575" s="5" t="s">
        <v>60</v>
      </c>
      <c r="C575" s="6">
        <v>54.4799995422363</v>
      </c>
    </row>
    <row r="576" spans="1:3" x14ac:dyDescent="0.3">
      <c r="A576" s="8">
        <v>44846</v>
      </c>
      <c r="B576" s="5" t="s">
        <v>60</v>
      </c>
      <c r="C576" s="6">
        <v>55.139999389648402</v>
      </c>
    </row>
    <row r="577" spans="1:3" x14ac:dyDescent="0.3">
      <c r="A577" s="8">
        <v>44847</v>
      </c>
      <c r="B577" s="5" t="s">
        <v>60</v>
      </c>
      <c r="C577" s="6">
        <v>55.869998931884702</v>
      </c>
    </row>
    <row r="578" spans="1:3" x14ac:dyDescent="0.3">
      <c r="A578" s="8">
        <v>44848</v>
      </c>
      <c r="B578" s="5" t="s">
        <v>60</v>
      </c>
      <c r="C578" s="6">
        <v>54.9799995422363</v>
      </c>
    </row>
    <row r="579" spans="1:3" x14ac:dyDescent="0.3">
      <c r="A579" s="8">
        <v>44851</v>
      </c>
      <c r="B579" s="5" t="s">
        <v>60</v>
      </c>
      <c r="C579" s="6">
        <v>55.689998626708899</v>
      </c>
    </row>
    <row r="580" spans="1:3" x14ac:dyDescent="0.3">
      <c r="A580" s="8">
        <v>44852</v>
      </c>
      <c r="B580" s="5" t="s">
        <v>60</v>
      </c>
      <c r="C580" s="6">
        <v>56.439998626708899</v>
      </c>
    </row>
    <row r="581" spans="1:3" x14ac:dyDescent="0.3">
      <c r="A581" s="8">
        <v>44853</v>
      </c>
      <c r="B581" s="5" t="s">
        <v>60</v>
      </c>
      <c r="C581" s="6">
        <v>55.959999084472599</v>
      </c>
    </row>
    <row r="582" spans="1:3" x14ac:dyDescent="0.3">
      <c r="A582" s="8">
        <v>44854</v>
      </c>
      <c r="B582" s="5" t="s">
        <v>60</v>
      </c>
      <c r="C582" s="6">
        <v>55.080001831054602</v>
      </c>
    </row>
    <row r="583" spans="1:3" x14ac:dyDescent="0.3">
      <c r="A583" s="8">
        <v>44855</v>
      </c>
      <c r="B583" s="5" t="s">
        <v>60</v>
      </c>
      <c r="C583" s="6">
        <v>55.959999084472599</v>
      </c>
    </row>
    <row r="584" spans="1:3" x14ac:dyDescent="0.3">
      <c r="A584" s="8">
        <v>44858</v>
      </c>
      <c r="B584" s="5" t="s">
        <v>60</v>
      </c>
      <c r="C584" s="6">
        <v>57.569999694824197</v>
      </c>
    </row>
    <row r="585" spans="1:3" x14ac:dyDescent="0.3">
      <c r="A585" s="8">
        <v>44859</v>
      </c>
      <c r="B585" s="5" t="s">
        <v>60</v>
      </c>
      <c r="C585" s="6">
        <v>58.950000762939403</v>
      </c>
    </row>
    <row r="586" spans="1:3" x14ac:dyDescent="0.3">
      <c r="A586" s="8">
        <v>44860</v>
      </c>
      <c r="B586" s="5" t="s">
        <v>60</v>
      </c>
      <c r="C586" s="6">
        <v>59.389999389648402</v>
      </c>
    </row>
    <row r="587" spans="1:3" x14ac:dyDescent="0.3">
      <c r="A587" s="8">
        <v>44861</v>
      </c>
      <c r="B587" s="5" t="s">
        <v>60</v>
      </c>
      <c r="C587" s="6">
        <v>59.529998779296797</v>
      </c>
    </row>
    <row r="588" spans="1:3" x14ac:dyDescent="0.3">
      <c r="A588" s="8">
        <v>44862</v>
      </c>
      <c r="B588" s="5" t="s">
        <v>60</v>
      </c>
      <c r="C588" s="6">
        <v>60.759998321533203</v>
      </c>
    </row>
    <row r="589" spans="1:3" x14ac:dyDescent="0.3">
      <c r="A589" s="8">
        <v>44865</v>
      </c>
      <c r="B589" s="5" t="s">
        <v>60</v>
      </c>
      <c r="C589" s="6">
        <v>59.849998474121001</v>
      </c>
    </row>
    <row r="590" spans="1:3" x14ac:dyDescent="0.3">
      <c r="A590" s="8">
        <v>44866</v>
      </c>
      <c r="B590" s="5" t="s">
        <v>60</v>
      </c>
      <c r="C590" s="6">
        <v>59.639999389648402</v>
      </c>
    </row>
    <row r="591" spans="1:3" x14ac:dyDescent="0.3">
      <c r="A591" s="8">
        <v>44867</v>
      </c>
      <c r="B591" s="5" t="s">
        <v>60</v>
      </c>
      <c r="C591" s="6">
        <v>58.810001373291001</v>
      </c>
    </row>
    <row r="592" spans="1:3" x14ac:dyDescent="0.3">
      <c r="A592" s="8">
        <v>44868</v>
      </c>
      <c r="B592" s="5" t="s">
        <v>60</v>
      </c>
      <c r="C592" s="6">
        <v>58.779998779296797</v>
      </c>
    </row>
    <row r="593" spans="1:3" x14ac:dyDescent="0.3">
      <c r="A593" s="8">
        <v>44869</v>
      </c>
      <c r="B593" s="5" t="s">
        <v>60</v>
      </c>
      <c r="C593" s="6">
        <v>59.259998321533203</v>
      </c>
    </row>
    <row r="594" spans="1:3" x14ac:dyDescent="0.3">
      <c r="A594" s="8">
        <v>44872</v>
      </c>
      <c r="B594" s="5" t="s">
        <v>60</v>
      </c>
      <c r="C594" s="6">
        <v>59.490001678466797</v>
      </c>
    </row>
    <row r="595" spans="1:3" x14ac:dyDescent="0.3">
      <c r="A595" s="8">
        <v>44873</v>
      </c>
      <c r="B595" s="5" t="s">
        <v>60</v>
      </c>
      <c r="C595" s="6">
        <v>59.599998474121001</v>
      </c>
    </row>
    <row r="596" spans="1:3" x14ac:dyDescent="0.3">
      <c r="A596" s="8">
        <v>44874</v>
      </c>
      <c r="B596" s="5" t="s">
        <v>60</v>
      </c>
      <c r="C596" s="6">
        <v>58.770000457763601</v>
      </c>
    </row>
    <row r="597" spans="1:3" x14ac:dyDescent="0.3">
      <c r="A597" s="8">
        <v>44875</v>
      </c>
      <c r="B597" s="5" t="s">
        <v>60</v>
      </c>
      <c r="C597" s="6">
        <v>60.880001068115199</v>
      </c>
    </row>
    <row r="598" spans="1:3" x14ac:dyDescent="0.3">
      <c r="A598" s="8">
        <v>44876</v>
      </c>
      <c r="B598" s="5" t="s">
        <v>60</v>
      </c>
      <c r="C598" s="6">
        <v>61.319999694824197</v>
      </c>
    </row>
    <row r="599" spans="1:3" x14ac:dyDescent="0.3">
      <c r="A599" s="8">
        <v>44879</v>
      </c>
      <c r="B599" s="5" t="s">
        <v>60</v>
      </c>
      <c r="C599" s="6">
        <v>60.7299995422363</v>
      </c>
    </row>
    <row r="600" spans="1:3" x14ac:dyDescent="0.3">
      <c r="A600" s="8">
        <v>44880</v>
      </c>
      <c r="B600" s="5" t="s">
        <v>60</v>
      </c>
      <c r="C600" s="6">
        <v>60.630001068115199</v>
      </c>
    </row>
    <row r="601" spans="1:3" x14ac:dyDescent="0.3">
      <c r="A601" s="8">
        <v>44881</v>
      </c>
      <c r="B601" s="5" t="s">
        <v>60</v>
      </c>
      <c r="C601" s="6">
        <v>60.520000457763601</v>
      </c>
    </row>
    <row r="602" spans="1:3" x14ac:dyDescent="0.3">
      <c r="A602" s="8">
        <v>44740</v>
      </c>
      <c r="B602" s="5" t="s">
        <v>61</v>
      </c>
      <c r="C602" s="6">
        <v>19.984153747558501</v>
      </c>
    </row>
    <row r="603" spans="1:3" x14ac:dyDescent="0.3">
      <c r="A603" s="8">
        <v>44741</v>
      </c>
      <c r="B603" s="5" t="s">
        <v>61</v>
      </c>
      <c r="C603" s="6">
        <v>20.313829421996999</v>
      </c>
    </row>
    <row r="604" spans="1:3" x14ac:dyDescent="0.3">
      <c r="A604" s="8">
        <v>44742</v>
      </c>
      <c r="B604" s="5" t="s">
        <v>61</v>
      </c>
      <c r="C604" s="6">
        <v>20.323524475097599</v>
      </c>
    </row>
    <row r="605" spans="1:3" x14ac:dyDescent="0.3">
      <c r="A605" s="8">
        <v>44743</v>
      </c>
      <c r="B605" s="5" t="s">
        <v>61</v>
      </c>
      <c r="C605" s="6">
        <v>20.662895202636701</v>
      </c>
    </row>
    <row r="606" spans="1:3" x14ac:dyDescent="0.3">
      <c r="A606" s="8">
        <v>44747</v>
      </c>
      <c r="B606" s="5" t="s">
        <v>61</v>
      </c>
      <c r="C606" s="6">
        <v>20.527147293090799</v>
      </c>
    </row>
    <row r="607" spans="1:3" x14ac:dyDescent="0.3">
      <c r="A607" s="8">
        <v>44748</v>
      </c>
      <c r="B607" s="5" t="s">
        <v>61</v>
      </c>
      <c r="C607" s="6">
        <v>20.449577331542901</v>
      </c>
    </row>
    <row r="608" spans="1:3" x14ac:dyDescent="0.3">
      <c r="A608" s="8">
        <v>44749</v>
      </c>
      <c r="B608" s="5" t="s">
        <v>61</v>
      </c>
      <c r="C608" s="6">
        <v>20.507755279541001</v>
      </c>
    </row>
    <row r="609" spans="1:3" x14ac:dyDescent="0.3">
      <c r="A609" s="8">
        <v>44750</v>
      </c>
      <c r="B609" s="5" t="s">
        <v>61</v>
      </c>
      <c r="C609" s="6">
        <v>20.43701171875</v>
      </c>
    </row>
    <row r="610" spans="1:3" x14ac:dyDescent="0.3">
      <c r="A610" s="8">
        <v>44753</v>
      </c>
      <c r="B610" s="5" t="s">
        <v>61</v>
      </c>
      <c r="C610" s="6">
        <v>20.299455642700099</v>
      </c>
    </row>
    <row r="611" spans="1:3" x14ac:dyDescent="0.3">
      <c r="A611" s="8">
        <v>44754</v>
      </c>
      <c r="B611" s="5" t="s">
        <v>61</v>
      </c>
      <c r="C611" s="6">
        <v>20.240503311157202</v>
      </c>
    </row>
    <row r="612" spans="1:3" x14ac:dyDescent="0.3">
      <c r="A612" s="8">
        <v>44755</v>
      </c>
      <c r="B612" s="5" t="s">
        <v>61</v>
      </c>
      <c r="C612" s="6">
        <v>20.093120574951101</v>
      </c>
    </row>
    <row r="613" spans="1:3" x14ac:dyDescent="0.3">
      <c r="A613" s="8">
        <v>44756</v>
      </c>
      <c r="B613" s="5" t="s">
        <v>61</v>
      </c>
      <c r="C613" s="6">
        <v>19.975214004516602</v>
      </c>
    </row>
    <row r="614" spans="1:3" x14ac:dyDescent="0.3">
      <c r="A614" s="8">
        <v>44757</v>
      </c>
      <c r="B614" s="5" t="s">
        <v>61</v>
      </c>
      <c r="C614" s="6">
        <v>20.211025238037099</v>
      </c>
    </row>
    <row r="615" spans="1:3" x14ac:dyDescent="0.3">
      <c r="A615" s="8">
        <v>44760</v>
      </c>
      <c r="B615" s="5" t="s">
        <v>61</v>
      </c>
      <c r="C615" s="6">
        <v>20.171724319458001</v>
      </c>
    </row>
    <row r="616" spans="1:3" x14ac:dyDescent="0.3">
      <c r="A616" s="8">
        <v>44761</v>
      </c>
      <c r="B616" s="5" t="s">
        <v>61</v>
      </c>
      <c r="C616" s="6">
        <v>20.43701171875</v>
      </c>
    </row>
    <row r="617" spans="1:3" x14ac:dyDescent="0.3">
      <c r="A617" s="8">
        <v>44762</v>
      </c>
      <c r="B617" s="5" t="s">
        <v>61</v>
      </c>
      <c r="C617" s="6">
        <v>20.122596740722599</v>
      </c>
    </row>
    <row r="618" spans="1:3" x14ac:dyDescent="0.3">
      <c r="A618" s="8">
        <v>44763</v>
      </c>
      <c r="B618" s="5" t="s">
        <v>61</v>
      </c>
      <c r="C618" s="6">
        <v>18.589820861816399</v>
      </c>
    </row>
    <row r="619" spans="1:3" x14ac:dyDescent="0.3">
      <c r="A619" s="8">
        <v>44764</v>
      </c>
      <c r="B619" s="5" t="s">
        <v>61</v>
      </c>
      <c r="C619" s="6">
        <v>18.078895568847599</v>
      </c>
    </row>
    <row r="620" spans="1:3" x14ac:dyDescent="0.3">
      <c r="A620" s="8">
        <v>44767</v>
      </c>
      <c r="B620" s="5" t="s">
        <v>61</v>
      </c>
      <c r="C620" s="6">
        <v>18.206626892089801</v>
      </c>
    </row>
    <row r="621" spans="1:3" x14ac:dyDescent="0.3">
      <c r="A621" s="8">
        <v>44768</v>
      </c>
      <c r="B621" s="5" t="s">
        <v>61</v>
      </c>
      <c r="C621" s="6">
        <v>17.9806404113769</v>
      </c>
    </row>
    <row r="622" spans="1:3" x14ac:dyDescent="0.3">
      <c r="A622" s="8">
        <v>44769</v>
      </c>
      <c r="B622" s="5" t="s">
        <v>61</v>
      </c>
      <c r="C622" s="6">
        <v>18.069068908691399</v>
      </c>
    </row>
    <row r="623" spans="1:3" x14ac:dyDescent="0.3">
      <c r="A623" s="8">
        <v>44770</v>
      </c>
      <c r="B623" s="5" t="s">
        <v>61</v>
      </c>
      <c r="C623" s="6">
        <v>18.255754470825099</v>
      </c>
    </row>
    <row r="624" spans="1:3" x14ac:dyDescent="0.3">
      <c r="A624" s="8">
        <v>44771</v>
      </c>
      <c r="B624" s="5" t="s">
        <v>61</v>
      </c>
      <c r="C624" s="6">
        <v>18.452264785766602</v>
      </c>
    </row>
    <row r="625" spans="1:3" x14ac:dyDescent="0.3">
      <c r="A625" s="8">
        <v>44774</v>
      </c>
      <c r="B625" s="5" t="s">
        <v>61</v>
      </c>
      <c r="C625" s="6">
        <v>18.403135299682599</v>
      </c>
    </row>
    <row r="626" spans="1:3" x14ac:dyDescent="0.3">
      <c r="A626" s="8">
        <v>44775</v>
      </c>
      <c r="B626" s="5" t="s">
        <v>61</v>
      </c>
      <c r="C626" s="6">
        <v>18.039594650268501</v>
      </c>
    </row>
    <row r="627" spans="1:3" x14ac:dyDescent="0.3">
      <c r="A627" s="8">
        <v>44776</v>
      </c>
      <c r="B627" s="5" t="s">
        <v>61</v>
      </c>
      <c r="C627" s="6">
        <v>18.049419403076101</v>
      </c>
    </row>
    <row r="628" spans="1:3" x14ac:dyDescent="0.3">
      <c r="A628" s="8">
        <v>44777</v>
      </c>
      <c r="B628" s="5" t="s">
        <v>61</v>
      </c>
      <c r="C628" s="6">
        <v>17.951164245605401</v>
      </c>
    </row>
    <row r="629" spans="1:3" x14ac:dyDescent="0.3">
      <c r="A629" s="8">
        <v>44778</v>
      </c>
      <c r="B629" s="5" t="s">
        <v>61</v>
      </c>
      <c r="C629" s="6">
        <v>18.029767990112301</v>
      </c>
    </row>
    <row r="630" spans="1:3" x14ac:dyDescent="0.3">
      <c r="A630" s="8">
        <v>44781</v>
      </c>
      <c r="B630" s="5" t="s">
        <v>61</v>
      </c>
      <c r="C630" s="6">
        <v>17.685874938964801</v>
      </c>
    </row>
    <row r="631" spans="1:3" x14ac:dyDescent="0.3">
      <c r="A631" s="8">
        <v>44782</v>
      </c>
      <c r="B631" s="5" t="s">
        <v>61</v>
      </c>
      <c r="C631" s="6">
        <v>17.784130096435501</v>
      </c>
    </row>
    <row r="632" spans="1:3" x14ac:dyDescent="0.3">
      <c r="A632" s="8">
        <v>44783</v>
      </c>
      <c r="B632" s="5" t="s">
        <v>61</v>
      </c>
      <c r="C632" s="6">
        <v>17.695701599121001</v>
      </c>
    </row>
    <row r="633" spans="1:3" x14ac:dyDescent="0.3">
      <c r="A633" s="8">
        <v>44784</v>
      </c>
      <c r="B633" s="5" t="s">
        <v>61</v>
      </c>
      <c r="C633" s="6">
        <v>17.7251777648925</v>
      </c>
    </row>
    <row r="634" spans="1:3" x14ac:dyDescent="0.3">
      <c r="A634" s="8">
        <v>44785</v>
      </c>
      <c r="B634" s="5" t="s">
        <v>61</v>
      </c>
      <c r="C634" s="6">
        <v>17.951164245605401</v>
      </c>
    </row>
    <row r="635" spans="1:3" x14ac:dyDescent="0.3">
      <c r="A635" s="8">
        <v>44788</v>
      </c>
      <c r="B635" s="5" t="s">
        <v>61</v>
      </c>
      <c r="C635" s="6">
        <v>18.069068908691399</v>
      </c>
    </row>
    <row r="636" spans="1:3" x14ac:dyDescent="0.3">
      <c r="A636" s="8">
        <v>44789</v>
      </c>
      <c r="B636" s="5" t="s">
        <v>61</v>
      </c>
      <c r="C636" s="6">
        <v>18.245927810668899</v>
      </c>
    </row>
    <row r="637" spans="1:3" x14ac:dyDescent="0.3">
      <c r="A637" s="8">
        <v>44790</v>
      </c>
      <c r="B637" s="5" t="s">
        <v>61</v>
      </c>
      <c r="C637" s="6">
        <v>18.098546981811499</v>
      </c>
    </row>
    <row r="638" spans="1:3" x14ac:dyDescent="0.3">
      <c r="A638" s="8">
        <v>44791</v>
      </c>
      <c r="B638" s="5" t="s">
        <v>61</v>
      </c>
      <c r="C638" s="6">
        <v>18.108371734619102</v>
      </c>
    </row>
    <row r="639" spans="1:3" x14ac:dyDescent="0.3">
      <c r="A639" s="8">
        <v>44792</v>
      </c>
      <c r="B639" s="5" t="s">
        <v>61</v>
      </c>
      <c r="C639" s="6">
        <v>18.108371734619102</v>
      </c>
    </row>
    <row r="640" spans="1:3" x14ac:dyDescent="0.3">
      <c r="A640" s="8">
        <v>44795</v>
      </c>
      <c r="B640" s="5" t="s">
        <v>61</v>
      </c>
      <c r="C640" s="6">
        <v>17.813606262206999</v>
      </c>
    </row>
    <row r="641" spans="1:3" x14ac:dyDescent="0.3">
      <c r="A641" s="8">
        <v>44796</v>
      </c>
      <c r="B641" s="5" t="s">
        <v>61</v>
      </c>
      <c r="C641" s="6">
        <v>17.744827270507798</v>
      </c>
    </row>
    <row r="642" spans="1:3" x14ac:dyDescent="0.3">
      <c r="A642" s="8">
        <v>44797</v>
      </c>
      <c r="B642" s="5" t="s">
        <v>61</v>
      </c>
      <c r="C642" s="6">
        <v>17.695701599121001</v>
      </c>
    </row>
    <row r="643" spans="1:3" x14ac:dyDescent="0.3">
      <c r="A643" s="8">
        <v>44798</v>
      </c>
      <c r="B643" s="5" t="s">
        <v>61</v>
      </c>
      <c r="C643" s="6">
        <v>17.774305343627901</v>
      </c>
    </row>
    <row r="644" spans="1:3" x14ac:dyDescent="0.3">
      <c r="A644" s="8">
        <v>44799</v>
      </c>
      <c r="B644" s="5" t="s">
        <v>61</v>
      </c>
      <c r="C644" s="6">
        <v>17.577795028686499</v>
      </c>
    </row>
    <row r="645" spans="1:3" x14ac:dyDescent="0.3">
      <c r="A645" s="8">
        <v>44802</v>
      </c>
      <c r="B645" s="5" t="s">
        <v>61</v>
      </c>
      <c r="C645" s="6">
        <v>17.4697151184082</v>
      </c>
    </row>
    <row r="646" spans="1:3" x14ac:dyDescent="0.3">
      <c r="A646" s="8">
        <v>44803</v>
      </c>
      <c r="B646" s="5" t="s">
        <v>61</v>
      </c>
      <c r="C646" s="6">
        <v>17.509016036987301</v>
      </c>
    </row>
    <row r="647" spans="1:3" x14ac:dyDescent="0.3">
      <c r="A647" s="8">
        <v>44804</v>
      </c>
      <c r="B647" s="5" t="s">
        <v>61</v>
      </c>
      <c r="C647" s="6">
        <v>17.233903884887599</v>
      </c>
    </row>
    <row r="648" spans="1:3" x14ac:dyDescent="0.3">
      <c r="A648" s="8">
        <v>44805</v>
      </c>
      <c r="B648" s="5" t="s">
        <v>61</v>
      </c>
      <c r="C648" s="6">
        <v>17.194601058959901</v>
      </c>
    </row>
    <row r="649" spans="1:3" x14ac:dyDescent="0.3">
      <c r="A649" s="8">
        <v>44806</v>
      </c>
      <c r="B649" s="5" t="s">
        <v>61</v>
      </c>
      <c r="C649" s="6">
        <v>16.8900127410888</v>
      </c>
    </row>
    <row r="650" spans="1:3" x14ac:dyDescent="0.3">
      <c r="A650" s="8">
        <v>44810</v>
      </c>
      <c r="B650" s="5" t="s">
        <v>61</v>
      </c>
      <c r="C650" s="6">
        <v>16.496992111206001</v>
      </c>
    </row>
    <row r="651" spans="1:3" x14ac:dyDescent="0.3">
      <c r="A651" s="8">
        <v>44811</v>
      </c>
      <c r="B651" s="5" t="s">
        <v>61</v>
      </c>
      <c r="C651" s="6">
        <v>16.575595855712798</v>
      </c>
    </row>
    <row r="652" spans="1:3" x14ac:dyDescent="0.3">
      <c r="A652" s="8">
        <v>44812</v>
      </c>
      <c r="B652" s="5" t="s">
        <v>61</v>
      </c>
      <c r="C652" s="6">
        <v>16.477340698242099</v>
      </c>
    </row>
    <row r="653" spans="1:3" x14ac:dyDescent="0.3">
      <c r="A653" s="8">
        <v>44813</v>
      </c>
      <c r="B653" s="5" t="s">
        <v>61</v>
      </c>
      <c r="C653" s="6">
        <v>16.732803344726499</v>
      </c>
    </row>
    <row r="654" spans="1:3" x14ac:dyDescent="0.3">
      <c r="A654" s="8">
        <v>44816</v>
      </c>
      <c r="B654" s="5" t="s">
        <v>61</v>
      </c>
      <c r="C654" s="6">
        <v>17.076694488525298</v>
      </c>
    </row>
    <row r="655" spans="1:3" x14ac:dyDescent="0.3">
      <c r="A655" s="8">
        <v>44817</v>
      </c>
      <c r="B655" s="5" t="s">
        <v>61</v>
      </c>
      <c r="C655" s="6">
        <v>16.536293029785099</v>
      </c>
    </row>
    <row r="656" spans="1:3" x14ac:dyDescent="0.3">
      <c r="A656" s="8">
        <v>44818</v>
      </c>
      <c r="B656" s="5" t="s">
        <v>61</v>
      </c>
      <c r="C656" s="6">
        <v>16.477340698242099</v>
      </c>
    </row>
    <row r="657" spans="1:3" x14ac:dyDescent="0.3">
      <c r="A657" s="8">
        <v>44819</v>
      </c>
      <c r="B657" s="5" t="s">
        <v>61</v>
      </c>
      <c r="C657" s="6">
        <v>16.467515945434499</v>
      </c>
    </row>
    <row r="658" spans="1:3" x14ac:dyDescent="0.3">
      <c r="A658" s="8">
        <v>44820</v>
      </c>
      <c r="B658" s="5" t="s">
        <v>61</v>
      </c>
      <c r="C658" s="6">
        <v>16.4478645324707</v>
      </c>
    </row>
    <row r="659" spans="1:3" x14ac:dyDescent="0.3">
      <c r="A659" s="8">
        <v>44823</v>
      </c>
      <c r="B659" s="5" t="s">
        <v>61</v>
      </c>
      <c r="C659" s="6">
        <v>16.467515945434499</v>
      </c>
    </row>
    <row r="660" spans="1:3" x14ac:dyDescent="0.3">
      <c r="A660" s="8">
        <v>44824</v>
      </c>
      <c r="B660" s="5" t="s">
        <v>61</v>
      </c>
      <c r="C660" s="6">
        <v>16.2710056304931</v>
      </c>
    </row>
    <row r="661" spans="1:3" x14ac:dyDescent="0.3">
      <c r="A661" s="8">
        <v>44825</v>
      </c>
      <c r="B661" s="5" t="s">
        <v>61</v>
      </c>
      <c r="C661" s="6">
        <v>15.9664154052734</v>
      </c>
    </row>
    <row r="662" spans="1:3" x14ac:dyDescent="0.3">
      <c r="A662" s="8">
        <v>44826</v>
      </c>
      <c r="B662" s="5" t="s">
        <v>61</v>
      </c>
      <c r="C662" s="6">
        <v>15.9565896987915</v>
      </c>
    </row>
    <row r="663" spans="1:3" x14ac:dyDescent="0.3">
      <c r="A663" s="8">
        <v>44827</v>
      </c>
      <c r="B663" s="5" t="s">
        <v>61</v>
      </c>
      <c r="C663" s="6">
        <v>15.730604171752899</v>
      </c>
    </row>
    <row r="664" spans="1:3" x14ac:dyDescent="0.3">
      <c r="A664" s="8">
        <v>44830</v>
      </c>
      <c r="B664" s="5" t="s">
        <v>61</v>
      </c>
      <c r="C664" s="6">
        <v>15.396537780761699</v>
      </c>
    </row>
    <row r="665" spans="1:3" x14ac:dyDescent="0.3">
      <c r="A665" s="8">
        <v>44831</v>
      </c>
      <c r="B665" s="5" t="s">
        <v>61</v>
      </c>
      <c r="C665" s="6">
        <v>15.4554901123046</v>
      </c>
    </row>
    <row r="666" spans="1:3" x14ac:dyDescent="0.3">
      <c r="A666" s="8">
        <v>44832</v>
      </c>
      <c r="B666" s="5" t="s">
        <v>61</v>
      </c>
      <c r="C666" s="6">
        <v>15.5537452697753</v>
      </c>
    </row>
    <row r="667" spans="1:3" x14ac:dyDescent="0.3">
      <c r="A667" s="8">
        <v>44833</v>
      </c>
      <c r="B667" s="5" t="s">
        <v>61</v>
      </c>
      <c r="C667" s="6">
        <v>15.2589807510375</v>
      </c>
    </row>
    <row r="668" spans="1:3" x14ac:dyDescent="0.3">
      <c r="A668" s="8">
        <v>44834</v>
      </c>
      <c r="B668" s="5" t="s">
        <v>61</v>
      </c>
      <c r="C668" s="6">
        <v>15.0722961425781</v>
      </c>
    </row>
    <row r="669" spans="1:3" x14ac:dyDescent="0.3">
      <c r="A669" s="8">
        <v>44837</v>
      </c>
      <c r="B669" s="5" t="s">
        <v>61</v>
      </c>
      <c r="C669" s="6">
        <v>15.622523307800201</v>
      </c>
    </row>
    <row r="670" spans="1:3" x14ac:dyDescent="0.3">
      <c r="A670" s="8">
        <v>44838</v>
      </c>
      <c r="B670" s="5" t="s">
        <v>61</v>
      </c>
      <c r="C670" s="6">
        <v>15.8092079162597</v>
      </c>
    </row>
    <row r="671" spans="1:3" x14ac:dyDescent="0.3">
      <c r="A671" s="8">
        <v>44839</v>
      </c>
      <c r="B671" s="5" t="s">
        <v>61</v>
      </c>
      <c r="C671" s="6">
        <v>15.652000427246</v>
      </c>
    </row>
    <row r="672" spans="1:3" x14ac:dyDescent="0.3">
      <c r="A672" s="8">
        <v>44840</v>
      </c>
      <c r="B672" s="5" t="s">
        <v>61</v>
      </c>
      <c r="C672" s="6">
        <v>15.319999694824199</v>
      </c>
    </row>
    <row r="673" spans="1:3" x14ac:dyDescent="0.3">
      <c r="A673" s="8">
        <v>44841</v>
      </c>
      <c r="B673" s="5" t="s">
        <v>61</v>
      </c>
      <c r="C673" s="6">
        <v>14.939999580383301</v>
      </c>
    </row>
    <row r="674" spans="1:3" x14ac:dyDescent="0.3">
      <c r="A674" s="8">
        <v>44844</v>
      </c>
      <c r="B674" s="5" t="s">
        <v>61</v>
      </c>
      <c r="C674" s="6">
        <v>14.899999618530201</v>
      </c>
    </row>
    <row r="675" spans="1:3" x14ac:dyDescent="0.3">
      <c r="A675" s="8">
        <v>44845</v>
      </c>
      <c r="B675" s="5" t="s">
        <v>61</v>
      </c>
      <c r="C675" s="6">
        <v>14.810000419616699</v>
      </c>
    </row>
    <row r="676" spans="1:3" x14ac:dyDescent="0.3">
      <c r="A676" s="8">
        <v>44846</v>
      </c>
      <c r="B676" s="5" t="s">
        <v>61</v>
      </c>
      <c r="C676" s="6">
        <v>14.6300001144409</v>
      </c>
    </row>
    <row r="677" spans="1:3" x14ac:dyDescent="0.3">
      <c r="A677" s="8">
        <v>44847</v>
      </c>
      <c r="B677" s="5" t="s">
        <v>61</v>
      </c>
      <c r="C677" s="6">
        <v>15.119999885559</v>
      </c>
    </row>
    <row r="678" spans="1:3" x14ac:dyDescent="0.3">
      <c r="A678" s="8">
        <v>44848</v>
      </c>
      <c r="B678" s="5" t="s">
        <v>61</v>
      </c>
      <c r="C678" s="6">
        <v>14.9899997711181</v>
      </c>
    </row>
    <row r="679" spans="1:3" x14ac:dyDescent="0.3">
      <c r="A679" s="8">
        <v>44851</v>
      </c>
      <c r="B679" s="5" t="s">
        <v>61</v>
      </c>
      <c r="C679" s="6">
        <v>15.310000419616699</v>
      </c>
    </row>
    <row r="680" spans="1:3" x14ac:dyDescent="0.3">
      <c r="A680" s="8">
        <v>44852</v>
      </c>
      <c r="B680" s="5" t="s">
        <v>61</v>
      </c>
      <c r="C680" s="6">
        <v>15.6000003814697</v>
      </c>
    </row>
    <row r="681" spans="1:3" x14ac:dyDescent="0.3">
      <c r="A681" s="8">
        <v>44853</v>
      </c>
      <c r="B681" s="5" t="s">
        <v>61</v>
      </c>
      <c r="C681" s="6">
        <v>15.539999961853001</v>
      </c>
    </row>
    <row r="682" spans="1:3" x14ac:dyDescent="0.3">
      <c r="A682" s="8">
        <v>44854</v>
      </c>
      <c r="B682" s="5" t="s">
        <v>61</v>
      </c>
      <c r="C682" s="6">
        <v>16.7399997711181</v>
      </c>
    </row>
    <row r="683" spans="1:3" x14ac:dyDescent="0.3">
      <c r="A683" s="8">
        <v>44855</v>
      </c>
      <c r="B683" s="5" t="s">
        <v>61</v>
      </c>
      <c r="C683" s="6">
        <v>17.100000381469702</v>
      </c>
    </row>
    <row r="684" spans="1:3" x14ac:dyDescent="0.3">
      <c r="A684" s="8">
        <v>44858</v>
      </c>
      <c r="B684" s="5" t="s">
        <v>61</v>
      </c>
      <c r="C684" s="6">
        <v>17.5100002288818</v>
      </c>
    </row>
    <row r="685" spans="1:3" x14ac:dyDescent="0.3">
      <c r="A685" s="8">
        <v>44859</v>
      </c>
      <c r="B685" s="5" t="s">
        <v>61</v>
      </c>
      <c r="C685" s="6">
        <v>17.690000534057599</v>
      </c>
    </row>
    <row r="686" spans="1:3" x14ac:dyDescent="0.3">
      <c r="A686" s="8">
        <v>44860</v>
      </c>
      <c r="B686" s="5" t="s">
        <v>61</v>
      </c>
      <c r="C686" s="6">
        <v>18.139999389648398</v>
      </c>
    </row>
    <row r="687" spans="1:3" x14ac:dyDescent="0.3">
      <c r="A687" s="8">
        <v>44861</v>
      </c>
      <c r="B687" s="5" t="s">
        <v>61</v>
      </c>
      <c r="C687" s="6">
        <v>18.030000686645501</v>
      </c>
    </row>
    <row r="688" spans="1:3" x14ac:dyDescent="0.3">
      <c r="A688" s="8">
        <v>44862</v>
      </c>
      <c r="B688" s="5" t="s">
        <v>61</v>
      </c>
      <c r="C688" s="6">
        <v>18.4799995422363</v>
      </c>
    </row>
    <row r="689" spans="1:3" x14ac:dyDescent="0.3">
      <c r="A689" s="8">
        <v>44865</v>
      </c>
      <c r="B689" s="5" t="s">
        <v>61</v>
      </c>
      <c r="C689" s="6">
        <v>18.2299995422363</v>
      </c>
    </row>
    <row r="690" spans="1:3" x14ac:dyDescent="0.3">
      <c r="A690" s="8">
        <v>44866</v>
      </c>
      <c r="B690" s="5" t="s">
        <v>61</v>
      </c>
      <c r="C690" s="6">
        <v>18.350000381469702</v>
      </c>
    </row>
    <row r="691" spans="1:3" x14ac:dyDescent="0.3">
      <c r="A691" s="8">
        <v>44867</v>
      </c>
      <c r="B691" s="5" t="s">
        <v>61</v>
      </c>
      <c r="C691" s="6">
        <v>18.4300003051757</v>
      </c>
    </row>
    <row r="692" spans="1:3" x14ac:dyDescent="0.3">
      <c r="A692" s="8">
        <v>44868</v>
      </c>
      <c r="B692" s="5" t="s">
        <v>61</v>
      </c>
      <c r="C692" s="6">
        <v>18.170000076293899</v>
      </c>
    </row>
    <row r="693" spans="1:3" x14ac:dyDescent="0.3">
      <c r="A693" s="8">
        <v>44869</v>
      </c>
      <c r="B693" s="5" t="s">
        <v>61</v>
      </c>
      <c r="C693" s="6">
        <v>18.319999694824201</v>
      </c>
    </row>
    <row r="694" spans="1:3" x14ac:dyDescent="0.3">
      <c r="A694" s="8">
        <v>44872</v>
      </c>
      <c r="B694" s="5" t="s">
        <v>61</v>
      </c>
      <c r="C694" s="6">
        <v>18.360000610351499</v>
      </c>
    </row>
    <row r="695" spans="1:3" x14ac:dyDescent="0.3">
      <c r="A695" s="8">
        <v>44873</v>
      </c>
      <c r="B695" s="5" t="s">
        <v>61</v>
      </c>
      <c r="C695" s="6">
        <v>18.569999694824201</v>
      </c>
    </row>
    <row r="696" spans="1:3" x14ac:dyDescent="0.3">
      <c r="A696" s="8">
        <v>44874</v>
      </c>
      <c r="B696" s="5" t="s">
        <v>61</v>
      </c>
      <c r="C696" s="6">
        <v>18.379999160766602</v>
      </c>
    </row>
    <row r="697" spans="1:3" x14ac:dyDescent="0.3">
      <c r="A697" s="8">
        <v>44875</v>
      </c>
      <c r="B697" s="5" t="s">
        <v>61</v>
      </c>
      <c r="C697" s="6">
        <v>18.840000152587798</v>
      </c>
    </row>
    <row r="698" spans="1:3" x14ac:dyDescent="0.3">
      <c r="A698" s="8">
        <v>44876</v>
      </c>
      <c r="B698" s="5" t="s">
        <v>61</v>
      </c>
      <c r="C698" s="6">
        <v>19.049999237060501</v>
      </c>
    </row>
    <row r="699" spans="1:3" x14ac:dyDescent="0.3">
      <c r="A699" s="8">
        <v>44879</v>
      </c>
      <c r="B699" s="5" t="s">
        <v>61</v>
      </c>
      <c r="C699" s="6">
        <v>19.059999465942301</v>
      </c>
    </row>
    <row r="700" spans="1:3" x14ac:dyDescent="0.3">
      <c r="A700" s="8">
        <v>44880</v>
      </c>
      <c r="B700" s="5" t="s">
        <v>61</v>
      </c>
      <c r="C700" s="6">
        <v>19.020000457763601</v>
      </c>
    </row>
    <row r="701" spans="1:3" x14ac:dyDescent="0.3">
      <c r="A701" s="8">
        <v>44881</v>
      </c>
      <c r="B701" s="5" t="s">
        <v>61</v>
      </c>
      <c r="C701" s="6">
        <v>18.9300003051757</v>
      </c>
    </row>
    <row r="702" spans="1:3" x14ac:dyDescent="0.3">
      <c r="A702" s="8">
        <v>44740</v>
      </c>
      <c r="B702" s="5" t="s">
        <v>62</v>
      </c>
      <c r="C702" s="6">
        <v>36.903980255126903</v>
      </c>
    </row>
    <row r="703" spans="1:3" x14ac:dyDescent="0.3">
      <c r="A703" s="8">
        <v>44741</v>
      </c>
      <c r="B703" s="5" t="s">
        <v>62</v>
      </c>
      <c r="C703" s="6">
        <v>36.425342559814403</v>
      </c>
    </row>
    <row r="704" spans="1:3" x14ac:dyDescent="0.3">
      <c r="A704" s="8">
        <v>44742</v>
      </c>
      <c r="B704" s="5" t="s">
        <v>62</v>
      </c>
      <c r="C704" s="6">
        <v>36.5425605773925</v>
      </c>
    </row>
    <row r="705" spans="1:3" x14ac:dyDescent="0.3">
      <c r="A705" s="8">
        <v>44743</v>
      </c>
      <c r="B705" s="5" t="s">
        <v>62</v>
      </c>
      <c r="C705" s="6">
        <v>35.497371673583899</v>
      </c>
    </row>
    <row r="706" spans="1:3" x14ac:dyDescent="0.3">
      <c r="A706" s="8">
        <v>44747</v>
      </c>
      <c r="B706" s="5" t="s">
        <v>62</v>
      </c>
      <c r="C706" s="6">
        <v>35.8392524719238</v>
      </c>
    </row>
    <row r="707" spans="1:3" x14ac:dyDescent="0.3">
      <c r="A707" s="8">
        <v>44748</v>
      </c>
      <c r="B707" s="5" t="s">
        <v>62</v>
      </c>
      <c r="C707" s="6">
        <v>36.132301330566399</v>
      </c>
    </row>
    <row r="708" spans="1:3" x14ac:dyDescent="0.3">
      <c r="A708" s="8">
        <v>44749</v>
      </c>
      <c r="B708" s="5" t="s">
        <v>62</v>
      </c>
      <c r="C708" s="6">
        <v>37.2556343078613</v>
      </c>
    </row>
    <row r="709" spans="1:3" x14ac:dyDescent="0.3">
      <c r="A709" s="8">
        <v>44750</v>
      </c>
      <c r="B709" s="5" t="s">
        <v>62</v>
      </c>
      <c r="C709" s="6">
        <v>37.109111785888601</v>
      </c>
    </row>
    <row r="710" spans="1:3" x14ac:dyDescent="0.3">
      <c r="A710" s="8">
        <v>44753</v>
      </c>
      <c r="B710" s="5" t="s">
        <v>62</v>
      </c>
      <c r="C710" s="6">
        <v>36.337429046630803</v>
      </c>
    </row>
    <row r="711" spans="1:3" x14ac:dyDescent="0.3">
      <c r="A711" s="8">
        <v>44754</v>
      </c>
      <c r="B711" s="5" t="s">
        <v>62</v>
      </c>
      <c r="C711" s="6">
        <v>36.347198486328097</v>
      </c>
    </row>
    <row r="712" spans="1:3" x14ac:dyDescent="0.3">
      <c r="A712" s="8">
        <v>44755</v>
      </c>
      <c r="B712" s="5" t="s">
        <v>62</v>
      </c>
      <c r="C712" s="6">
        <v>36.347198486328097</v>
      </c>
    </row>
    <row r="713" spans="1:3" x14ac:dyDescent="0.3">
      <c r="A713" s="8">
        <v>44756</v>
      </c>
      <c r="B713" s="5" t="s">
        <v>62</v>
      </c>
      <c r="C713" s="6">
        <v>36.835605621337798</v>
      </c>
    </row>
    <row r="714" spans="1:3" x14ac:dyDescent="0.3">
      <c r="A714" s="8">
        <v>44757</v>
      </c>
      <c r="B714" s="5" t="s">
        <v>62</v>
      </c>
      <c r="C714" s="6">
        <v>37.724502563476499</v>
      </c>
    </row>
    <row r="715" spans="1:3" x14ac:dyDescent="0.3">
      <c r="A715" s="8">
        <v>44760</v>
      </c>
      <c r="B715" s="5" t="s">
        <v>62</v>
      </c>
      <c r="C715" s="6">
        <v>37.812416076660099</v>
      </c>
    </row>
    <row r="716" spans="1:3" x14ac:dyDescent="0.3">
      <c r="A716" s="8">
        <v>44761</v>
      </c>
      <c r="B716" s="5" t="s">
        <v>62</v>
      </c>
      <c r="C716" s="6">
        <v>39.287406921386697</v>
      </c>
    </row>
    <row r="717" spans="1:3" x14ac:dyDescent="0.3">
      <c r="A717" s="8">
        <v>44762</v>
      </c>
      <c r="B717" s="5" t="s">
        <v>62</v>
      </c>
      <c r="C717" s="6">
        <v>39.619522094726499</v>
      </c>
    </row>
    <row r="718" spans="1:3" x14ac:dyDescent="0.3">
      <c r="A718" s="8">
        <v>44763</v>
      </c>
      <c r="B718" s="5" t="s">
        <v>62</v>
      </c>
      <c r="C718" s="6">
        <v>39.668361663818303</v>
      </c>
    </row>
    <row r="719" spans="1:3" x14ac:dyDescent="0.3">
      <c r="A719" s="8">
        <v>44764</v>
      </c>
      <c r="B719" s="5" t="s">
        <v>62</v>
      </c>
      <c r="C719" s="6">
        <v>38.291057586669901</v>
      </c>
    </row>
    <row r="720" spans="1:3" x14ac:dyDescent="0.3">
      <c r="A720" s="8">
        <v>44767</v>
      </c>
      <c r="B720" s="5" t="s">
        <v>62</v>
      </c>
      <c r="C720" s="6">
        <v>38.251983642578097</v>
      </c>
    </row>
    <row r="721" spans="1:3" x14ac:dyDescent="0.3">
      <c r="A721" s="8">
        <v>44768</v>
      </c>
      <c r="B721" s="5" t="s">
        <v>62</v>
      </c>
      <c r="C721" s="6">
        <v>38.056621551513601</v>
      </c>
    </row>
    <row r="722" spans="1:3" x14ac:dyDescent="0.3">
      <c r="A722" s="8">
        <v>44769</v>
      </c>
      <c r="B722" s="5" t="s">
        <v>62</v>
      </c>
      <c r="C722" s="6">
        <v>39.248329162597599</v>
      </c>
    </row>
    <row r="723" spans="1:3" x14ac:dyDescent="0.3">
      <c r="A723" s="8">
        <v>44770</v>
      </c>
      <c r="B723" s="5" t="s">
        <v>62</v>
      </c>
      <c r="C723" s="6">
        <v>38.789230346679602</v>
      </c>
    </row>
    <row r="724" spans="1:3" x14ac:dyDescent="0.3">
      <c r="A724" s="8">
        <v>44771</v>
      </c>
      <c r="B724" s="5" t="s">
        <v>62</v>
      </c>
      <c r="C724" s="6">
        <v>35.468067169189403</v>
      </c>
    </row>
    <row r="725" spans="1:3" x14ac:dyDescent="0.3">
      <c r="A725" s="8">
        <v>44774</v>
      </c>
      <c r="B725" s="5" t="s">
        <v>62</v>
      </c>
      <c r="C725" s="6">
        <v>36.102993011474602</v>
      </c>
    </row>
    <row r="726" spans="1:3" x14ac:dyDescent="0.3">
      <c r="A726" s="8">
        <v>44775</v>
      </c>
      <c r="B726" s="5" t="s">
        <v>62</v>
      </c>
      <c r="C726" s="6">
        <v>35.175022125244098</v>
      </c>
    </row>
    <row r="727" spans="1:3" x14ac:dyDescent="0.3">
      <c r="A727" s="8">
        <v>44776</v>
      </c>
      <c r="B727" s="5" t="s">
        <v>62</v>
      </c>
      <c r="C727" s="6">
        <v>35.673198699951101</v>
      </c>
    </row>
    <row r="728" spans="1:3" x14ac:dyDescent="0.3">
      <c r="A728" s="8">
        <v>44777</v>
      </c>
      <c r="B728" s="5" t="s">
        <v>62</v>
      </c>
      <c r="C728" s="6">
        <v>35.184791564941399</v>
      </c>
    </row>
    <row r="729" spans="1:3" x14ac:dyDescent="0.3">
      <c r="A729" s="8">
        <v>44778</v>
      </c>
      <c r="B729" s="5" t="s">
        <v>62</v>
      </c>
      <c r="C729" s="6">
        <v>34.918392181396399</v>
      </c>
    </row>
    <row r="730" spans="1:3" x14ac:dyDescent="0.3">
      <c r="A730" s="8">
        <v>44781</v>
      </c>
      <c r="B730" s="5" t="s">
        <v>62</v>
      </c>
      <c r="C730" s="6">
        <v>34.908523559570298</v>
      </c>
    </row>
    <row r="731" spans="1:3" x14ac:dyDescent="0.3">
      <c r="A731" s="8">
        <v>44782</v>
      </c>
      <c r="B731" s="5" t="s">
        <v>62</v>
      </c>
      <c r="C731" s="6">
        <v>34.059986114501903</v>
      </c>
    </row>
    <row r="732" spans="1:3" x14ac:dyDescent="0.3">
      <c r="A732" s="8">
        <v>44783</v>
      </c>
      <c r="B732" s="5" t="s">
        <v>62</v>
      </c>
      <c r="C732" s="6">
        <v>34.898654937744098</v>
      </c>
    </row>
    <row r="733" spans="1:3" x14ac:dyDescent="0.3">
      <c r="A733" s="8">
        <v>44784</v>
      </c>
      <c r="B733" s="5" t="s">
        <v>62</v>
      </c>
      <c r="C733" s="6">
        <v>35.115726470947202</v>
      </c>
    </row>
    <row r="734" spans="1:3" x14ac:dyDescent="0.3">
      <c r="A734" s="8">
        <v>44785</v>
      </c>
      <c r="B734" s="5" t="s">
        <v>62</v>
      </c>
      <c r="C734" s="6">
        <v>35.628795623779297</v>
      </c>
    </row>
    <row r="735" spans="1:3" x14ac:dyDescent="0.3">
      <c r="A735" s="8">
        <v>44788</v>
      </c>
      <c r="B735" s="5" t="s">
        <v>62</v>
      </c>
      <c r="C735" s="6">
        <v>35.8557319641113</v>
      </c>
    </row>
    <row r="736" spans="1:3" x14ac:dyDescent="0.3">
      <c r="A736" s="8">
        <v>44789</v>
      </c>
      <c r="B736" s="5" t="s">
        <v>62</v>
      </c>
      <c r="C736" s="6">
        <v>35.707729339599602</v>
      </c>
    </row>
    <row r="737" spans="1:3" x14ac:dyDescent="0.3">
      <c r="A737" s="8">
        <v>44790</v>
      </c>
      <c r="B737" s="5" t="s">
        <v>62</v>
      </c>
      <c r="C737" s="6">
        <v>35.303192138671797</v>
      </c>
    </row>
    <row r="738" spans="1:3" x14ac:dyDescent="0.3">
      <c r="A738" s="8">
        <v>44791</v>
      </c>
      <c r="B738" s="5" t="s">
        <v>62</v>
      </c>
      <c r="C738" s="6">
        <v>35.717597961425703</v>
      </c>
    </row>
    <row r="739" spans="1:3" x14ac:dyDescent="0.3">
      <c r="A739" s="8">
        <v>44792</v>
      </c>
      <c r="B739" s="5" t="s">
        <v>62</v>
      </c>
      <c r="C739" s="6">
        <v>34.908523559570298</v>
      </c>
    </row>
    <row r="740" spans="1:3" x14ac:dyDescent="0.3">
      <c r="A740" s="8">
        <v>44795</v>
      </c>
      <c r="B740" s="5" t="s">
        <v>62</v>
      </c>
      <c r="C740" s="6">
        <v>33.389045715332003</v>
      </c>
    </row>
    <row r="741" spans="1:3" x14ac:dyDescent="0.3">
      <c r="A741" s="8">
        <v>44796</v>
      </c>
      <c r="B741" s="5" t="s">
        <v>62</v>
      </c>
      <c r="C741" s="6">
        <v>33.497581481933501</v>
      </c>
    </row>
    <row r="742" spans="1:3" x14ac:dyDescent="0.3">
      <c r="A742" s="8">
        <v>44797</v>
      </c>
      <c r="B742" s="5" t="s">
        <v>62</v>
      </c>
      <c r="C742" s="6">
        <v>33.408779144287102</v>
      </c>
    </row>
    <row r="743" spans="1:3" x14ac:dyDescent="0.3">
      <c r="A743" s="8">
        <v>44798</v>
      </c>
      <c r="B743" s="5" t="s">
        <v>62</v>
      </c>
      <c r="C743" s="6">
        <v>34.425052642822202</v>
      </c>
    </row>
    <row r="744" spans="1:3" x14ac:dyDescent="0.3">
      <c r="A744" s="8">
        <v>44799</v>
      </c>
      <c r="B744" s="5" t="s">
        <v>62</v>
      </c>
      <c r="C744" s="6">
        <v>32.915443420410099</v>
      </c>
    </row>
    <row r="745" spans="1:3" x14ac:dyDescent="0.3">
      <c r="A745" s="8">
        <v>44802</v>
      </c>
      <c r="B745" s="5" t="s">
        <v>62</v>
      </c>
      <c r="C745" s="6">
        <v>32.5010375976562</v>
      </c>
    </row>
    <row r="746" spans="1:3" x14ac:dyDescent="0.3">
      <c r="A746" s="8">
        <v>44803</v>
      </c>
      <c r="B746" s="5" t="s">
        <v>62</v>
      </c>
      <c r="C746" s="6">
        <v>31.830099105834901</v>
      </c>
    </row>
    <row r="747" spans="1:3" x14ac:dyDescent="0.3">
      <c r="A747" s="8">
        <v>44804</v>
      </c>
      <c r="B747" s="5" t="s">
        <v>62</v>
      </c>
      <c r="C747" s="6">
        <v>31.494632720947202</v>
      </c>
    </row>
    <row r="748" spans="1:3" x14ac:dyDescent="0.3">
      <c r="A748" s="8">
        <v>44805</v>
      </c>
      <c r="B748" s="5" t="s">
        <v>62</v>
      </c>
      <c r="C748" s="6">
        <v>31.336765289306602</v>
      </c>
    </row>
    <row r="749" spans="1:3" x14ac:dyDescent="0.3">
      <c r="A749" s="8">
        <v>44806</v>
      </c>
      <c r="B749" s="5" t="s">
        <v>62</v>
      </c>
      <c r="C749" s="6">
        <v>30.803960800170898</v>
      </c>
    </row>
    <row r="750" spans="1:3" x14ac:dyDescent="0.3">
      <c r="A750" s="8">
        <v>44810</v>
      </c>
      <c r="B750" s="5" t="s">
        <v>62</v>
      </c>
      <c r="C750" s="6">
        <v>29.955421447753899</v>
      </c>
    </row>
    <row r="751" spans="1:3" x14ac:dyDescent="0.3">
      <c r="A751" s="8">
        <v>44811</v>
      </c>
      <c r="B751" s="5" t="s">
        <v>62</v>
      </c>
      <c r="C751" s="6">
        <v>30.2415561676025</v>
      </c>
    </row>
    <row r="752" spans="1:3" x14ac:dyDescent="0.3">
      <c r="A752" s="8">
        <v>44812</v>
      </c>
      <c r="B752" s="5" t="s">
        <v>62</v>
      </c>
      <c r="C752" s="6">
        <v>30.340223312377901</v>
      </c>
    </row>
    <row r="753" spans="1:3" x14ac:dyDescent="0.3">
      <c r="A753" s="8">
        <v>44813</v>
      </c>
      <c r="B753" s="5" t="s">
        <v>62</v>
      </c>
      <c r="C753" s="6">
        <v>31.0407619476318</v>
      </c>
    </row>
    <row r="754" spans="1:3" x14ac:dyDescent="0.3">
      <c r="A754" s="8">
        <v>44816</v>
      </c>
      <c r="B754" s="5" t="s">
        <v>62</v>
      </c>
      <c r="C754" s="6">
        <v>31.139429092407202</v>
      </c>
    </row>
    <row r="755" spans="1:3" x14ac:dyDescent="0.3">
      <c r="A755" s="8">
        <v>44817</v>
      </c>
      <c r="B755" s="5" t="s">
        <v>62</v>
      </c>
      <c r="C755" s="6">
        <v>28.899681091308501</v>
      </c>
    </row>
    <row r="756" spans="1:3" x14ac:dyDescent="0.3">
      <c r="A756" s="8">
        <v>44818</v>
      </c>
      <c r="B756" s="5" t="s">
        <v>62</v>
      </c>
      <c r="C756" s="6">
        <v>28.791145324706999</v>
      </c>
    </row>
    <row r="757" spans="1:3" x14ac:dyDescent="0.3">
      <c r="A757" s="8">
        <v>44819</v>
      </c>
      <c r="B757" s="5" t="s">
        <v>62</v>
      </c>
      <c r="C757" s="6">
        <v>28.4556770324707</v>
      </c>
    </row>
    <row r="758" spans="1:3" x14ac:dyDescent="0.3">
      <c r="A758" s="8">
        <v>44820</v>
      </c>
      <c r="B758" s="5" t="s">
        <v>62</v>
      </c>
      <c r="C758" s="6">
        <v>28.850345611572202</v>
      </c>
    </row>
    <row r="759" spans="1:3" x14ac:dyDescent="0.3">
      <c r="A759" s="8">
        <v>44823</v>
      </c>
      <c r="B759" s="5" t="s">
        <v>62</v>
      </c>
      <c r="C759" s="6">
        <v>29.047681808471602</v>
      </c>
    </row>
    <row r="760" spans="1:3" x14ac:dyDescent="0.3">
      <c r="A760" s="8">
        <v>44824</v>
      </c>
      <c r="B760" s="5" t="s">
        <v>62</v>
      </c>
      <c r="C760" s="6">
        <v>28.574077606201101</v>
      </c>
    </row>
    <row r="761" spans="1:3" x14ac:dyDescent="0.3">
      <c r="A761" s="8">
        <v>44825</v>
      </c>
      <c r="B761" s="5" t="s">
        <v>62</v>
      </c>
      <c r="C761" s="6">
        <v>28.0906066894531</v>
      </c>
    </row>
    <row r="762" spans="1:3" x14ac:dyDescent="0.3">
      <c r="A762" s="8">
        <v>44826</v>
      </c>
      <c r="B762" s="5" t="s">
        <v>62</v>
      </c>
      <c r="C762" s="6">
        <v>27.695938110351499</v>
      </c>
    </row>
    <row r="763" spans="1:3" x14ac:dyDescent="0.3">
      <c r="A763" s="8">
        <v>44827</v>
      </c>
      <c r="B763" s="5" t="s">
        <v>62</v>
      </c>
      <c r="C763" s="6">
        <v>27.1532669067382</v>
      </c>
    </row>
    <row r="764" spans="1:3" x14ac:dyDescent="0.3">
      <c r="A764" s="8">
        <v>44830</v>
      </c>
      <c r="B764" s="5" t="s">
        <v>62</v>
      </c>
      <c r="C764" s="6">
        <v>26.610595703125</v>
      </c>
    </row>
    <row r="765" spans="1:3" x14ac:dyDescent="0.3">
      <c r="A765" s="8">
        <v>44831</v>
      </c>
      <c r="B765" s="5" t="s">
        <v>62</v>
      </c>
      <c r="C765" s="6">
        <v>26.531661987304599</v>
      </c>
    </row>
    <row r="766" spans="1:3" x14ac:dyDescent="0.3">
      <c r="A766" s="8">
        <v>44832</v>
      </c>
      <c r="B766" s="5" t="s">
        <v>62</v>
      </c>
      <c r="C766" s="6">
        <v>26.7684631347656</v>
      </c>
    </row>
    <row r="767" spans="1:3" x14ac:dyDescent="0.3">
      <c r="A767" s="8">
        <v>44833</v>
      </c>
      <c r="B767" s="5" t="s">
        <v>62</v>
      </c>
      <c r="C767" s="6">
        <v>26.028457641601499</v>
      </c>
    </row>
    <row r="768" spans="1:3" x14ac:dyDescent="0.3">
      <c r="A768" s="8">
        <v>44834</v>
      </c>
      <c r="B768" s="5" t="s">
        <v>62</v>
      </c>
      <c r="C768" s="6">
        <v>25.426588058471602</v>
      </c>
    </row>
    <row r="769" spans="1:3" x14ac:dyDescent="0.3">
      <c r="A769" s="8">
        <v>44837</v>
      </c>
      <c r="B769" s="5" t="s">
        <v>62</v>
      </c>
      <c r="C769" s="6">
        <v>26.610595703125</v>
      </c>
    </row>
    <row r="770" spans="1:3" x14ac:dyDescent="0.3">
      <c r="A770" s="8">
        <v>44838</v>
      </c>
      <c r="B770" s="5" t="s">
        <v>62</v>
      </c>
      <c r="C770" s="6">
        <v>27.330869674682599</v>
      </c>
    </row>
    <row r="771" spans="1:3" x14ac:dyDescent="0.3">
      <c r="A771" s="8">
        <v>44839</v>
      </c>
      <c r="B771" s="5" t="s">
        <v>62</v>
      </c>
      <c r="C771" s="6">
        <v>27.2716674804687</v>
      </c>
    </row>
    <row r="772" spans="1:3" x14ac:dyDescent="0.3">
      <c r="A772" s="8">
        <v>44840</v>
      </c>
      <c r="B772" s="5" t="s">
        <v>62</v>
      </c>
      <c r="C772" s="6">
        <v>26.8177986145019</v>
      </c>
    </row>
    <row r="773" spans="1:3" x14ac:dyDescent="0.3">
      <c r="A773" s="8">
        <v>44841</v>
      </c>
      <c r="B773" s="5" t="s">
        <v>62</v>
      </c>
      <c r="C773" s="6">
        <v>25.377252578735298</v>
      </c>
    </row>
    <row r="774" spans="1:3" x14ac:dyDescent="0.3">
      <c r="A774" s="8">
        <v>44844</v>
      </c>
      <c r="B774" s="5" t="s">
        <v>62</v>
      </c>
      <c r="C774" s="6">
        <v>24.864183425903299</v>
      </c>
    </row>
    <row r="775" spans="1:3" x14ac:dyDescent="0.3">
      <c r="A775" s="8">
        <v>44845</v>
      </c>
      <c r="B775" s="5" t="s">
        <v>62</v>
      </c>
      <c r="C775" s="6">
        <v>24.706315994262599</v>
      </c>
    </row>
    <row r="776" spans="1:3" x14ac:dyDescent="0.3">
      <c r="A776" s="8">
        <v>44846</v>
      </c>
      <c r="B776" s="5" t="s">
        <v>62</v>
      </c>
      <c r="C776" s="6">
        <v>24.9924507141113</v>
      </c>
    </row>
    <row r="777" spans="1:3" x14ac:dyDescent="0.3">
      <c r="A777" s="8">
        <v>44847</v>
      </c>
      <c r="B777" s="5" t="s">
        <v>62</v>
      </c>
      <c r="C777" s="6">
        <v>26.067926406860298</v>
      </c>
    </row>
    <row r="778" spans="1:3" x14ac:dyDescent="0.3">
      <c r="A778" s="8">
        <v>44848</v>
      </c>
      <c r="B778" s="5" t="s">
        <v>62</v>
      </c>
      <c r="C778" s="6">
        <v>25.564722061157202</v>
      </c>
    </row>
    <row r="779" spans="1:3" x14ac:dyDescent="0.3">
      <c r="A779" s="8">
        <v>44851</v>
      </c>
      <c r="B779" s="5" t="s">
        <v>62</v>
      </c>
      <c r="C779" s="6">
        <v>26.067926406860298</v>
      </c>
    </row>
    <row r="780" spans="1:3" x14ac:dyDescent="0.3">
      <c r="A780" s="8">
        <v>44852</v>
      </c>
      <c r="B780" s="5" t="s">
        <v>62</v>
      </c>
      <c r="C780" s="6">
        <v>25.525255203246999</v>
      </c>
    </row>
    <row r="781" spans="1:3" x14ac:dyDescent="0.3">
      <c r="A781" s="8">
        <v>44853</v>
      </c>
      <c r="B781" s="5" t="s">
        <v>62</v>
      </c>
      <c r="C781" s="6">
        <v>25.653522491455</v>
      </c>
    </row>
    <row r="782" spans="1:3" x14ac:dyDescent="0.3">
      <c r="A782" s="8">
        <v>44854</v>
      </c>
      <c r="B782" s="5" t="s">
        <v>62</v>
      </c>
      <c r="C782" s="6">
        <v>25.732456207275298</v>
      </c>
    </row>
    <row r="783" spans="1:3" x14ac:dyDescent="0.3">
      <c r="A783" s="8">
        <v>44855</v>
      </c>
      <c r="B783" s="5" t="s">
        <v>62</v>
      </c>
      <c r="C783" s="6">
        <v>26.610595703125</v>
      </c>
    </row>
    <row r="784" spans="1:3" x14ac:dyDescent="0.3">
      <c r="A784" s="8">
        <v>44858</v>
      </c>
      <c r="B784" s="5" t="s">
        <v>62</v>
      </c>
      <c r="C784" s="6">
        <v>26.8177986145019</v>
      </c>
    </row>
    <row r="785" spans="1:3" x14ac:dyDescent="0.3">
      <c r="A785" s="8">
        <v>44859</v>
      </c>
      <c r="B785" s="5" t="s">
        <v>62</v>
      </c>
      <c r="C785" s="6">
        <v>27.044733047485298</v>
      </c>
    </row>
    <row r="786" spans="1:3" x14ac:dyDescent="0.3">
      <c r="A786" s="8">
        <v>44860</v>
      </c>
      <c r="B786" s="5" t="s">
        <v>62</v>
      </c>
      <c r="C786" s="6">
        <v>26.847396850585898</v>
      </c>
    </row>
    <row r="787" spans="1:3" x14ac:dyDescent="0.3">
      <c r="A787" s="8">
        <v>44861</v>
      </c>
      <c r="B787" s="5" t="s">
        <v>62</v>
      </c>
      <c r="C787" s="6">
        <v>25.919925689697202</v>
      </c>
    </row>
    <row r="788" spans="1:3" x14ac:dyDescent="0.3">
      <c r="A788" s="8">
        <v>44862</v>
      </c>
      <c r="B788" s="5" t="s">
        <v>62</v>
      </c>
      <c r="C788" s="6">
        <v>28.682611465454102</v>
      </c>
    </row>
    <row r="789" spans="1:3" x14ac:dyDescent="0.3">
      <c r="A789" s="8">
        <v>44865</v>
      </c>
      <c r="B789" s="5" t="s">
        <v>62</v>
      </c>
      <c r="C789" s="6">
        <v>28.051139831542901</v>
      </c>
    </row>
    <row r="790" spans="1:3" x14ac:dyDescent="0.3">
      <c r="A790" s="8">
        <v>44866</v>
      </c>
      <c r="B790" s="5" t="s">
        <v>62</v>
      </c>
      <c r="C790" s="6">
        <v>27.922872543334901</v>
      </c>
    </row>
    <row r="791" spans="1:3" x14ac:dyDescent="0.3">
      <c r="A791" s="8">
        <v>44867</v>
      </c>
      <c r="B791" s="5" t="s">
        <v>62</v>
      </c>
      <c r="C791" s="6">
        <v>27.054599761962798</v>
      </c>
    </row>
    <row r="792" spans="1:3" x14ac:dyDescent="0.3">
      <c r="A792" s="8">
        <v>44868</v>
      </c>
      <c r="B792" s="5" t="s">
        <v>62</v>
      </c>
      <c r="C792" s="6">
        <v>27.024999618530199</v>
      </c>
    </row>
    <row r="793" spans="1:3" x14ac:dyDescent="0.3">
      <c r="A793" s="8">
        <v>44869</v>
      </c>
      <c r="B793" s="5" t="s">
        <v>62</v>
      </c>
      <c r="C793" s="6">
        <v>28.2000007629394</v>
      </c>
    </row>
    <row r="794" spans="1:3" x14ac:dyDescent="0.3">
      <c r="A794" s="8">
        <v>44872</v>
      </c>
      <c r="B794" s="5" t="s">
        <v>62</v>
      </c>
      <c r="C794" s="6">
        <v>28.409999847412099</v>
      </c>
    </row>
    <row r="795" spans="1:3" x14ac:dyDescent="0.3">
      <c r="A795" s="8">
        <v>44873</v>
      </c>
      <c r="B795" s="5" t="s">
        <v>62</v>
      </c>
      <c r="C795" s="6">
        <v>28.4799995422363</v>
      </c>
    </row>
    <row r="796" spans="1:3" x14ac:dyDescent="0.3">
      <c r="A796" s="8">
        <v>44874</v>
      </c>
      <c r="B796" s="5" t="s">
        <v>62</v>
      </c>
      <c r="C796" s="6">
        <v>27.520000457763601</v>
      </c>
    </row>
    <row r="797" spans="1:3" x14ac:dyDescent="0.3">
      <c r="A797" s="8">
        <v>44875</v>
      </c>
      <c r="B797" s="5" t="s">
        <v>62</v>
      </c>
      <c r="C797" s="6">
        <v>29.7600002288818</v>
      </c>
    </row>
    <row r="798" spans="1:3" x14ac:dyDescent="0.3">
      <c r="A798" s="8">
        <v>44876</v>
      </c>
      <c r="B798" s="5" t="s">
        <v>62</v>
      </c>
      <c r="C798" s="6">
        <v>30.4300003051757</v>
      </c>
    </row>
    <row r="799" spans="1:3" x14ac:dyDescent="0.3">
      <c r="A799" s="8">
        <v>44879</v>
      </c>
      <c r="B799" s="5" t="s">
        <v>62</v>
      </c>
      <c r="C799" s="6">
        <v>30.350000381469702</v>
      </c>
    </row>
    <row r="800" spans="1:3" x14ac:dyDescent="0.3">
      <c r="A800" s="8">
        <v>44880</v>
      </c>
      <c r="B800" s="5" t="s">
        <v>62</v>
      </c>
      <c r="C800" s="6">
        <v>30.709999084472599</v>
      </c>
    </row>
    <row r="801" spans="1:3" x14ac:dyDescent="0.3">
      <c r="A801" s="8">
        <v>44881</v>
      </c>
      <c r="B801" s="5" t="s">
        <v>62</v>
      </c>
      <c r="C801" s="6">
        <v>29.530000686645501</v>
      </c>
    </row>
    <row r="802" spans="1:3" x14ac:dyDescent="0.3">
      <c r="A802" s="8">
        <v>44740</v>
      </c>
      <c r="B802" s="5" t="s">
        <v>63</v>
      </c>
      <c r="C802" s="6">
        <v>142.72459411621</v>
      </c>
    </row>
    <row r="803" spans="1:3" x14ac:dyDescent="0.3">
      <c r="A803" s="8">
        <v>44741</v>
      </c>
      <c r="B803" s="5" t="s">
        <v>63</v>
      </c>
      <c r="C803" s="6">
        <v>140.137115478515</v>
      </c>
    </row>
    <row r="804" spans="1:3" x14ac:dyDescent="0.3">
      <c r="A804" s="8">
        <v>44742</v>
      </c>
      <c r="B804" s="5" t="s">
        <v>63</v>
      </c>
      <c r="C804" s="6">
        <v>139.47544860839801</v>
      </c>
    </row>
    <row r="805" spans="1:3" x14ac:dyDescent="0.3">
      <c r="A805" s="8">
        <v>44743</v>
      </c>
      <c r="B805" s="5" t="s">
        <v>63</v>
      </c>
      <c r="C805" s="6">
        <v>140.61116027832</v>
      </c>
    </row>
    <row r="806" spans="1:3" x14ac:dyDescent="0.3">
      <c r="A806" s="8">
        <v>44747</v>
      </c>
      <c r="B806" s="5" t="s">
        <v>63</v>
      </c>
      <c r="C806" s="6">
        <v>143.899810791015</v>
      </c>
    </row>
    <row r="807" spans="1:3" x14ac:dyDescent="0.3">
      <c r="A807" s="8">
        <v>44748</v>
      </c>
      <c r="B807" s="5" t="s">
        <v>63</v>
      </c>
      <c r="C807" s="6">
        <v>143.010986328125</v>
      </c>
    </row>
    <row r="808" spans="1:3" x14ac:dyDescent="0.3">
      <c r="A808" s="8">
        <v>44749</v>
      </c>
      <c r="B808" s="5" t="s">
        <v>63</v>
      </c>
      <c r="C808" s="6">
        <v>148.09700012207</v>
      </c>
    </row>
    <row r="809" spans="1:3" x14ac:dyDescent="0.3">
      <c r="A809" s="8">
        <v>44750</v>
      </c>
      <c r="B809" s="5" t="s">
        <v>63</v>
      </c>
      <c r="C809" s="6">
        <v>146.15147399902301</v>
      </c>
    </row>
    <row r="810" spans="1:3" x14ac:dyDescent="0.3">
      <c r="A810" s="8">
        <v>44753</v>
      </c>
      <c r="B810" s="5" t="s">
        <v>63</v>
      </c>
      <c r="C810" s="6">
        <v>144.57135009765599</v>
      </c>
    </row>
    <row r="811" spans="1:3" x14ac:dyDescent="0.3">
      <c r="A811" s="8">
        <v>44754</v>
      </c>
      <c r="B811" s="5" t="s">
        <v>63</v>
      </c>
      <c r="C811" s="6">
        <v>142.76408386230401</v>
      </c>
    </row>
    <row r="812" spans="1:3" x14ac:dyDescent="0.3">
      <c r="A812" s="8">
        <v>44755</v>
      </c>
      <c r="B812" s="5" t="s">
        <v>63</v>
      </c>
      <c r="C812" s="6">
        <v>143.63314819335901</v>
      </c>
    </row>
    <row r="813" spans="1:3" x14ac:dyDescent="0.3">
      <c r="A813" s="8">
        <v>44756</v>
      </c>
      <c r="B813" s="5" t="s">
        <v>63</v>
      </c>
      <c r="C813" s="6">
        <v>144.47257995605401</v>
      </c>
    </row>
    <row r="814" spans="1:3" x14ac:dyDescent="0.3">
      <c r="A814" s="8">
        <v>44757</v>
      </c>
      <c r="B814" s="5" t="s">
        <v>63</v>
      </c>
      <c r="C814" s="6">
        <v>144.84786987304599</v>
      </c>
    </row>
    <row r="815" spans="1:3" x14ac:dyDescent="0.3">
      <c r="A815" s="8">
        <v>44760</v>
      </c>
      <c r="B815" s="5" t="s">
        <v>63</v>
      </c>
      <c r="C815" s="6">
        <v>147.50445556640599</v>
      </c>
    </row>
    <row r="816" spans="1:3" x14ac:dyDescent="0.3">
      <c r="A816" s="8">
        <v>44761</v>
      </c>
      <c r="B816" s="5" t="s">
        <v>63</v>
      </c>
      <c r="C816" s="6">
        <v>151.45475769042901</v>
      </c>
    </row>
    <row r="817" spans="1:3" x14ac:dyDescent="0.3">
      <c r="A817" s="8">
        <v>44762</v>
      </c>
      <c r="B817" s="5" t="s">
        <v>63</v>
      </c>
      <c r="C817" s="6">
        <v>154.55575561523401</v>
      </c>
    </row>
    <row r="818" spans="1:3" x14ac:dyDescent="0.3">
      <c r="A818" s="8">
        <v>44763</v>
      </c>
      <c r="B818" s="5" t="s">
        <v>63</v>
      </c>
      <c r="C818" s="6">
        <v>156.68891906738199</v>
      </c>
    </row>
    <row r="819" spans="1:3" x14ac:dyDescent="0.3">
      <c r="A819" s="8">
        <v>44764</v>
      </c>
      <c r="B819" s="5" t="s">
        <v>63</v>
      </c>
      <c r="C819" s="6">
        <v>155.780349731445</v>
      </c>
    </row>
    <row r="820" spans="1:3" x14ac:dyDescent="0.3">
      <c r="A820" s="8">
        <v>44767</v>
      </c>
      <c r="B820" s="5" t="s">
        <v>63</v>
      </c>
      <c r="C820" s="6">
        <v>155.533447265625</v>
      </c>
    </row>
    <row r="821" spans="1:3" x14ac:dyDescent="0.3">
      <c r="A821" s="8">
        <v>44768</v>
      </c>
      <c r="B821" s="5" t="s">
        <v>63</v>
      </c>
      <c r="C821" s="6">
        <v>149.92401123046801</v>
      </c>
    </row>
    <row r="822" spans="1:3" x14ac:dyDescent="0.3">
      <c r="A822" s="8">
        <v>44769</v>
      </c>
      <c r="B822" s="5" t="s">
        <v>63</v>
      </c>
      <c r="C822" s="6">
        <v>152.67935180664</v>
      </c>
    </row>
    <row r="823" spans="1:3" x14ac:dyDescent="0.3">
      <c r="A823" s="8">
        <v>44770</v>
      </c>
      <c r="B823" s="5" t="s">
        <v>63</v>
      </c>
      <c r="C823" s="6">
        <v>157.43948364257801</v>
      </c>
    </row>
    <row r="824" spans="1:3" x14ac:dyDescent="0.3">
      <c r="A824" s="8">
        <v>44771</v>
      </c>
      <c r="B824" s="5" t="s">
        <v>63</v>
      </c>
      <c r="C824" s="6">
        <v>161.35028076171801</v>
      </c>
    </row>
    <row r="825" spans="1:3" x14ac:dyDescent="0.3">
      <c r="A825" s="8">
        <v>44774</v>
      </c>
      <c r="B825" s="5" t="s">
        <v>63</v>
      </c>
      <c r="C825" s="6">
        <v>163.49331665039</v>
      </c>
    </row>
    <row r="826" spans="1:3" x14ac:dyDescent="0.3">
      <c r="A826" s="8">
        <v>44775</v>
      </c>
      <c r="B826" s="5" t="s">
        <v>63</v>
      </c>
      <c r="C826" s="6">
        <v>161.44902038574199</v>
      </c>
    </row>
    <row r="827" spans="1:3" x14ac:dyDescent="0.3">
      <c r="A827" s="8">
        <v>44776</v>
      </c>
      <c r="B827" s="5" t="s">
        <v>63</v>
      </c>
      <c r="C827" s="6">
        <v>165.83387756347599</v>
      </c>
    </row>
    <row r="828" spans="1:3" x14ac:dyDescent="0.3">
      <c r="A828" s="8">
        <v>44777</v>
      </c>
      <c r="B828" s="5" t="s">
        <v>63</v>
      </c>
      <c r="C828" s="6">
        <v>164.49076843261699</v>
      </c>
    </row>
    <row r="829" spans="1:3" x14ac:dyDescent="0.3">
      <c r="A829" s="8">
        <v>44778</v>
      </c>
      <c r="B829" s="5" t="s">
        <v>63</v>
      </c>
      <c r="C829" s="6">
        <v>164.06613159179599</v>
      </c>
    </row>
    <row r="830" spans="1:3" x14ac:dyDescent="0.3">
      <c r="A830" s="8">
        <v>44781</v>
      </c>
      <c r="B830" s="5" t="s">
        <v>63</v>
      </c>
      <c r="C830" s="6">
        <v>164.89569091796801</v>
      </c>
    </row>
    <row r="831" spans="1:3" x14ac:dyDescent="0.3">
      <c r="A831" s="8">
        <v>44782</v>
      </c>
      <c r="B831" s="5" t="s">
        <v>63</v>
      </c>
      <c r="C831" s="6">
        <v>163.06866455078099</v>
      </c>
    </row>
    <row r="832" spans="1:3" x14ac:dyDescent="0.3">
      <c r="A832" s="8">
        <v>44783</v>
      </c>
      <c r="B832" s="5" t="s">
        <v>63</v>
      </c>
      <c r="C832" s="6">
        <v>167.56214904785099</v>
      </c>
    </row>
    <row r="833" spans="1:3" x14ac:dyDescent="0.3">
      <c r="A833" s="8">
        <v>44784</v>
      </c>
      <c r="B833" s="5" t="s">
        <v>63</v>
      </c>
      <c r="C833" s="6">
        <v>167.49301147460901</v>
      </c>
    </row>
    <row r="834" spans="1:3" x14ac:dyDescent="0.3">
      <c r="A834" s="8">
        <v>44785</v>
      </c>
      <c r="B834" s="5" t="s">
        <v>63</v>
      </c>
      <c r="C834" s="6">
        <v>170.33721923828099</v>
      </c>
    </row>
    <row r="835" spans="1:3" x14ac:dyDescent="0.3">
      <c r="A835" s="8">
        <v>44788</v>
      </c>
      <c r="B835" s="5" t="s">
        <v>63</v>
      </c>
      <c r="C835" s="6">
        <v>171.235916137695</v>
      </c>
    </row>
    <row r="836" spans="1:3" x14ac:dyDescent="0.3">
      <c r="A836" s="8">
        <v>44789</v>
      </c>
      <c r="B836" s="5" t="s">
        <v>63</v>
      </c>
      <c r="C836" s="6">
        <v>179.066802978515</v>
      </c>
    </row>
    <row r="837" spans="1:3" x14ac:dyDescent="0.3">
      <c r="A837" s="8">
        <v>44790</v>
      </c>
      <c r="B837" s="5" t="s">
        <v>63</v>
      </c>
      <c r="C837" s="6">
        <v>174.24703979492099</v>
      </c>
    </row>
    <row r="838" spans="1:3" x14ac:dyDescent="0.3">
      <c r="A838" s="8">
        <v>44791</v>
      </c>
      <c r="B838" s="5" t="s">
        <v>63</v>
      </c>
      <c r="C838" s="6">
        <v>171.97131347656199</v>
      </c>
    </row>
    <row r="839" spans="1:3" x14ac:dyDescent="0.3">
      <c r="A839" s="8">
        <v>44792</v>
      </c>
      <c r="B839" s="5" t="s">
        <v>63</v>
      </c>
      <c r="C839" s="6">
        <v>165.998764038085</v>
      </c>
    </row>
    <row r="840" spans="1:3" x14ac:dyDescent="0.3">
      <c r="A840" s="8">
        <v>44795</v>
      </c>
      <c r="B840" s="5" t="s">
        <v>63</v>
      </c>
      <c r="C840" s="6">
        <v>160.950439453125</v>
      </c>
    </row>
    <row r="841" spans="1:3" x14ac:dyDescent="0.3">
      <c r="A841" s="8">
        <v>44796</v>
      </c>
      <c r="B841" s="5" t="s">
        <v>63</v>
      </c>
      <c r="C841" s="6">
        <v>160.96037292480401</v>
      </c>
    </row>
    <row r="842" spans="1:3" x14ac:dyDescent="0.3">
      <c r="A842" s="8">
        <v>44797</v>
      </c>
      <c r="B842" s="5" t="s">
        <v>63</v>
      </c>
      <c r="C842" s="6">
        <v>162.11314392089801</v>
      </c>
    </row>
    <row r="843" spans="1:3" x14ac:dyDescent="0.3">
      <c r="A843" s="8">
        <v>44798</v>
      </c>
      <c r="B843" s="5" t="s">
        <v>63</v>
      </c>
      <c r="C843" s="6">
        <v>166.45590209960901</v>
      </c>
    </row>
    <row r="844" spans="1:3" x14ac:dyDescent="0.3">
      <c r="A844" s="8">
        <v>44799</v>
      </c>
      <c r="B844" s="5" t="s">
        <v>63</v>
      </c>
      <c r="C844" s="6">
        <v>159.61878967285099</v>
      </c>
    </row>
    <row r="845" spans="1:3" x14ac:dyDescent="0.3">
      <c r="A845" s="8">
        <v>44802</v>
      </c>
      <c r="B845" s="5" t="s">
        <v>63</v>
      </c>
      <c r="C845" s="6">
        <v>157.70082092285099</v>
      </c>
    </row>
    <row r="846" spans="1:3" x14ac:dyDescent="0.3">
      <c r="A846" s="8">
        <v>44803</v>
      </c>
      <c r="B846" s="5" t="s">
        <v>63</v>
      </c>
      <c r="C846" s="6">
        <v>159.77778625488199</v>
      </c>
    </row>
    <row r="847" spans="1:3" x14ac:dyDescent="0.3">
      <c r="A847" s="8">
        <v>44804</v>
      </c>
      <c r="B847" s="5" t="s">
        <v>63</v>
      </c>
      <c r="C847" s="6">
        <v>159.34053039550699</v>
      </c>
    </row>
    <row r="848" spans="1:3" x14ac:dyDescent="0.3">
      <c r="A848" s="8">
        <v>44805</v>
      </c>
      <c r="B848" s="5" t="s">
        <v>63</v>
      </c>
      <c r="C848" s="6">
        <v>163.81248474121</v>
      </c>
    </row>
    <row r="849" spans="1:3" x14ac:dyDescent="0.3">
      <c r="A849" s="8">
        <v>44806</v>
      </c>
      <c r="B849" s="5" t="s">
        <v>63</v>
      </c>
      <c r="C849" s="6">
        <v>163.57398986816401</v>
      </c>
    </row>
    <row r="850" spans="1:3" x14ac:dyDescent="0.3">
      <c r="A850" s="8">
        <v>44810</v>
      </c>
      <c r="B850" s="5" t="s">
        <v>63</v>
      </c>
      <c r="C850" s="6">
        <v>162.56034851074199</v>
      </c>
    </row>
    <row r="851" spans="1:3" x14ac:dyDescent="0.3">
      <c r="A851" s="8">
        <v>44811</v>
      </c>
      <c r="B851" s="5" t="s">
        <v>63</v>
      </c>
      <c r="C851" s="6">
        <v>169.72538757324199</v>
      </c>
    </row>
    <row r="852" spans="1:3" x14ac:dyDescent="0.3">
      <c r="A852" s="8">
        <v>44812</v>
      </c>
      <c r="B852" s="5" t="s">
        <v>63</v>
      </c>
      <c r="C852" s="6">
        <v>170.82847595214801</v>
      </c>
    </row>
    <row r="853" spans="1:3" x14ac:dyDescent="0.3">
      <c r="A853" s="8">
        <v>44813</v>
      </c>
      <c r="B853" s="5" t="s">
        <v>63</v>
      </c>
      <c r="C853" s="6">
        <v>172.56756591796801</v>
      </c>
    </row>
    <row r="854" spans="1:3" x14ac:dyDescent="0.3">
      <c r="A854" s="8">
        <v>44816</v>
      </c>
      <c r="B854" s="5" t="s">
        <v>63</v>
      </c>
      <c r="C854" s="6">
        <v>172.76632690429599</v>
      </c>
    </row>
    <row r="855" spans="1:3" x14ac:dyDescent="0.3">
      <c r="A855" s="8">
        <v>44817</v>
      </c>
      <c r="B855" s="5" t="s">
        <v>63</v>
      </c>
      <c r="C855" s="6">
        <v>165.20376586914</v>
      </c>
    </row>
    <row r="856" spans="1:3" x14ac:dyDescent="0.3">
      <c r="A856" s="8">
        <v>44818</v>
      </c>
      <c r="B856" s="5" t="s">
        <v>63</v>
      </c>
      <c r="C856" s="6">
        <v>164.34912109375</v>
      </c>
    </row>
    <row r="857" spans="1:3" x14ac:dyDescent="0.3">
      <c r="A857" s="8">
        <v>44819</v>
      </c>
      <c r="B857" s="5" t="s">
        <v>63</v>
      </c>
      <c r="C857" s="6">
        <v>163.98141479492099</v>
      </c>
    </row>
    <row r="858" spans="1:3" x14ac:dyDescent="0.3">
      <c r="A858" s="8">
        <v>44820</v>
      </c>
      <c r="B858" s="5" t="s">
        <v>63</v>
      </c>
      <c r="C858" s="6">
        <v>163.06715393066401</v>
      </c>
    </row>
    <row r="859" spans="1:3" x14ac:dyDescent="0.3">
      <c r="A859" s="8">
        <v>44823</v>
      </c>
      <c r="B859" s="5" t="s">
        <v>63</v>
      </c>
      <c r="C859" s="6">
        <v>163.732986450195</v>
      </c>
    </row>
    <row r="860" spans="1:3" x14ac:dyDescent="0.3">
      <c r="A860" s="8">
        <v>44824</v>
      </c>
      <c r="B860" s="5" t="s">
        <v>63</v>
      </c>
      <c r="C860" s="6">
        <v>159.032470703125</v>
      </c>
    </row>
    <row r="861" spans="1:3" x14ac:dyDescent="0.3">
      <c r="A861" s="8">
        <v>44825</v>
      </c>
      <c r="B861" s="5" t="s">
        <v>63</v>
      </c>
      <c r="C861" s="6">
        <v>158.03869628906199</v>
      </c>
    </row>
    <row r="862" spans="1:3" x14ac:dyDescent="0.3">
      <c r="A862" s="8">
        <v>44826</v>
      </c>
      <c r="B862" s="5" t="s">
        <v>63</v>
      </c>
      <c r="C862" s="6">
        <v>152.00654602050699</v>
      </c>
    </row>
    <row r="863" spans="1:3" x14ac:dyDescent="0.3">
      <c r="A863" s="8">
        <v>44827</v>
      </c>
      <c r="B863" s="5" t="s">
        <v>63</v>
      </c>
      <c r="C863" s="6">
        <v>151.65872192382801</v>
      </c>
    </row>
    <row r="864" spans="1:3" x14ac:dyDescent="0.3">
      <c r="A864" s="8">
        <v>44830</v>
      </c>
      <c r="B864" s="5" t="s">
        <v>63</v>
      </c>
      <c r="C864" s="6">
        <v>147.78303527832</v>
      </c>
    </row>
    <row r="865" spans="1:3" x14ac:dyDescent="0.3">
      <c r="A865" s="8">
        <v>44831</v>
      </c>
      <c r="B865" s="5" t="s">
        <v>63</v>
      </c>
      <c r="C865" s="6">
        <v>147.54452514648401</v>
      </c>
    </row>
    <row r="866" spans="1:3" x14ac:dyDescent="0.3">
      <c r="A866" s="8">
        <v>44832</v>
      </c>
      <c r="B866" s="5" t="s">
        <v>63</v>
      </c>
      <c r="C866" s="6">
        <v>154.89839172363199</v>
      </c>
    </row>
    <row r="867" spans="1:3" x14ac:dyDescent="0.3">
      <c r="A867" s="8">
        <v>44833</v>
      </c>
      <c r="B867" s="5" t="s">
        <v>63</v>
      </c>
      <c r="C867" s="6">
        <v>150.843826293945</v>
      </c>
    </row>
    <row r="868" spans="1:3" x14ac:dyDescent="0.3">
      <c r="A868" s="8">
        <v>44834</v>
      </c>
      <c r="B868" s="5" t="s">
        <v>63</v>
      </c>
      <c r="C868" s="6">
        <v>147.46502685546801</v>
      </c>
    </row>
    <row r="869" spans="1:3" x14ac:dyDescent="0.3">
      <c r="A869" s="8">
        <v>44837</v>
      </c>
      <c r="B869" s="5" t="s">
        <v>63</v>
      </c>
      <c r="C869" s="6">
        <v>150.843826293945</v>
      </c>
    </row>
    <row r="870" spans="1:3" x14ac:dyDescent="0.3">
      <c r="A870" s="8">
        <v>44838</v>
      </c>
      <c r="B870" s="5" t="s">
        <v>63</v>
      </c>
      <c r="C870" s="6">
        <v>155.98161315917901</v>
      </c>
    </row>
    <row r="871" spans="1:3" x14ac:dyDescent="0.3">
      <c r="A871" s="8">
        <v>44839</v>
      </c>
      <c r="B871" s="5" t="s">
        <v>63</v>
      </c>
      <c r="C871" s="6">
        <v>155.43504333496</v>
      </c>
    </row>
    <row r="872" spans="1:3" x14ac:dyDescent="0.3">
      <c r="A872" s="8">
        <v>44840</v>
      </c>
      <c r="B872" s="5" t="s">
        <v>63</v>
      </c>
      <c r="C872" s="6">
        <v>154.77914428710901</v>
      </c>
    </row>
    <row r="873" spans="1:3" x14ac:dyDescent="0.3">
      <c r="A873" s="8">
        <v>44841</v>
      </c>
      <c r="B873" s="5" t="s">
        <v>63</v>
      </c>
      <c r="C873" s="6">
        <v>151.39039611816401</v>
      </c>
    </row>
    <row r="874" spans="1:3" x14ac:dyDescent="0.3">
      <c r="A874" s="8">
        <v>44844</v>
      </c>
      <c r="B874" s="5" t="s">
        <v>63</v>
      </c>
      <c r="C874" s="6">
        <v>152.14567565917901</v>
      </c>
    </row>
    <row r="875" spans="1:3" x14ac:dyDescent="0.3">
      <c r="A875" s="8">
        <v>44845</v>
      </c>
      <c r="B875" s="5" t="s">
        <v>63</v>
      </c>
      <c r="C875" s="6">
        <v>153.53694152832</v>
      </c>
    </row>
    <row r="876" spans="1:3" x14ac:dyDescent="0.3">
      <c r="A876" s="8">
        <v>44846</v>
      </c>
      <c r="B876" s="5" t="s">
        <v>63</v>
      </c>
      <c r="C876" s="6">
        <v>153.19906616210901</v>
      </c>
    </row>
    <row r="877" spans="1:3" x14ac:dyDescent="0.3">
      <c r="A877" s="8">
        <v>44847</v>
      </c>
      <c r="B877" s="5" t="s">
        <v>63</v>
      </c>
      <c r="C877" s="6">
        <v>153.15930175781199</v>
      </c>
    </row>
    <row r="878" spans="1:3" x14ac:dyDescent="0.3">
      <c r="A878" s="8">
        <v>44848</v>
      </c>
      <c r="B878" s="5" t="s">
        <v>63</v>
      </c>
      <c r="C878" s="6">
        <v>144.78186035156199</v>
      </c>
    </row>
    <row r="879" spans="1:3" x14ac:dyDescent="0.3">
      <c r="A879" s="8">
        <v>44851</v>
      </c>
      <c r="B879" s="5" t="s">
        <v>63</v>
      </c>
      <c r="C879" s="6">
        <v>148.31967163085901</v>
      </c>
    </row>
    <row r="880" spans="1:3" x14ac:dyDescent="0.3">
      <c r="A880" s="8">
        <v>44852</v>
      </c>
      <c r="B880" s="5" t="s">
        <v>63</v>
      </c>
      <c r="C880" s="6">
        <v>156.24992370605401</v>
      </c>
    </row>
    <row r="881" spans="1:3" x14ac:dyDescent="0.3">
      <c r="A881" s="8">
        <v>44853</v>
      </c>
      <c r="B881" s="5" t="s">
        <v>63</v>
      </c>
      <c r="C881" s="6">
        <v>154.42138671875</v>
      </c>
    </row>
    <row r="882" spans="1:3" x14ac:dyDescent="0.3">
      <c r="A882" s="8">
        <v>44854</v>
      </c>
      <c r="B882" s="5" t="s">
        <v>63</v>
      </c>
      <c r="C882" s="6">
        <v>153.43756103515599</v>
      </c>
    </row>
    <row r="883" spans="1:3" x14ac:dyDescent="0.3">
      <c r="A883" s="8">
        <v>44855</v>
      </c>
      <c r="B883" s="5" t="s">
        <v>63</v>
      </c>
      <c r="C883" s="6">
        <v>158.19770812988199</v>
      </c>
    </row>
    <row r="884" spans="1:3" x14ac:dyDescent="0.3">
      <c r="A884" s="8">
        <v>44858</v>
      </c>
      <c r="B884" s="5" t="s">
        <v>63</v>
      </c>
      <c r="C884" s="6">
        <v>160.81132507324199</v>
      </c>
    </row>
    <row r="885" spans="1:3" x14ac:dyDescent="0.3">
      <c r="A885" s="8">
        <v>44859</v>
      </c>
      <c r="B885" s="5" t="s">
        <v>63</v>
      </c>
      <c r="C885" s="6">
        <v>164.766510009765</v>
      </c>
    </row>
    <row r="886" spans="1:3" x14ac:dyDescent="0.3">
      <c r="A886" s="8">
        <v>44860</v>
      </c>
      <c r="B886" s="5" t="s">
        <v>63</v>
      </c>
      <c r="C886" s="6">
        <v>165.73045349121</v>
      </c>
    </row>
    <row r="887" spans="1:3" x14ac:dyDescent="0.3">
      <c r="A887" s="8">
        <v>44861</v>
      </c>
      <c r="B887" s="5" t="s">
        <v>63</v>
      </c>
      <c r="C887" s="6">
        <v>165.85963439941401</v>
      </c>
    </row>
    <row r="888" spans="1:3" x14ac:dyDescent="0.3">
      <c r="A888" s="8">
        <v>44862</v>
      </c>
      <c r="B888" s="5" t="s">
        <v>63</v>
      </c>
      <c r="C888" s="6">
        <v>166.47578430175699</v>
      </c>
    </row>
    <row r="889" spans="1:3" x14ac:dyDescent="0.3">
      <c r="A889" s="8">
        <v>44865</v>
      </c>
      <c r="B889" s="5" t="s">
        <v>63</v>
      </c>
      <c r="C889" s="6">
        <v>163.22616577148401</v>
      </c>
    </row>
    <row r="890" spans="1:3" x14ac:dyDescent="0.3">
      <c r="A890" s="8">
        <v>44866</v>
      </c>
      <c r="B890" s="5" t="s">
        <v>63</v>
      </c>
      <c r="C890" s="6">
        <v>163.564041137695</v>
      </c>
    </row>
    <row r="891" spans="1:3" x14ac:dyDescent="0.3">
      <c r="A891" s="8">
        <v>44867</v>
      </c>
      <c r="B891" s="5" t="s">
        <v>63</v>
      </c>
      <c r="C891" s="6">
        <v>159.201400756835</v>
      </c>
    </row>
    <row r="892" spans="1:3" x14ac:dyDescent="0.3">
      <c r="A892" s="8">
        <v>44868</v>
      </c>
      <c r="B892" s="5" t="s">
        <v>63</v>
      </c>
      <c r="C892" s="6">
        <v>158.80390930175699</v>
      </c>
    </row>
    <row r="893" spans="1:3" x14ac:dyDescent="0.3">
      <c r="A893" s="8">
        <v>44869</v>
      </c>
      <c r="B893" s="5" t="s">
        <v>63</v>
      </c>
      <c r="C893" s="6">
        <v>158.63496398925699</v>
      </c>
    </row>
    <row r="894" spans="1:3" x14ac:dyDescent="0.3">
      <c r="A894" s="8">
        <v>44872</v>
      </c>
      <c r="B894" s="5" t="s">
        <v>63</v>
      </c>
      <c r="C894" s="6">
        <v>158.87345886230401</v>
      </c>
    </row>
    <row r="895" spans="1:3" x14ac:dyDescent="0.3">
      <c r="A895" s="8">
        <v>44873</v>
      </c>
      <c r="B895" s="5" t="s">
        <v>63</v>
      </c>
      <c r="C895" s="6">
        <v>160.612548828125</v>
      </c>
    </row>
    <row r="896" spans="1:3" x14ac:dyDescent="0.3">
      <c r="A896" s="8">
        <v>44874</v>
      </c>
      <c r="B896" s="5" t="s">
        <v>63</v>
      </c>
      <c r="C896" s="6">
        <v>152.036361694335</v>
      </c>
    </row>
    <row r="897" spans="1:3" x14ac:dyDescent="0.3">
      <c r="A897" s="8">
        <v>44875</v>
      </c>
      <c r="B897" s="5" t="s">
        <v>63</v>
      </c>
      <c r="C897" s="6">
        <v>163.35536193847599</v>
      </c>
    </row>
    <row r="898" spans="1:3" x14ac:dyDescent="0.3">
      <c r="A898" s="8">
        <v>44876</v>
      </c>
      <c r="B898" s="5" t="s">
        <v>63</v>
      </c>
      <c r="C898" s="6">
        <v>172.23963928222599</v>
      </c>
    </row>
    <row r="899" spans="1:3" x14ac:dyDescent="0.3">
      <c r="A899" s="8">
        <v>44879</v>
      </c>
      <c r="B899" s="5" t="s">
        <v>63</v>
      </c>
      <c r="C899" s="6">
        <v>172.17999267578099</v>
      </c>
    </row>
    <row r="900" spans="1:3" x14ac:dyDescent="0.3">
      <c r="A900" s="8">
        <v>44880</v>
      </c>
      <c r="B900" s="5" t="s">
        <v>63</v>
      </c>
      <c r="C900" s="6">
        <v>178.97999572753901</v>
      </c>
    </row>
    <row r="901" spans="1:3" x14ac:dyDescent="0.3">
      <c r="A901" s="8">
        <v>44881</v>
      </c>
      <c r="B901" s="5" t="s">
        <v>63</v>
      </c>
      <c r="C901" s="6">
        <v>155.47000122070301</v>
      </c>
    </row>
    <row r="902" spans="1:3" x14ac:dyDescent="0.3">
      <c r="A902" s="8">
        <v>44740</v>
      </c>
      <c r="B902" s="5" t="s">
        <v>64</v>
      </c>
      <c r="C902" s="6">
        <v>112.57150268554599</v>
      </c>
    </row>
    <row r="903" spans="1:3" x14ac:dyDescent="0.3">
      <c r="A903" s="8">
        <v>44741</v>
      </c>
      <c r="B903" s="5" t="s">
        <v>64</v>
      </c>
      <c r="C903" s="6">
        <v>112.25650024414</v>
      </c>
    </row>
    <row r="904" spans="1:3" x14ac:dyDescent="0.3">
      <c r="A904" s="8">
        <v>44742</v>
      </c>
      <c r="B904" s="5" t="s">
        <v>64</v>
      </c>
      <c r="C904" s="6">
        <v>109.372497558593</v>
      </c>
    </row>
    <row r="905" spans="1:3" x14ac:dyDescent="0.3">
      <c r="A905" s="8">
        <v>44743</v>
      </c>
      <c r="B905" s="5" t="s">
        <v>64</v>
      </c>
      <c r="C905" s="6">
        <v>109.081001281738</v>
      </c>
    </row>
    <row r="906" spans="1:3" x14ac:dyDescent="0.3">
      <c r="A906" s="8">
        <v>44747</v>
      </c>
      <c r="B906" s="5" t="s">
        <v>64</v>
      </c>
      <c r="C906" s="6">
        <v>113.887001037597</v>
      </c>
    </row>
    <row r="907" spans="1:3" x14ac:dyDescent="0.3">
      <c r="A907" s="8">
        <v>44748</v>
      </c>
      <c r="B907" s="5" t="s">
        <v>64</v>
      </c>
      <c r="C907" s="6">
        <v>115.213500976562</v>
      </c>
    </row>
    <row r="908" spans="1:3" x14ac:dyDescent="0.3">
      <c r="A908" s="8">
        <v>44749</v>
      </c>
      <c r="B908" s="5" t="s">
        <v>64</v>
      </c>
      <c r="C908" s="6">
        <v>119.30599975585901</v>
      </c>
    </row>
    <row r="909" spans="1:3" x14ac:dyDescent="0.3">
      <c r="A909" s="8">
        <v>44750</v>
      </c>
      <c r="B909" s="5" t="s">
        <v>64</v>
      </c>
      <c r="C909" s="6">
        <v>120.168502807617</v>
      </c>
    </row>
    <row r="910" spans="1:3" x14ac:dyDescent="0.3">
      <c r="A910" s="8">
        <v>44753</v>
      </c>
      <c r="B910" s="5" t="s">
        <v>64</v>
      </c>
      <c r="C910" s="6">
        <v>116.522499084472</v>
      </c>
    </row>
    <row r="911" spans="1:3" x14ac:dyDescent="0.3">
      <c r="A911" s="8">
        <v>44754</v>
      </c>
      <c r="B911" s="5" t="s">
        <v>64</v>
      </c>
      <c r="C911" s="6">
        <v>114.84950256347599</v>
      </c>
    </row>
    <row r="912" spans="1:3" x14ac:dyDescent="0.3">
      <c r="A912" s="8">
        <v>44755</v>
      </c>
      <c r="B912" s="5" t="s">
        <v>64</v>
      </c>
      <c r="C912" s="6">
        <v>112.18699645996</v>
      </c>
    </row>
    <row r="913" spans="1:3" x14ac:dyDescent="0.3">
      <c r="A913" s="8">
        <v>44756</v>
      </c>
      <c r="B913" s="5" t="s">
        <v>64</v>
      </c>
      <c r="C913" s="6">
        <v>111.44000244140599</v>
      </c>
    </row>
    <row r="914" spans="1:3" x14ac:dyDescent="0.3">
      <c r="A914" s="8">
        <v>44757</v>
      </c>
      <c r="B914" s="5" t="s">
        <v>64</v>
      </c>
      <c r="C914" s="6">
        <v>112.766998291015</v>
      </c>
    </row>
    <row r="915" spans="1:3" x14ac:dyDescent="0.3">
      <c r="A915" s="8">
        <v>44760</v>
      </c>
      <c r="B915" s="5" t="s">
        <v>64</v>
      </c>
      <c r="C915" s="6">
        <v>109.91000366210901</v>
      </c>
    </row>
    <row r="916" spans="1:3" x14ac:dyDescent="0.3">
      <c r="A916" s="8">
        <v>44761</v>
      </c>
      <c r="B916" s="5" t="s">
        <v>64</v>
      </c>
      <c r="C916" s="6">
        <v>114.620002746582</v>
      </c>
    </row>
    <row r="917" spans="1:3" x14ac:dyDescent="0.3">
      <c r="A917" s="8">
        <v>44762</v>
      </c>
      <c r="B917" s="5" t="s">
        <v>64</v>
      </c>
      <c r="C917" s="6">
        <v>114.699996948242</v>
      </c>
    </row>
    <row r="918" spans="1:3" x14ac:dyDescent="0.3">
      <c r="A918" s="8">
        <v>44763</v>
      </c>
      <c r="B918" s="5" t="s">
        <v>64</v>
      </c>
      <c r="C918" s="6">
        <v>115.040000915527</v>
      </c>
    </row>
    <row r="919" spans="1:3" x14ac:dyDescent="0.3">
      <c r="A919" s="8">
        <v>44764</v>
      </c>
      <c r="B919" s="5" t="s">
        <v>64</v>
      </c>
      <c r="C919" s="6">
        <v>108.36000061035099</v>
      </c>
    </row>
    <row r="920" spans="1:3" x14ac:dyDescent="0.3">
      <c r="A920" s="8">
        <v>44767</v>
      </c>
      <c r="B920" s="5" t="s">
        <v>64</v>
      </c>
      <c r="C920" s="6">
        <v>108.209999084472</v>
      </c>
    </row>
    <row r="921" spans="1:3" x14ac:dyDescent="0.3">
      <c r="A921" s="8">
        <v>44768</v>
      </c>
      <c r="B921" s="5" t="s">
        <v>64</v>
      </c>
      <c r="C921" s="6">
        <v>105.44000244140599</v>
      </c>
    </row>
    <row r="922" spans="1:3" x14ac:dyDescent="0.3">
      <c r="A922" s="8">
        <v>44769</v>
      </c>
      <c r="B922" s="5" t="s">
        <v>64</v>
      </c>
      <c r="C922" s="6">
        <v>113.59999847412099</v>
      </c>
    </row>
    <row r="923" spans="1:3" x14ac:dyDescent="0.3">
      <c r="A923" s="8">
        <v>44770</v>
      </c>
      <c r="B923" s="5" t="s">
        <v>64</v>
      </c>
      <c r="C923" s="6">
        <v>114.58999633789</v>
      </c>
    </row>
    <row r="924" spans="1:3" x14ac:dyDescent="0.3">
      <c r="A924" s="8">
        <v>44771</v>
      </c>
      <c r="B924" s="5" t="s">
        <v>64</v>
      </c>
      <c r="C924" s="6">
        <v>116.639999389648</v>
      </c>
    </row>
    <row r="925" spans="1:3" x14ac:dyDescent="0.3">
      <c r="A925" s="8">
        <v>44774</v>
      </c>
      <c r="B925" s="5" t="s">
        <v>64</v>
      </c>
      <c r="C925" s="6">
        <v>115.480003356933</v>
      </c>
    </row>
    <row r="926" spans="1:3" x14ac:dyDescent="0.3">
      <c r="A926" s="8">
        <v>44775</v>
      </c>
      <c r="B926" s="5" t="s">
        <v>64</v>
      </c>
      <c r="C926" s="6">
        <v>115.900001525878</v>
      </c>
    </row>
    <row r="927" spans="1:3" x14ac:dyDescent="0.3">
      <c r="A927" s="8">
        <v>44776</v>
      </c>
      <c r="B927" s="5" t="s">
        <v>64</v>
      </c>
      <c r="C927" s="6">
        <v>118.77999877929599</v>
      </c>
    </row>
    <row r="928" spans="1:3" x14ac:dyDescent="0.3">
      <c r="A928" s="8">
        <v>44777</v>
      </c>
      <c r="B928" s="5" t="s">
        <v>64</v>
      </c>
      <c r="C928" s="6">
        <v>118.870002746582</v>
      </c>
    </row>
    <row r="929" spans="1:3" x14ac:dyDescent="0.3">
      <c r="A929" s="8">
        <v>44778</v>
      </c>
      <c r="B929" s="5" t="s">
        <v>64</v>
      </c>
      <c r="C929" s="6">
        <v>118.220001220703</v>
      </c>
    </row>
    <row r="930" spans="1:3" x14ac:dyDescent="0.3">
      <c r="A930" s="8">
        <v>44781</v>
      </c>
      <c r="B930" s="5" t="s">
        <v>64</v>
      </c>
      <c r="C930" s="6">
        <v>118.139999389648</v>
      </c>
    </row>
    <row r="931" spans="1:3" x14ac:dyDescent="0.3">
      <c r="A931" s="8">
        <v>44782</v>
      </c>
      <c r="B931" s="5" t="s">
        <v>64</v>
      </c>
      <c r="C931" s="6">
        <v>117.5</v>
      </c>
    </row>
    <row r="932" spans="1:3" x14ac:dyDescent="0.3">
      <c r="A932" s="8">
        <v>44783</v>
      </c>
      <c r="B932" s="5" t="s">
        <v>64</v>
      </c>
      <c r="C932" s="6">
        <v>120.650001525878</v>
      </c>
    </row>
    <row r="933" spans="1:3" x14ac:dyDescent="0.3">
      <c r="A933" s="8">
        <v>44784</v>
      </c>
      <c r="B933" s="5" t="s">
        <v>64</v>
      </c>
      <c r="C933" s="6">
        <v>119.81999969482401</v>
      </c>
    </row>
    <row r="934" spans="1:3" x14ac:dyDescent="0.3">
      <c r="A934" s="8">
        <v>44785</v>
      </c>
      <c r="B934" s="5" t="s">
        <v>64</v>
      </c>
      <c r="C934" s="6">
        <v>122.650001525878</v>
      </c>
    </row>
    <row r="935" spans="1:3" x14ac:dyDescent="0.3">
      <c r="A935" s="8">
        <v>44788</v>
      </c>
      <c r="B935" s="5" t="s">
        <v>64</v>
      </c>
      <c r="C935" s="6">
        <v>122.879997253417</v>
      </c>
    </row>
    <row r="936" spans="1:3" x14ac:dyDescent="0.3">
      <c r="A936" s="8">
        <v>44789</v>
      </c>
      <c r="B936" s="5" t="s">
        <v>64</v>
      </c>
      <c r="C936" s="6">
        <v>122.51000213623</v>
      </c>
    </row>
    <row r="937" spans="1:3" x14ac:dyDescent="0.3">
      <c r="A937" s="8">
        <v>44790</v>
      </c>
      <c r="B937" s="5" t="s">
        <v>64</v>
      </c>
      <c r="C937" s="6">
        <v>120.31999969482401</v>
      </c>
    </row>
    <row r="938" spans="1:3" x14ac:dyDescent="0.3">
      <c r="A938" s="8">
        <v>44791</v>
      </c>
      <c r="B938" s="5" t="s">
        <v>64</v>
      </c>
      <c r="C938" s="6">
        <v>120.86000061035099</v>
      </c>
    </row>
    <row r="939" spans="1:3" x14ac:dyDescent="0.3">
      <c r="A939" s="8">
        <v>44792</v>
      </c>
      <c r="B939" s="5" t="s">
        <v>64</v>
      </c>
      <c r="C939" s="6">
        <v>118.120002746582</v>
      </c>
    </row>
    <row r="940" spans="1:3" x14ac:dyDescent="0.3">
      <c r="A940" s="8">
        <v>44795</v>
      </c>
      <c r="B940" s="5" t="s">
        <v>64</v>
      </c>
      <c r="C940" s="6">
        <v>115.06999969482401</v>
      </c>
    </row>
    <row r="941" spans="1:3" x14ac:dyDescent="0.3">
      <c r="A941" s="8">
        <v>44796</v>
      </c>
      <c r="B941" s="5" t="s">
        <v>64</v>
      </c>
      <c r="C941" s="6">
        <v>114.76999664306599</v>
      </c>
    </row>
    <row r="942" spans="1:3" x14ac:dyDescent="0.3">
      <c r="A942" s="8">
        <v>44797</v>
      </c>
      <c r="B942" s="5" t="s">
        <v>64</v>
      </c>
      <c r="C942" s="6">
        <v>114.699996948242</v>
      </c>
    </row>
    <row r="943" spans="1:3" x14ac:dyDescent="0.3">
      <c r="A943" s="8">
        <v>44798</v>
      </c>
      <c r="B943" s="5" t="s">
        <v>64</v>
      </c>
      <c r="C943" s="6">
        <v>117.699996948242</v>
      </c>
    </row>
    <row r="944" spans="1:3" x14ac:dyDescent="0.3">
      <c r="A944" s="8">
        <v>44799</v>
      </c>
      <c r="B944" s="5" t="s">
        <v>64</v>
      </c>
      <c r="C944" s="6">
        <v>111.300003051757</v>
      </c>
    </row>
    <row r="945" spans="1:3" x14ac:dyDescent="0.3">
      <c r="A945" s="8">
        <v>44802</v>
      </c>
      <c r="B945" s="5" t="s">
        <v>64</v>
      </c>
      <c r="C945" s="6">
        <v>110.33999633789</v>
      </c>
    </row>
    <row r="946" spans="1:3" x14ac:dyDescent="0.3">
      <c r="A946" s="8">
        <v>44803</v>
      </c>
      <c r="B946" s="5" t="s">
        <v>64</v>
      </c>
      <c r="C946" s="6">
        <v>109.91000366210901</v>
      </c>
    </row>
    <row r="947" spans="1:3" x14ac:dyDescent="0.3">
      <c r="A947" s="8">
        <v>44804</v>
      </c>
      <c r="B947" s="5" t="s">
        <v>64</v>
      </c>
      <c r="C947" s="6">
        <v>109.150001525878</v>
      </c>
    </row>
    <row r="948" spans="1:3" x14ac:dyDescent="0.3">
      <c r="A948" s="8">
        <v>44805</v>
      </c>
      <c r="B948" s="5" t="s">
        <v>64</v>
      </c>
      <c r="C948" s="6">
        <v>110.550003051757</v>
      </c>
    </row>
    <row r="949" spans="1:3" x14ac:dyDescent="0.3">
      <c r="A949" s="8">
        <v>44806</v>
      </c>
      <c r="B949" s="5" t="s">
        <v>64</v>
      </c>
      <c r="C949" s="6">
        <v>108.680000305175</v>
      </c>
    </row>
    <row r="950" spans="1:3" x14ac:dyDescent="0.3">
      <c r="A950" s="8">
        <v>44810</v>
      </c>
      <c r="B950" s="5" t="s">
        <v>64</v>
      </c>
      <c r="C950" s="6">
        <v>107.480003356933</v>
      </c>
    </row>
    <row r="951" spans="1:3" x14ac:dyDescent="0.3">
      <c r="A951" s="8">
        <v>44811</v>
      </c>
      <c r="B951" s="5" t="s">
        <v>64</v>
      </c>
      <c r="C951" s="6">
        <v>110.480003356933</v>
      </c>
    </row>
    <row r="952" spans="1:3" x14ac:dyDescent="0.3">
      <c r="A952" s="8">
        <v>44812</v>
      </c>
      <c r="B952" s="5" t="s">
        <v>64</v>
      </c>
      <c r="C952" s="6">
        <v>109.419998168945</v>
      </c>
    </row>
    <row r="953" spans="1:3" x14ac:dyDescent="0.3">
      <c r="A953" s="8">
        <v>44813</v>
      </c>
      <c r="B953" s="5" t="s">
        <v>64</v>
      </c>
      <c r="C953" s="6">
        <v>111.77999877929599</v>
      </c>
    </row>
    <row r="954" spans="1:3" x14ac:dyDescent="0.3">
      <c r="A954" s="8">
        <v>44816</v>
      </c>
      <c r="B954" s="5" t="s">
        <v>64</v>
      </c>
      <c r="C954" s="6">
        <v>111.870002746582</v>
      </c>
    </row>
    <row r="955" spans="1:3" x14ac:dyDescent="0.3">
      <c r="A955" s="8">
        <v>44817</v>
      </c>
      <c r="B955" s="5" t="s">
        <v>64</v>
      </c>
      <c r="C955" s="6">
        <v>105.309997558593</v>
      </c>
    </row>
    <row r="956" spans="1:3" x14ac:dyDescent="0.3">
      <c r="A956" s="8">
        <v>44818</v>
      </c>
      <c r="B956" s="5" t="s">
        <v>64</v>
      </c>
      <c r="C956" s="6">
        <v>105.870002746582</v>
      </c>
    </row>
    <row r="957" spans="1:3" x14ac:dyDescent="0.3">
      <c r="A957" s="8">
        <v>44819</v>
      </c>
      <c r="B957" s="5" t="s">
        <v>64</v>
      </c>
      <c r="C957" s="6">
        <v>103.900001525878</v>
      </c>
    </row>
    <row r="958" spans="1:3" x14ac:dyDescent="0.3">
      <c r="A958" s="8">
        <v>44820</v>
      </c>
      <c r="B958" s="5" t="s">
        <v>64</v>
      </c>
      <c r="C958" s="6">
        <v>103.629997253417</v>
      </c>
    </row>
    <row r="959" spans="1:3" x14ac:dyDescent="0.3">
      <c r="A959" s="8">
        <v>44823</v>
      </c>
      <c r="B959" s="5" t="s">
        <v>64</v>
      </c>
      <c r="C959" s="6">
        <v>103.84999847412099</v>
      </c>
    </row>
    <row r="960" spans="1:3" x14ac:dyDescent="0.3">
      <c r="A960" s="8">
        <v>44824</v>
      </c>
      <c r="B960" s="5" t="s">
        <v>64</v>
      </c>
      <c r="C960" s="6">
        <v>101.83000183105401</v>
      </c>
    </row>
    <row r="961" spans="1:3" x14ac:dyDescent="0.3">
      <c r="A961" s="8">
        <v>44825</v>
      </c>
      <c r="B961" s="5" t="s">
        <v>64</v>
      </c>
      <c r="C961" s="6">
        <v>100.01000213623</v>
      </c>
    </row>
    <row r="962" spans="1:3" x14ac:dyDescent="0.3">
      <c r="A962" s="8">
        <v>44826</v>
      </c>
      <c r="B962" s="5" t="s">
        <v>64</v>
      </c>
      <c r="C962" s="6">
        <v>100.56999969482401</v>
      </c>
    </row>
    <row r="963" spans="1:3" x14ac:dyDescent="0.3">
      <c r="A963" s="8">
        <v>44827</v>
      </c>
      <c r="B963" s="5" t="s">
        <v>64</v>
      </c>
      <c r="C963" s="6">
        <v>99.169998168945298</v>
      </c>
    </row>
    <row r="964" spans="1:3" x14ac:dyDescent="0.3">
      <c r="A964" s="8">
        <v>44830</v>
      </c>
      <c r="B964" s="5" t="s">
        <v>64</v>
      </c>
      <c r="C964" s="6">
        <v>98.809997558593693</v>
      </c>
    </row>
    <row r="965" spans="1:3" x14ac:dyDescent="0.3">
      <c r="A965" s="8">
        <v>44831</v>
      </c>
      <c r="B965" s="5" t="s">
        <v>64</v>
      </c>
      <c r="C965" s="6">
        <v>98.089996337890597</v>
      </c>
    </row>
    <row r="966" spans="1:3" x14ac:dyDescent="0.3">
      <c r="A966" s="8">
        <v>44832</v>
      </c>
      <c r="B966" s="5" t="s">
        <v>64</v>
      </c>
      <c r="C966" s="6">
        <v>100.73999786376901</v>
      </c>
    </row>
    <row r="967" spans="1:3" x14ac:dyDescent="0.3">
      <c r="A967" s="8">
        <v>44833</v>
      </c>
      <c r="B967" s="5" t="s">
        <v>64</v>
      </c>
      <c r="C967" s="6">
        <v>98.089996337890597</v>
      </c>
    </row>
    <row r="968" spans="1:3" x14ac:dyDescent="0.3">
      <c r="A968" s="8">
        <v>44834</v>
      </c>
      <c r="B968" s="5" t="s">
        <v>64</v>
      </c>
      <c r="C968" s="6">
        <v>96.150001525878906</v>
      </c>
    </row>
    <row r="969" spans="1:3" x14ac:dyDescent="0.3">
      <c r="A969" s="8">
        <v>44837</v>
      </c>
      <c r="B969" s="5" t="s">
        <v>64</v>
      </c>
      <c r="C969" s="6">
        <v>99.300003051757798</v>
      </c>
    </row>
    <row r="970" spans="1:3" x14ac:dyDescent="0.3">
      <c r="A970" s="8">
        <v>44838</v>
      </c>
      <c r="B970" s="5" t="s">
        <v>64</v>
      </c>
      <c r="C970" s="6">
        <v>102.41000366210901</v>
      </c>
    </row>
    <row r="971" spans="1:3" x14ac:dyDescent="0.3">
      <c r="A971" s="8">
        <v>44839</v>
      </c>
      <c r="B971" s="5" t="s">
        <v>64</v>
      </c>
      <c r="C971" s="6">
        <v>102.220001220703</v>
      </c>
    </row>
    <row r="972" spans="1:3" x14ac:dyDescent="0.3">
      <c r="A972" s="8">
        <v>44840</v>
      </c>
      <c r="B972" s="5" t="s">
        <v>64</v>
      </c>
      <c r="C972" s="6">
        <v>102.23999786376901</v>
      </c>
    </row>
    <row r="973" spans="1:3" x14ac:dyDescent="0.3">
      <c r="A973" s="8">
        <v>44841</v>
      </c>
      <c r="B973" s="5" t="s">
        <v>64</v>
      </c>
      <c r="C973" s="6">
        <v>99.569999694824205</v>
      </c>
    </row>
    <row r="974" spans="1:3" x14ac:dyDescent="0.3">
      <c r="A974" s="8">
        <v>44844</v>
      </c>
      <c r="B974" s="5" t="s">
        <v>64</v>
      </c>
      <c r="C974" s="6">
        <v>98.709999084472599</v>
      </c>
    </row>
    <row r="975" spans="1:3" x14ac:dyDescent="0.3">
      <c r="A975" s="8">
        <v>44845</v>
      </c>
      <c r="B975" s="5" t="s">
        <v>64</v>
      </c>
      <c r="C975" s="6">
        <v>98.050003051757798</v>
      </c>
    </row>
    <row r="976" spans="1:3" x14ac:dyDescent="0.3">
      <c r="A976" s="8">
        <v>44846</v>
      </c>
      <c r="B976" s="5" t="s">
        <v>64</v>
      </c>
      <c r="C976" s="6">
        <v>98.300003051757798</v>
      </c>
    </row>
    <row r="977" spans="1:3" x14ac:dyDescent="0.3">
      <c r="A977" s="8">
        <v>44847</v>
      </c>
      <c r="B977" s="5" t="s">
        <v>64</v>
      </c>
      <c r="C977" s="6">
        <v>99.709999084472599</v>
      </c>
    </row>
    <row r="978" spans="1:3" x14ac:dyDescent="0.3">
      <c r="A978" s="8">
        <v>44848</v>
      </c>
      <c r="B978" s="5" t="s">
        <v>64</v>
      </c>
      <c r="C978" s="6">
        <v>97.180000305175696</v>
      </c>
    </row>
    <row r="979" spans="1:3" x14ac:dyDescent="0.3">
      <c r="A979" s="8">
        <v>44851</v>
      </c>
      <c r="B979" s="5" t="s">
        <v>64</v>
      </c>
      <c r="C979" s="6">
        <v>100.77999877929599</v>
      </c>
    </row>
    <row r="980" spans="1:3" x14ac:dyDescent="0.3">
      <c r="A980" s="8">
        <v>44852</v>
      </c>
      <c r="B980" s="5" t="s">
        <v>64</v>
      </c>
      <c r="C980" s="6">
        <v>101.389999389648</v>
      </c>
    </row>
    <row r="981" spans="1:3" x14ac:dyDescent="0.3">
      <c r="A981" s="8">
        <v>44853</v>
      </c>
      <c r="B981" s="5" t="s">
        <v>64</v>
      </c>
      <c r="C981" s="6">
        <v>100.290000915527</v>
      </c>
    </row>
    <row r="982" spans="1:3" x14ac:dyDescent="0.3">
      <c r="A982" s="8">
        <v>44854</v>
      </c>
      <c r="B982" s="5" t="s">
        <v>64</v>
      </c>
      <c r="C982" s="6">
        <v>100.52999877929599</v>
      </c>
    </row>
    <row r="983" spans="1:3" x14ac:dyDescent="0.3">
      <c r="A983" s="8">
        <v>44855</v>
      </c>
      <c r="B983" s="5" t="s">
        <v>64</v>
      </c>
      <c r="C983" s="6">
        <v>101.480003356933</v>
      </c>
    </row>
    <row r="984" spans="1:3" x14ac:dyDescent="0.3">
      <c r="A984" s="8">
        <v>44858</v>
      </c>
      <c r="B984" s="5" t="s">
        <v>64</v>
      </c>
      <c r="C984" s="6">
        <v>102.970001220703</v>
      </c>
    </row>
    <row r="985" spans="1:3" x14ac:dyDescent="0.3">
      <c r="A985" s="8">
        <v>44859</v>
      </c>
      <c r="B985" s="5" t="s">
        <v>64</v>
      </c>
      <c r="C985" s="6">
        <v>104.930000305175</v>
      </c>
    </row>
    <row r="986" spans="1:3" x14ac:dyDescent="0.3">
      <c r="A986" s="8">
        <v>44860</v>
      </c>
      <c r="B986" s="5" t="s">
        <v>64</v>
      </c>
      <c r="C986" s="6">
        <v>94.819999694824205</v>
      </c>
    </row>
    <row r="987" spans="1:3" x14ac:dyDescent="0.3">
      <c r="A987" s="8">
        <v>44861</v>
      </c>
      <c r="B987" s="5" t="s">
        <v>64</v>
      </c>
      <c r="C987" s="6">
        <v>92.599998474121094</v>
      </c>
    </row>
    <row r="988" spans="1:3" x14ac:dyDescent="0.3">
      <c r="A988" s="8">
        <v>44862</v>
      </c>
      <c r="B988" s="5" t="s">
        <v>64</v>
      </c>
      <c r="C988" s="6">
        <v>96.580001831054602</v>
      </c>
    </row>
    <row r="989" spans="1:3" x14ac:dyDescent="0.3">
      <c r="A989" s="8">
        <v>44865</v>
      </c>
      <c r="B989" s="5" t="s">
        <v>64</v>
      </c>
      <c r="C989" s="6">
        <v>94.660003662109304</v>
      </c>
    </row>
    <row r="990" spans="1:3" x14ac:dyDescent="0.3">
      <c r="A990" s="8">
        <v>44866</v>
      </c>
      <c r="B990" s="5" t="s">
        <v>64</v>
      </c>
      <c r="C990" s="6">
        <v>90.5</v>
      </c>
    </row>
    <row r="991" spans="1:3" x14ac:dyDescent="0.3">
      <c r="A991" s="8">
        <v>44867</v>
      </c>
      <c r="B991" s="5" t="s">
        <v>64</v>
      </c>
      <c r="C991" s="6">
        <v>87.069999694824205</v>
      </c>
    </row>
    <row r="992" spans="1:3" x14ac:dyDescent="0.3">
      <c r="A992" s="8">
        <v>44868</v>
      </c>
      <c r="B992" s="5" t="s">
        <v>64</v>
      </c>
      <c r="C992" s="6">
        <v>83.489997863769503</v>
      </c>
    </row>
    <row r="993" spans="1:3" x14ac:dyDescent="0.3">
      <c r="A993" s="8">
        <v>44869</v>
      </c>
      <c r="B993" s="5" t="s">
        <v>64</v>
      </c>
      <c r="C993" s="6">
        <v>86.699996948242102</v>
      </c>
    </row>
    <row r="994" spans="1:3" x14ac:dyDescent="0.3">
      <c r="A994" s="8">
        <v>44872</v>
      </c>
      <c r="B994" s="5" t="s">
        <v>64</v>
      </c>
      <c r="C994" s="6">
        <v>88.650001525878906</v>
      </c>
    </row>
    <row r="995" spans="1:3" x14ac:dyDescent="0.3">
      <c r="A995" s="8">
        <v>44873</v>
      </c>
      <c r="B995" s="5" t="s">
        <v>64</v>
      </c>
      <c r="C995" s="6">
        <v>88.910003662109304</v>
      </c>
    </row>
    <row r="996" spans="1:3" x14ac:dyDescent="0.3">
      <c r="A996" s="8">
        <v>44874</v>
      </c>
      <c r="B996" s="5" t="s">
        <v>64</v>
      </c>
      <c r="C996" s="6">
        <v>87.400001525878906</v>
      </c>
    </row>
    <row r="997" spans="1:3" x14ac:dyDescent="0.3">
      <c r="A997" s="8">
        <v>44875</v>
      </c>
      <c r="B997" s="5" t="s">
        <v>64</v>
      </c>
      <c r="C997" s="6">
        <v>94.169998168945298</v>
      </c>
    </row>
    <row r="998" spans="1:3" x14ac:dyDescent="0.3">
      <c r="A998" s="8">
        <v>44876</v>
      </c>
      <c r="B998" s="5" t="s">
        <v>64</v>
      </c>
      <c r="C998" s="6">
        <v>96.730003356933594</v>
      </c>
    </row>
    <row r="999" spans="1:3" x14ac:dyDescent="0.3">
      <c r="A999" s="8">
        <v>44879</v>
      </c>
      <c r="B999" s="5" t="s">
        <v>64</v>
      </c>
      <c r="C999" s="6">
        <v>96.029998779296804</v>
      </c>
    </row>
    <row r="1000" spans="1:3" x14ac:dyDescent="0.3">
      <c r="A1000" s="8">
        <v>44880</v>
      </c>
      <c r="B1000" s="5" t="s">
        <v>64</v>
      </c>
      <c r="C1000" s="6">
        <v>98.720001220703097</v>
      </c>
    </row>
    <row r="1001" spans="1:3" x14ac:dyDescent="0.3">
      <c r="A1001" s="8">
        <v>44881</v>
      </c>
      <c r="B1001" s="5" t="s">
        <v>64</v>
      </c>
      <c r="C1001" s="6">
        <v>98.989997863769503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0805"/>
  <sheetViews>
    <sheetView topLeftCell="B1" zoomScale="130" zoomScaleNormal="130" workbookViewId="0">
      <selection activeCell="I89" sqref="I89"/>
    </sheetView>
  </sheetViews>
  <sheetFormatPr defaultRowHeight="14.4" x14ac:dyDescent="0.3"/>
  <cols>
    <col min="1" max="1" width="25.21875" customWidth="1"/>
    <col min="2" max="2" width="15.44140625" customWidth="1"/>
    <col min="7" max="7" width="16.88671875" customWidth="1"/>
    <col min="8" max="8" width="21.21875" customWidth="1"/>
    <col min="9" max="9" width="23.33203125" customWidth="1"/>
    <col min="10" max="10" width="15.21875" customWidth="1"/>
    <col min="11" max="11" width="18.5546875" customWidth="1"/>
  </cols>
  <sheetData>
    <row r="1" spans="1:11" x14ac:dyDescent="0.3">
      <c r="A1" t="s">
        <v>10</v>
      </c>
      <c r="G1" s="14" t="s">
        <v>68</v>
      </c>
      <c r="H1" s="14">
        <v>360</v>
      </c>
    </row>
    <row r="2" spans="1:11" x14ac:dyDescent="0.3">
      <c r="G2" s="4" t="s">
        <v>70</v>
      </c>
      <c r="J2" s="4" t="s">
        <v>70</v>
      </c>
    </row>
    <row r="3" spans="1:11" x14ac:dyDescent="0.3">
      <c r="A3" t="s">
        <v>40</v>
      </c>
      <c r="G3" s="16" t="str" cm="1">
        <f t="array" ref="G3">Interpolate_helper()</f>
        <v xml:space="preserve">oldRates is variant, a matrix of data input, freq is an integer </v>
      </c>
      <c r="J3" s="16" t="str" cm="1">
        <f t="array" ref="J3">ForwardRate_helper()</f>
        <v>freq is Double, date1 is string, date2 is string, rate1 is double, rate2 is double</v>
      </c>
    </row>
    <row r="5" spans="1:11" x14ac:dyDescent="0.3">
      <c r="A5" s="9" t="s">
        <v>0</v>
      </c>
      <c r="B5" s="9" t="s">
        <v>24</v>
      </c>
      <c r="D5" s="9" t="s">
        <v>38</v>
      </c>
      <c r="E5" s="9" t="s">
        <v>39</v>
      </c>
      <c r="G5" s="9" t="s">
        <v>38</v>
      </c>
      <c r="H5" s="9" t="s">
        <v>39</v>
      </c>
      <c r="I5" s="9" t="s">
        <v>71</v>
      </c>
      <c r="J5" s="9" t="s">
        <v>69</v>
      </c>
      <c r="K5" s="4"/>
    </row>
    <row r="6" spans="1:11" x14ac:dyDescent="0.3">
      <c r="A6" s="5" t="s">
        <v>25</v>
      </c>
      <c r="B6" s="5">
        <v>3.97</v>
      </c>
      <c r="D6" s="13">
        <f>1/12</f>
        <v>8.3333333333333329E-2</v>
      </c>
      <c r="E6" s="7">
        <f>B6/100</f>
        <v>3.9699999999999999E-2</v>
      </c>
      <c r="G6" s="17" cm="1">
        <f t="array" ref="G6:H10805">Interpolate($D$6:$E18,$H$1)</f>
        <v>2.7777777777777779E-3</v>
      </c>
      <c r="H6" s="7">
        <v>0</v>
      </c>
      <c r="I6" s="11">
        <v>44740</v>
      </c>
      <c r="J6" s="7">
        <v>0</v>
      </c>
    </row>
    <row r="7" spans="1:11" x14ac:dyDescent="0.3">
      <c r="A7" s="5" t="s">
        <v>26</v>
      </c>
      <c r="B7" s="5">
        <v>4.26</v>
      </c>
      <c r="D7" s="13">
        <f>2/12</f>
        <v>0.16666666666666666</v>
      </c>
      <c r="E7" s="7">
        <f t="shared" ref="E7:E18" si="0">B7/100</f>
        <v>4.2599999999999999E-2</v>
      </c>
      <c r="G7" s="17">
        <v>5.5555555555555558E-3</v>
      </c>
      <c r="H7" s="7">
        <v>1.3689655172413793E-3</v>
      </c>
      <c r="I7" s="11">
        <v>44741</v>
      </c>
      <c r="J7" s="7" cm="1">
        <f t="array" ref="J7">forwardRate($H$1, G6, G7, H6, H7)</f>
        <v>2.7379362402868423E-3</v>
      </c>
    </row>
    <row r="8" spans="1:11" x14ac:dyDescent="0.3">
      <c r="A8" s="5" t="s">
        <v>27</v>
      </c>
      <c r="B8" s="5">
        <v>4.4000000000000004</v>
      </c>
      <c r="D8" s="13">
        <f>3/12</f>
        <v>0.25</v>
      </c>
      <c r="E8" s="7">
        <f t="shared" si="0"/>
        <v>4.4000000000000004E-2</v>
      </c>
      <c r="G8" s="17">
        <v>8.3333333333333332E-3</v>
      </c>
      <c r="H8" s="7">
        <v>2.7379310344827585E-3</v>
      </c>
      <c r="I8" s="11">
        <v>44742</v>
      </c>
      <c r="J8" s="7" cm="1">
        <f t="array" ref="J8">forwardRate($H$1, G7, G8, H7, H8)</f>
        <v>5.4758776860097669E-3</v>
      </c>
    </row>
    <row r="9" spans="1:11" x14ac:dyDescent="0.3">
      <c r="A9" s="5" t="s">
        <v>28</v>
      </c>
      <c r="B9" s="5">
        <v>4.49</v>
      </c>
      <c r="D9" s="13">
        <f>4/12</f>
        <v>0.33333333333333331</v>
      </c>
      <c r="E9" s="7">
        <f t="shared" si="0"/>
        <v>4.4900000000000002E-2</v>
      </c>
      <c r="G9" s="17">
        <v>1.1111111111111112E-2</v>
      </c>
      <c r="H9" s="7">
        <v>4.1068965517241382E-3</v>
      </c>
      <c r="I9" s="11">
        <v>44743</v>
      </c>
      <c r="J9" s="7" cm="1">
        <f t="array" ref="J9">forwardRate($H$1, G8, G9, H8, H9)</f>
        <v>8.213824337728326E-3</v>
      </c>
    </row>
    <row r="10" spans="1:11" x14ac:dyDescent="0.3">
      <c r="A10" s="5" t="s">
        <v>29</v>
      </c>
      <c r="B10" s="5">
        <v>4.68</v>
      </c>
      <c r="D10" s="13">
        <f>6/12</f>
        <v>0.5</v>
      </c>
      <c r="E10" s="7">
        <f t="shared" si="0"/>
        <v>4.6799999999999994E-2</v>
      </c>
      <c r="G10" s="17">
        <v>1.3888888888888888E-2</v>
      </c>
      <c r="H10" s="7">
        <v>5.4758620689655171E-3</v>
      </c>
      <c r="I10" s="11">
        <v>44747</v>
      </c>
      <c r="J10" s="7" cm="1">
        <f t="array" ref="J10">forwardRate($H$1, G9, G10, H9, H10)</f>
        <v>1.0951776195122775E-2</v>
      </c>
    </row>
    <row r="11" spans="1:11" x14ac:dyDescent="0.3">
      <c r="A11" s="5" t="s">
        <v>30</v>
      </c>
      <c r="B11" s="5">
        <v>4.79</v>
      </c>
      <c r="D11" s="13">
        <v>1</v>
      </c>
      <c r="E11" s="7">
        <f t="shared" si="0"/>
        <v>4.7899999999999998E-2</v>
      </c>
      <c r="G11" s="17">
        <v>1.6666666666666666E-2</v>
      </c>
      <c r="H11" s="7">
        <v>6.8448275862068968E-3</v>
      </c>
      <c r="I11" s="11">
        <v>44748</v>
      </c>
      <c r="J11" s="7" cm="1">
        <f t="array" ref="J11">forwardRate($H$1, G10, G11, H10, H11)</f>
        <v>1.3689733257393755E-2</v>
      </c>
    </row>
    <row r="12" spans="1:11" x14ac:dyDescent="0.3">
      <c r="A12" s="5" t="s">
        <v>31</v>
      </c>
      <c r="B12" s="5">
        <v>4.47</v>
      </c>
      <c r="D12" s="13">
        <v>2</v>
      </c>
      <c r="E12" s="7">
        <f t="shared" si="0"/>
        <v>4.4699999999999997E-2</v>
      </c>
      <c r="G12" s="17">
        <v>1.9444444444444445E-2</v>
      </c>
      <c r="H12" s="7">
        <v>8.2137931034482765E-3</v>
      </c>
      <c r="I12" s="11">
        <v>44749</v>
      </c>
      <c r="J12" s="7" cm="1">
        <f t="array" ref="J12">forwardRate($H$1, G11, G12, H11, H12)</f>
        <v>1.6427695526139985E-2</v>
      </c>
    </row>
    <row r="13" spans="1:11" x14ac:dyDescent="0.3">
      <c r="A13" s="5" t="s">
        <v>32</v>
      </c>
      <c r="B13" s="5">
        <v>4.2699999999999996</v>
      </c>
      <c r="D13" s="13">
        <v>3</v>
      </c>
      <c r="E13" s="7">
        <f t="shared" si="0"/>
        <v>4.2699999999999995E-2</v>
      </c>
      <c r="G13" s="17">
        <v>2.2222222222222223E-2</v>
      </c>
      <c r="H13" s="7">
        <v>9.5827586206896562E-3</v>
      </c>
      <c r="I13" s="11">
        <v>44750</v>
      </c>
      <c r="J13" s="7" cm="1">
        <f t="array" ref="J13">forwardRate($H$1, G12, G13, H12, H13)</f>
        <v>1.9165663000082489E-2</v>
      </c>
    </row>
    <row r="14" spans="1:11" x14ac:dyDescent="0.3">
      <c r="A14" s="5" t="s">
        <v>33</v>
      </c>
      <c r="B14" s="5">
        <v>3.93</v>
      </c>
      <c r="D14" s="13">
        <v>5</v>
      </c>
      <c r="E14" s="7">
        <f t="shared" si="0"/>
        <v>3.9300000000000002E-2</v>
      </c>
      <c r="G14" s="17">
        <v>2.5000000000000001E-2</v>
      </c>
      <c r="H14" s="7">
        <v>1.0951724137931036E-2</v>
      </c>
      <c r="I14" s="11">
        <v>44753</v>
      </c>
      <c r="J14" s="7" cm="1">
        <f t="array" ref="J14">forwardRate($H$1, G13, G14, H13, H14)</f>
        <v>2.1903635679461075E-2</v>
      </c>
    </row>
    <row r="15" spans="1:11" x14ac:dyDescent="0.3">
      <c r="A15" s="5" t="s">
        <v>34</v>
      </c>
      <c r="B15" s="5">
        <v>3.86</v>
      </c>
      <c r="D15" s="13">
        <v>7</v>
      </c>
      <c r="E15" s="7">
        <f t="shared" si="0"/>
        <v>3.8599999999999995E-2</v>
      </c>
      <c r="G15" s="17">
        <v>2.7777777777777776E-2</v>
      </c>
      <c r="H15" s="7">
        <v>1.2320689655172416E-2</v>
      </c>
      <c r="I15" s="11">
        <v>44754</v>
      </c>
      <c r="J15" s="7" cm="1">
        <f t="array" ref="J15">forwardRate($H$1, G14, G15, H14, H15)</f>
        <v>2.4641613563396447E-2</v>
      </c>
    </row>
    <row r="16" spans="1:11" x14ac:dyDescent="0.3">
      <c r="A16" s="5" t="s">
        <v>35</v>
      </c>
      <c r="B16" s="5">
        <v>3.76</v>
      </c>
      <c r="D16" s="13">
        <v>10</v>
      </c>
      <c r="E16" s="7">
        <f t="shared" si="0"/>
        <v>3.7599999999999995E-2</v>
      </c>
      <c r="G16" s="17">
        <v>3.0555555555555555E-2</v>
      </c>
      <c r="H16" s="7">
        <v>1.3689655172413795E-2</v>
      </c>
      <c r="I16" s="11">
        <v>44755</v>
      </c>
      <c r="J16" s="7" cm="1">
        <f t="array" ref="J16">forwardRate($H$1, G15, G16, H15, H16)</f>
        <v>2.7379596654286686E-2</v>
      </c>
    </row>
    <row r="17" spans="1:10" x14ac:dyDescent="0.3">
      <c r="A17" s="5" t="s">
        <v>36</v>
      </c>
      <c r="B17" s="5">
        <v>4.05</v>
      </c>
      <c r="D17" s="13">
        <v>20</v>
      </c>
      <c r="E17" s="7">
        <f t="shared" si="0"/>
        <v>4.0500000000000001E-2</v>
      </c>
      <c r="G17" s="17">
        <v>3.3333333333333333E-2</v>
      </c>
      <c r="H17" s="7">
        <v>1.5058620689655175E-2</v>
      </c>
      <c r="I17" s="11">
        <v>44756</v>
      </c>
      <c r="J17" s="7" cm="1">
        <f t="array" ref="J17">forwardRate($H$1, G16, G17, H16, H17)</f>
        <v>3.0117584949813647E-2</v>
      </c>
    </row>
    <row r="18" spans="1:10" x14ac:dyDescent="0.3">
      <c r="A18" s="5" t="s">
        <v>37</v>
      </c>
      <c r="B18" s="5">
        <v>3.83</v>
      </c>
      <c r="D18" s="13">
        <v>30</v>
      </c>
      <c r="E18" s="7">
        <f t="shared" si="0"/>
        <v>3.8300000000000001E-2</v>
      </c>
      <c r="G18" s="17">
        <v>3.6111111111111108E-2</v>
      </c>
      <c r="H18" s="7">
        <v>1.6427586206896553E-2</v>
      </c>
      <c r="I18" s="11">
        <v>44757</v>
      </c>
      <c r="J18" s="7" cm="1">
        <f t="array" ref="J18">forwardRate($H$1, G17, G18, H17, H18)</f>
        <v>3.2855578449577649E-2</v>
      </c>
    </row>
    <row r="19" spans="1:10" x14ac:dyDescent="0.3">
      <c r="G19" s="17">
        <v>3.888888888888889E-2</v>
      </c>
      <c r="H19" s="7">
        <v>1.7796551724137931E-2</v>
      </c>
      <c r="I19" s="11">
        <v>44760</v>
      </c>
      <c r="J19" s="7" cm="1">
        <f t="array" ref="J19">forwardRate($H$1, G18, G19, H18, H19)</f>
        <v>3.5593577156536327E-2</v>
      </c>
    </row>
    <row r="20" spans="1:10" x14ac:dyDescent="0.3">
      <c r="G20" s="17">
        <v>4.1666666666666664E-2</v>
      </c>
      <c r="H20" s="7">
        <v>1.9165517241379309E-2</v>
      </c>
      <c r="I20" s="11">
        <v>44761</v>
      </c>
      <c r="J20" s="7" cm="1">
        <f t="array" ref="J20">forwardRate($H$1, G19, G20, H19, H20)</f>
        <v>3.8331581067891918E-2</v>
      </c>
    </row>
    <row r="21" spans="1:10" x14ac:dyDescent="0.3">
      <c r="G21" s="17">
        <v>4.4444444444444446E-2</v>
      </c>
      <c r="H21" s="7">
        <v>2.0534482758620687E-2</v>
      </c>
      <c r="I21" s="11">
        <v>44762</v>
      </c>
      <c r="J21" s="7" cm="1">
        <f t="array" ref="J21">forwardRate($H$1, G20, G21, H20, H21)</f>
        <v>4.1069590183004934E-2</v>
      </c>
    </row>
    <row r="22" spans="1:10" x14ac:dyDescent="0.3">
      <c r="G22" s="17">
        <v>4.7222222222222221E-2</v>
      </c>
      <c r="H22" s="7">
        <v>2.1903448275862065E-2</v>
      </c>
      <c r="I22" s="11">
        <v>44763</v>
      </c>
      <c r="J22" s="7" cm="1">
        <f t="array" ref="J22">forwardRate($H$1, G21, G22, H21, H22)</f>
        <v>4.3807604505952114E-2</v>
      </c>
    </row>
    <row r="23" spans="1:10" x14ac:dyDescent="0.3">
      <c r="G23" s="17">
        <v>0.05</v>
      </c>
      <c r="H23" s="7">
        <v>2.3272413793103443E-2</v>
      </c>
      <c r="I23" s="11">
        <v>44764</v>
      </c>
      <c r="J23" s="7" cm="1">
        <f t="array" ref="J23">forwardRate($H$1, G22, G23, H22, H23)</f>
        <v>4.6545624032656718E-2</v>
      </c>
    </row>
    <row r="24" spans="1:10" x14ac:dyDescent="0.3">
      <c r="G24" s="17">
        <v>5.2777777777777778E-2</v>
      </c>
      <c r="H24" s="7">
        <v>2.4641379310344824E-2</v>
      </c>
      <c r="I24" s="11">
        <v>44767</v>
      </c>
      <c r="J24" s="7" cm="1">
        <f t="array" ref="J24">forwardRate($H$1, G23, G24, H23, H24)</f>
        <v>4.9283648764397725E-2</v>
      </c>
    </row>
    <row r="25" spans="1:10" x14ac:dyDescent="0.3">
      <c r="G25" s="17">
        <v>5.5555555555555552E-2</v>
      </c>
      <c r="H25" s="7">
        <v>2.6010344827586202E-2</v>
      </c>
      <c r="I25" s="11">
        <v>44768</v>
      </c>
      <c r="J25" s="7" cm="1">
        <f t="array" ref="J25">forwardRate($H$1, G24, G25, H24, H25)</f>
        <v>5.2021678699656348E-2</v>
      </c>
    </row>
    <row r="26" spans="1:10" x14ac:dyDescent="0.3">
      <c r="G26" s="17">
        <v>5.8333333333333334E-2</v>
      </c>
      <c r="H26" s="7">
        <v>2.737931034482758E-2</v>
      </c>
      <c r="I26" s="11">
        <v>44769</v>
      </c>
      <c r="J26" s="7" cm="1">
        <f t="array" ref="J26">forwardRate($H$1, G25, G26, H25, H26)</f>
        <v>5.4759713842988944E-2</v>
      </c>
    </row>
    <row r="27" spans="1:10" x14ac:dyDescent="0.3">
      <c r="G27" s="17">
        <v>6.1111111111111109E-2</v>
      </c>
      <c r="H27" s="7">
        <v>2.8748275862068962E-2</v>
      </c>
      <c r="I27" s="11">
        <v>44770</v>
      </c>
      <c r="J27" s="7" cm="1">
        <f t="array" ref="J27">forwardRate($H$1, G26, G27, H26, H27)</f>
        <v>5.749775418975922E-2</v>
      </c>
    </row>
    <row r="28" spans="1:10" x14ac:dyDescent="0.3">
      <c r="G28" s="17">
        <v>6.3888888888888884E-2</v>
      </c>
      <c r="H28" s="7">
        <v>3.0117241379310343E-2</v>
      </c>
      <c r="I28" s="11">
        <v>44771</v>
      </c>
      <c r="J28" s="7" cm="1">
        <f t="array" ref="J28">forwardRate($H$1, G27, G28, H27, H28)</f>
        <v>6.0235799739567497E-2</v>
      </c>
    </row>
    <row r="29" spans="1:10" x14ac:dyDescent="0.3">
      <c r="G29" s="17">
        <v>6.6666666666666666E-2</v>
      </c>
      <c r="H29" s="7">
        <v>3.1486206896551724E-2</v>
      </c>
      <c r="I29" s="11">
        <v>44774</v>
      </c>
      <c r="J29" s="7" cm="1">
        <f t="array" ref="J29">forwardRate($H$1, G28, G29, H28, H29)</f>
        <v>6.2973850497929362E-2</v>
      </c>
    </row>
    <row r="30" spans="1:10" x14ac:dyDescent="0.3">
      <c r="G30" s="17">
        <v>6.9444444444444448E-2</v>
      </c>
      <c r="H30" s="7">
        <v>3.2855172413793106E-2</v>
      </c>
      <c r="I30" s="11">
        <v>44775</v>
      </c>
      <c r="J30" s="7" cm="1">
        <f t="array" ref="J30">forwardRate($H$1, G29, G30, H29, H30)</f>
        <v>6.5711906459249292E-2</v>
      </c>
    </row>
    <row r="31" spans="1:10" x14ac:dyDescent="0.3">
      <c r="G31" s="17">
        <v>7.2222222222222215E-2</v>
      </c>
      <c r="H31" s="7">
        <v>3.4224137931034487E-2</v>
      </c>
      <c r="I31" s="11">
        <v>44776</v>
      </c>
      <c r="J31" s="7" cm="1">
        <f t="array" ref="J31">forwardRate($H$1, G30, G31, H30, H31)</f>
        <v>6.844996762344735E-2</v>
      </c>
    </row>
    <row r="32" spans="1:10" x14ac:dyDescent="0.3">
      <c r="G32" s="17">
        <v>7.4999999999999997E-2</v>
      </c>
      <c r="H32" s="7">
        <v>3.5593103448275862E-2</v>
      </c>
      <c r="I32" s="11">
        <v>44777</v>
      </c>
      <c r="J32" s="7" cm="1">
        <f t="array" ref="J32">forwardRate($H$1, G31, G32, H31, H32)</f>
        <v>7.1188033996278932E-2</v>
      </c>
    </row>
    <row r="33" spans="7:10" x14ac:dyDescent="0.3">
      <c r="G33" s="17">
        <v>7.7777777777777779E-2</v>
      </c>
      <c r="H33" s="7">
        <v>3.6962068965517243E-2</v>
      </c>
      <c r="I33" s="11">
        <v>44778</v>
      </c>
      <c r="J33" s="7" cm="1">
        <f t="array" ref="J33">forwardRate($H$1, G32, G33, H32, H33)</f>
        <v>7.3926105571908707E-2</v>
      </c>
    </row>
    <row r="34" spans="7:10" x14ac:dyDescent="0.3">
      <c r="G34" s="17">
        <v>8.0555555555555561E-2</v>
      </c>
      <c r="H34" s="7">
        <v>3.8331034482758625E-2</v>
      </c>
      <c r="I34" s="11">
        <v>44781</v>
      </c>
      <c r="J34" s="7" cm="1">
        <f t="array" ref="J34">forwardRate($H$1, G33, G34, H33, H34)</f>
        <v>7.6664182352255139E-2</v>
      </c>
    </row>
    <row r="35" spans="7:10" x14ac:dyDescent="0.3">
      <c r="G35" s="17">
        <v>8.3333333333333329E-2</v>
      </c>
      <c r="H35" s="7">
        <v>3.9699999999999999E-2</v>
      </c>
      <c r="I35" s="11">
        <v>44782</v>
      </c>
      <c r="J35" s="7" cm="1">
        <f t="array" ref="J35">forwardRate($H$1, G34, G35, H34, H35)</f>
        <v>7.9402264334760275E-2</v>
      </c>
    </row>
    <row r="36" spans="7:10" x14ac:dyDescent="0.3">
      <c r="G36" s="17">
        <v>8.611111111111111E-2</v>
      </c>
      <c r="H36" s="7">
        <v>3.9796666666666668E-2</v>
      </c>
      <c r="I36" s="11">
        <v>44783</v>
      </c>
      <c r="J36" s="7" cm="1">
        <f t="array" ref="J36">forwardRate($H$1, G35, G36, H35, H36)</f>
        <v>4.2696678735376636E-2</v>
      </c>
    </row>
    <row r="37" spans="7:10" x14ac:dyDescent="0.3">
      <c r="G37" s="17">
        <v>8.8888888888888892E-2</v>
      </c>
      <c r="H37" s="7">
        <v>3.9893333333333336E-2</v>
      </c>
      <c r="I37" s="11">
        <v>44784</v>
      </c>
      <c r="J37" s="7" cm="1">
        <f t="array" ref="J37">forwardRate($H$1, G36, G37, H36, H37)</f>
        <v>4.2890012873275651E-2</v>
      </c>
    </row>
    <row r="38" spans="7:10" x14ac:dyDescent="0.3">
      <c r="G38" s="17">
        <v>9.166666666666666E-2</v>
      </c>
      <c r="H38" s="7">
        <v>3.9990000000000005E-2</v>
      </c>
      <c r="I38" s="11">
        <v>44785</v>
      </c>
      <c r="J38" s="7" cm="1">
        <f t="array" ref="J38">forwardRate($H$1, G37, G38, H37, H38)</f>
        <v>4.3083347037233821E-2</v>
      </c>
    </row>
    <row r="39" spans="7:10" x14ac:dyDescent="0.3">
      <c r="G39" s="17">
        <v>9.4444444444444442E-2</v>
      </c>
      <c r="H39" s="7">
        <v>4.0086666666666673E-2</v>
      </c>
      <c r="I39" s="11">
        <v>44788</v>
      </c>
      <c r="J39" s="7" cm="1">
        <f t="array" ref="J39">forwardRate($H$1, G38, G39, H38, H39)</f>
        <v>4.3276681227011338E-2</v>
      </c>
    </row>
    <row r="40" spans="7:10" x14ac:dyDescent="0.3">
      <c r="G40" s="17">
        <v>9.7222222222222224E-2</v>
      </c>
      <c r="H40" s="7">
        <v>4.0183333333333342E-2</v>
      </c>
      <c r="I40" s="11">
        <v>44789</v>
      </c>
      <c r="J40" s="7" cm="1">
        <f t="array" ref="J40">forwardRate($H$1, G39, G40, H39, H40)</f>
        <v>4.3470015442768073E-2</v>
      </c>
    </row>
    <row r="41" spans="7:10" x14ac:dyDescent="0.3">
      <c r="G41" s="17">
        <v>0.1</v>
      </c>
      <c r="H41" s="7">
        <v>4.028000000000001E-2</v>
      </c>
      <c r="I41" s="11">
        <v>44790</v>
      </c>
      <c r="J41" s="7" cm="1">
        <f t="array" ref="J41">forwardRate($H$1, G40, G41, H40, H41)</f>
        <v>4.3663349684504027E-2</v>
      </c>
    </row>
    <row r="42" spans="7:10" x14ac:dyDescent="0.3">
      <c r="G42" s="17">
        <v>0.10277777777777777</v>
      </c>
      <c r="H42" s="7">
        <v>4.0376666666666679E-2</v>
      </c>
      <c r="I42" s="11">
        <v>44791</v>
      </c>
      <c r="J42" s="7" cm="1">
        <f t="array" ref="J42">forwardRate($H$1, G41, G42, H41, H42)</f>
        <v>4.38566839522192E-2</v>
      </c>
    </row>
    <row r="43" spans="7:10" x14ac:dyDescent="0.3">
      <c r="G43" s="17">
        <v>0.10555555555555556</v>
      </c>
      <c r="H43" s="7">
        <v>4.0473333333333347E-2</v>
      </c>
      <c r="I43" s="11">
        <v>44792</v>
      </c>
      <c r="J43" s="7" cm="1">
        <f t="array" ref="J43">forwardRate($H$1, G42, G43, H42, H43)</f>
        <v>4.4050018245833655E-2</v>
      </c>
    </row>
    <row r="44" spans="7:10" x14ac:dyDescent="0.3">
      <c r="G44" s="17">
        <v>0.10833333333333334</v>
      </c>
      <c r="H44" s="7">
        <v>4.0570000000000016E-2</v>
      </c>
      <c r="I44" s="11">
        <v>44795</v>
      </c>
      <c r="J44" s="7" cm="1">
        <f t="array" ref="J44">forwardRate($H$1, G43, G44, H43, H44)</f>
        <v>4.424335256542733E-2</v>
      </c>
    </row>
    <row r="45" spans="7:10" x14ac:dyDescent="0.3">
      <c r="G45" s="17">
        <v>0.1111111111111111</v>
      </c>
      <c r="H45" s="7">
        <v>4.0666666666666684E-2</v>
      </c>
      <c r="I45" s="11">
        <v>44796</v>
      </c>
      <c r="J45" s="7" cm="1">
        <f t="array" ref="J45">forwardRate($H$1, G44, G45, H44, H45)</f>
        <v>4.4436686911000223E-2</v>
      </c>
    </row>
    <row r="46" spans="7:10" x14ac:dyDescent="0.3">
      <c r="G46" s="17">
        <v>0.11388888888888889</v>
      </c>
      <c r="H46" s="7">
        <v>4.0763333333333353E-2</v>
      </c>
      <c r="I46" s="11">
        <v>44797</v>
      </c>
      <c r="J46" s="7" cm="1">
        <f t="array" ref="J46">forwardRate($H$1, G45, G46, H45, H46)</f>
        <v>4.4630021282392462E-2</v>
      </c>
    </row>
    <row r="47" spans="7:10" x14ac:dyDescent="0.3">
      <c r="G47" s="17">
        <v>0.11666666666666667</v>
      </c>
      <c r="H47" s="7">
        <v>4.0860000000000021E-2</v>
      </c>
      <c r="I47" s="11">
        <v>44798</v>
      </c>
      <c r="J47" s="7" cm="1">
        <f t="array" ref="J47">forwardRate($H$1, G46, G47, H46, H47)</f>
        <v>4.4823355679923793E-2</v>
      </c>
    </row>
    <row r="48" spans="7:10" x14ac:dyDescent="0.3">
      <c r="G48" s="17">
        <v>0.11944444444444445</v>
      </c>
      <c r="H48" s="7">
        <v>4.095666666666669E-2</v>
      </c>
      <c r="I48" s="11">
        <v>44799</v>
      </c>
      <c r="J48" s="7" cm="1">
        <f t="array" ref="J48">forwardRate($H$1, G47, G48, H47, H48)</f>
        <v>4.5016690099917156E-2</v>
      </c>
    </row>
    <row r="49" spans="7:10" x14ac:dyDescent="0.3">
      <c r="G49" s="17">
        <v>0.12222222222222222</v>
      </c>
      <c r="H49" s="7">
        <v>4.1053333333333358E-2</v>
      </c>
      <c r="I49" s="11">
        <v>44802</v>
      </c>
      <c r="J49" s="7" cm="1">
        <f t="array" ref="J49">forwardRate($H$1, G48, G49, H48, H49)</f>
        <v>4.5210024552604366E-2</v>
      </c>
    </row>
    <row r="50" spans="7:10" x14ac:dyDescent="0.3">
      <c r="G50" s="17">
        <v>0.125</v>
      </c>
      <c r="H50" s="7">
        <v>4.115000000000002E-2</v>
      </c>
      <c r="I50" s="11">
        <v>44803</v>
      </c>
      <c r="J50" s="7" cm="1">
        <f t="array" ref="J50">forwardRate($H$1, G49, G50, H49, H50)</f>
        <v>4.5403359027913481E-2</v>
      </c>
    </row>
    <row r="51" spans="7:10" x14ac:dyDescent="0.3">
      <c r="G51" s="17">
        <v>0.12777777777777777</v>
      </c>
      <c r="H51" s="7">
        <v>4.1246666666666688E-2</v>
      </c>
      <c r="I51" s="11">
        <v>44804</v>
      </c>
      <c r="J51" s="7" cm="1">
        <f t="array" ref="J51">forwardRate($H$1, G50, G51, H50, H51)</f>
        <v>4.5596693529121879E-2</v>
      </c>
    </row>
    <row r="52" spans="7:10" x14ac:dyDescent="0.3">
      <c r="G52" s="17">
        <v>0.13055555555555556</v>
      </c>
      <c r="H52" s="7">
        <v>4.1343333333333357E-2</v>
      </c>
      <c r="I52" s="11">
        <v>44805</v>
      </c>
      <c r="J52" s="7" cm="1">
        <f t="array" ref="J52">forwardRate($H$1, G51, G52, H51, H52)</f>
        <v>4.5790028056469367E-2</v>
      </c>
    </row>
    <row r="53" spans="7:10" x14ac:dyDescent="0.3">
      <c r="G53" s="17">
        <v>0.13333333333333333</v>
      </c>
      <c r="H53" s="7">
        <v>4.1440000000000018E-2</v>
      </c>
      <c r="I53" s="11">
        <v>44806</v>
      </c>
      <c r="J53" s="7" cm="1">
        <f t="array" ref="J53">forwardRate($H$1, G52, G53, H52, H53)</f>
        <v>4.5983362609556266E-2</v>
      </c>
    </row>
    <row r="54" spans="7:10" x14ac:dyDescent="0.3">
      <c r="G54" s="17">
        <v>0.1361111111111111</v>
      </c>
      <c r="H54" s="7">
        <v>4.153666666666668E-2</v>
      </c>
      <c r="I54" s="11">
        <v>44810</v>
      </c>
      <c r="J54" s="7" cm="1">
        <f t="array" ref="J54">forwardRate($H$1, G53, G54, H53, H54)</f>
        <v>4.6176697188622384E-2</v>
      </c>
    </row>
    <row r="55" spans="7:10" x14ac:dyDescent="0.3">
      <c r="G55" s="17">
        <v>0.1388888888888889</v>
      </c>
      <c r="H55" s="7">
        <v>4.1633333333333349E-2</v>
      </c>
      <c r="I55" s="11">
        <v>44811</v>
      </c>
      <c r="J55" s="7" cm="1">
        <f t="array" ref="J55">forwardRate($H$1, G54, G55, H54, H55)</f>
        <v>4.6370031793747657E-2</v>
      </c>
    </row>
    <row r="56" spans="7:10" x14ac:dyDescent="0.3">
      <c r="G56" s="17">
        <v>0.14166666666666666</v>
      </c>
      <c r="H56" s="7">
        <v>4.1730000000000017E-2</v>
      </c>
      <c r="I56" s="11">
        <v>44812</v>
      </c>
      <c r="J56" s="7" cm="1">
        <f t="array" ref="J56">forwardRate($H$1, G55, G56, H55, H56)</f>
        <v>4.6563366424772212E-2</v>
      </c>
    </row>
    <row r="57" spans="7:10" x14ac:dyDescent="0.3">
      <c r="G57" s="17">
        <v>0.14444444444444443</v>
      </c>
      <c r="H57" s="7">
        <v>4.1826666666666679E-2</v>
      </c>
      <c r="I57" s="11">
        <v>44813</v>
      </c>
      <c r="J57" s="7" cm="1">
        <f t="array" ref="J57">forwardRate($H$1, G56, G57, H56, H57)</f>
        <v>4.6756701081775986E-2</v>
      </c>
    </row>
    <row r="58" spans="7:10" x14ac:dyDescent="0.3">
      <c r="G58" s="17">
        <v>0.14722222222222223</v>
      </c>
      <c r="H58" s="7">
        <v>4.192333333333334E-2</v>
      </c>
      <c r="I58" s="11">
        <v>44816</v>
      </c>
      <c r="J58" s="7" cm="1">
        <f t="array" ref="J58">forwardRate($H$1, G57, G58, H57, H58)</f>
        <v>4.6950035764679043E-2</v>
      </c>
    </row>
    <row r="59" spans="7:10" x14ac:dyDescent="0.3">
      <c r="G59" s="17">
        <v>0.15</v>
      </c>
      <c r="H59" s="7">
        <v>4.2020000000000009E-2</v>
      </c>
      <c r="I59" s="11">
        <v>44817</v>
      </c>
      <c r="J59" s="7" cm="1">
        <f t="array" ref="J59">forwardRate($H$1, G58, G59, H58, H59)</f>
        <v>4.7143370473641255E-2</v>
      </c>
    </row>
    <row r="60" spans="7:10" x14ac:dyDescent="0.3">
      <c r="G60" s="17">
        <v>0.15277777777777779</v>
      </c>
      <c r="H60" s="7">
        <v>4.2116666666666677E-2</v>
      </c>
      <c r="I60" s="11">
        <v>44818</v>
      </c>
      <c r="J60" s="7" cm="1">
        <f t="array" ref="J60">forwardRate($H$1, G59, G60, H59, H60)</f>
        <v>4.733670520850275E-2</v>
      </c>
    </row>
    <row r="61" spans="7:10" x14ac:dyDescent="0.3">
      <c r="G61" s="17">
        <v>0.15555555555555556</v>
      </c>
      <c r="H61" s="7">
        <v>4.2213333333333339E-2</v>
      </c>
      <c r="I61" s="11">
        <v>44819</v>
      </c>
      <c r="J61" s="7" cm="1">
        <f t="array" ref="J61">forwardRate($H$1, G60, G61, H60, H61)</f>
        <v>4.7530039969263527E-2</v>
      </c>
    </row>
    <row r="62" spans="7:10" x14ac:dyDescent="0.3">
      <c r="G62" s="17">
        <v>0.15833333333333333</v>
      </c>
      <c r="H62" s="7">
        <v>4.231E-2</v>
      </c>
      <c r="I62" s="11">
        <v>44820</v>
      </c>
      <c r="J62" s="7" cm="1">
        <f t="array" ref="J62">forwardRate($H$1, G61, G62, H61, H62)</f>
        <v>4.7723374756003523E-2</v>
      </c>
    </row>
    <row r="63" spans="7:10" x14ac:dyDescent="0.3">
      <c r="G63" s="17">
        <v>0.16111111111111112</v>
      </c>
      <c r="H63" s="7">
        <v>4.2406666666666669E-2</v>
      </c>
      <c r="I63" s="11">
        <v>44823</v>
      </c>
      <c r="J63" s="7" cm="1">
        <f t="array" ref="J63">forwardRate($H$1, G62, G63, H62, H63)</f>
        <v>4.7916709568722737E-2</v>
      </c>
    </row>
    <row r="64" spans="7:10" x14ac:dyDescent="0.3">
      <c r="G64" s="17">
        <v>0.16388888888888889</v>
      </c>
      <c r="H64" s="7">
        <v>4.2503333333333337E-2</v>
      </c>
      <c r="I64" s="11">
        <v>44824</v>
      </c>
      <c r="J64" s="7" cm="1">
        <f t="array" ref="J64">forwardRate($H$1, G63, G64, H63, H64)</f>
        <v>4.8110044407341235E-2</v>
      </c>
    </row>
    <row r="65" spans="7:10" x14ac:dyDescent="0.3">
      <c r="G65" s="17">
        <v>0.16666666666666666</v>
      </c>
      <c r="H65" s="7">
        <v>4.2599999999999999E-2</v>
      </c>
      <c r="I65" s="11">
        <v>44825</v>
      </c>
      <c r="J65" s="7" cm="1">
        <f t="array" ref="J65">forwardRate($H$1, G64, G65, H64, H65)</f>
        <v>4.8303379271938951E-2</v>
      </c>
    </row>
    <row r="66" spans="7:10" x14ac:dyDescent="0.3">
      <c r="G66" s="17">
        <v>0.16944444444444445</v>
      </c>
      <c r="H66" s="7">
        <v>4.2646666666666666E-2</v>
      </c>
      <c r="I66" s="11">
        <v>44826</v>
      </c>
      <c r="J66" s="7" cm="1">
        <f t="array" ref="J66">forwardRate($H$1, G65, G66, H65, H66)</f>
        <v>4.5446677732456919E-2</v>
      </c>
    </row>
    <row r="67" spans="7:10" x14ac:dyDescent="0.3">
      <c r="G67" s="17">
        <v>0.17222222222222222</v>
      </c>
      <c r="H67" s="7">
        <v>4.2693333333333333E-2</v>
      </c>
      <c r="I67" s="11">
        <v>44827</v>
      </c>
      <c r="J67" s="7" cm="1">
        <f t="array" ref="J67">forwardRate($H$1, G66, G67, H66, H67)</f>
        <v>4.5540011439539896E-2</v>
      </c>
    </row>
    <row r="68" spans="7:10" x14ac:dyDescent="0.3">
      <c r="G68" s="17">
        <v>0.17499999999999999</v>
      </c>
      <c r="H68" s="7">
        <v>4.274E-2</v>
      </c>
      <c r="I68" s="11">
        <v>44830</v>
      </c>
      <c r="J68" s="7" cm="1">
        <f t="array" ref="J68">forwardRate($H$1, G67, G68, H67, H68)</f>
        <v>4.5633345147981785E-2</v>
      </c>
    </row>
    <row r="69" spans="7:10" x14ac:dyDescent="0.3">
      <c r="G69" s="17">
        <v>0.17777777777777778</v>
      </c>
      <c r="H69" s="7">
        <v>4.2786666666666667E-2</v>
      </c>
      <c r="I69" s="11">
        <v>44831</v>
      </c>
      <c r="J69" s="7" cm="1">
        <f t="array" ref="J69">forwardRate($H$1, G68, G69, H68, H69)</f>
        <v>4.5726678857223035E-2</v>
      </c>
    </row>
    <row r="70" spans="7:10" x14ac:dyDescent="0.3">
      <c r="G70" s="17">
        <v>0.18055555555555555</v>
      </c>
      <c r="H70" s="7">
        <v>4.2833333333333334E-2</v>
      </c>
      <c r="I70" s="11">
        <v>44832</v>
      </c>
      <c r="J70" s="7" cm="1">
        <f t="array" ref="J70">forwardRate($H$1, G69, G70, H69, H70)</f>
        <v>4.5820012582851177E-2</v>
      </c>
    </row>
    <row r="71" spans="7:10" x14ac:dyDescent="0.3">
      <c r="G71" s="17">
        <v>0.18333333333333332</v>
      </c>
      <c r="H71" s="7">
        <v>4.2880000000000001E-2</v>
      </c>
      <c r="I71" s="11">
        <v>44833</v>
      </c>
      <c r="J71" s="7" cm="1">
        <f t="array" ref="J71">forwardRate($H$1, G70, G71, H70, H71)</f>
        <v>4.5913346309358616E-2</v>
      </c>
    </row>
    <row r="72" spans="7:10" x14ac:dyDescent="0.3">
      <c r="G72" s="17">
        <v>0.18611111111111112</v>
      </c>
      <c r="H72" s="7">
        <v>4.2926666666666669E-2</v>
      </c>
      <c r="I72" s="11">
        <v>44834</v>
      </c>
      <c r="J72" s="7" cm="1">
        <f t="array" ref="J72">forwardRate($H$1, G71, G72, H71, H72)</f>
        <v>4.6006680036505543E-2</v>
      </c>
    </row>
    <row r="73" spans="7:10" x14ac:dyDescent="0.3">
      <c r="G73" s="17">
        <v>0.18888888888888888</v>
      </c>
      <c r="H73" s="7">
        <v>4.2973333333333336E-2</v>
      </c>
      <c r="I73" s="11">
        <v>44837</v>
      </c>
      <c r="J73" s="7" cm="1">
        <f t="array" ref="J73">forwardRate($H$1, G72, G73, H72, H73)</f>
        <v>4.6100013780598914E-2</v>
      </c>
    </row>
    <row r="74" spans="7:10" x14ac:dyDescent="0.3">
      <c r="G74" s="17">
        <v>0.19166666666666668</v>
      </c>
      <c r="H74" s="7">
        <v>4.3020000000000003E-2</v>
      </c>
      <c r="I74" s="11">
        <v>44838</v>
      </c>
      <c r="J74" s="7" cm="1">
        <f t="array" ref="J74">forwardRate($H$1, G73, G74, H73, H74)</f>
        <v>4.6193347525171902E-2</v>
      </c>
    </row>
    <row r="75" spans="7:10" x14ac:dyDescent="0.3">
      <c r="G75" s="17">
        <v>0.19444444444444445</v>
      </c>
      <c r="H75" s="7">
        <v>4.306666666666667E-2</v>
      </c>
      <c r="I75" s="11">
        <v>44839</v>
      </c>
      <c r="J75" s="7" cm="1">
        <f t="array" ref="J75">forwardRate($H$1, G74, G75, H74, H75)</f>
        <v>4.6286681270304442E-2</v>
      </c>
    </row>
    <row r="76" spans="7:10" x14ac:dyDescent="0.3">
      <c r="G76" s="17">
        <v>0.19722222222222222</v>
      </c>
      <c r="H76" s="7">
        <v>4.3113333333333337E-2</v>
      </c>
      <c r="I76" s="11">
        <v>44840</v>
      </c>
      <c r="J76" s="7" cm="1">
        <f t="array" ref="J76">forwardRate($H$1, G75, G76, H75, H76)</f>
        <v>4.6380015032623234E-2</v>
      </c>
    </row>
    <row r="77" spans="7:10" x14ac:dyDescent="0.3">
      <c r="G77" s="17">
        <v>0.2</v>
      </c>
      <c r="H77" s="7">
        <v>4.3160000000000004E-2</v>
      </c>
      <c r="I77" s="11">
        <v>44841</v>
      </c>
      <c r="J77" s="7" cm="1">
        <f t="array" ref="J77">forwardRate($H$1, G76, G77, H76, H77)</f>
        <v>4.6473348795501579E-2</v>
      </c>
    </row>
    <row r="78" spans="7:10" x14ac:dyDescent="0.3">
      <c r="G78" s="17">
        <v>0.20277777777777778</v>
      </c>
      <c r="H78" s="7">
        <v>4.3206666666666671E-2</v>
      </c>
      <c r="I78" s="11">
        <v>44844</v>
      </c>
      <c r="J78" s="7" cm="1">
        <f t="array" ref="J78">forwardRate($H$1, G77, G78, H77, H78)</f>
        <v>4.6566682564375128E-2</v>
      </c>
    </row>
    <row r="79" spans="7:10" x14ac:dyDescent="0.3">
      <c r="G79" s="17">
        <v>0.20555555555555555</v>
      </c>
      <c r="H79" s="7">
        <v>4.3253333333333338E-2</v>
      </c>
      <c r="I79" s="11">
        <v>44845</v>
      </c>
      <c r="J79" s="7" cm="1">
        <f t="array" ref="J79">forwardRate($H$1, G78, G79, H78, H79)</f>
        <v>4.6660016333328613E-2</v>
      </c>
    </row>
    <row r="80" spans="7:10" x14ac:dyDescent="0.3">
      <c r="G80" s="17">
        <v>0.20833333333333334</v>
      </c>
      <c r="H80" s="7">
        <v>4.3300000000000005E-2</v>
      </c>
      <c r="I80" s="11">
        <v>44846</v>
      </c>
      <c r="J80" s="7" cm="1">
        <f t="array" ref="J80">forwardRate($H$1, G79, G80, H79, H80)</f>
        <v>4.6753350120267712E-2</v>
      </c>
    </row>
    <row r="81" spans="7:10" x14ac:dyDescent="0.3">
      <c r="G81" s="17">
        <v>0.21111111111111111</v>
      </c>
      <c r="H81" s="7">
        <v>4.3346666666666672E-2</v>
      </c>
      <c r="I81" s="11">
        <v>44847</v>
      </c>
      <c r="J81" s="7" cm="1">
        <f t="array" ref="J81">forwardRate($H$1, G80, G81, H80, H81)</f>
        <v>4.684668390720681E-2</v>
      </c>
    </row>
    <row r="82" spans="7:10" x14ac:dyDescent="0.3">
      <c r="G82" s="17">
        <v>0.21388888888888888</v>
      </c>
      <c r="H82" s="7">
        <v>4.3393333333333339E-2</v>
      </c>
      <c r="I82" s="11">
        <v>44848</v>
      </c>
      <c r="J82" s="7" cm="1">
        <f t="array" ref="J82">forwardRate($H$1, G81, G82, H81, H82)</f>
        <v>4.6940017694225844E-2</v>
      </c>
    </row>
    <row r="83" spans="7:10" x14ac:dyDescent="0.3">
      <c r="G83" s="17">
        <v>0.21666666666666667</v>
      </c>
      <c r="H83" s="7">
        <v>4.3440000000000006E-2</v>
      </c>
      <c r="I83" s="11">
        <v>44851</v>
      </c>
      <c r="J83" s="7" cm="1">
        <f t="array" ref="J83">forwardRate($H$1, G82, G83, H82, H83)</f>
        <v>4.7033351499310427E-2</v>
      </c>
    </row>
    <row r="84" spans="7:10" x14ac:dyDescent="0.3">
      <c r="G84" s="17">
        <v>0.21944444444444444</v>
      </c>
      <c r="H84" s="7">
        <v>4.3486666666666673E-2</v>
      </c>
      <c r="I84" s="11">
        <v>44852</v>
      </c>
      <c r="J84" s="7" cm="1">
        <f t="array" ref="J84">forwardRate($H$1, G83, G84, H83, H84)</f>
        <v>4.7126685304554883E-2</v>
      </c>
    </row>
    <row r="85" spans="7:10" x14ac:dyDescent="0.3">
      <c r="G85" s="17">
        <v>0.22222222222222221</v>
      </c>
      <c r="H85" s="7">
        <v>4.3533333333333341E-2</v>
      </c>
      <c r="I85" s="11">
        <v>44853</v>
      </c>
      <c r="J85" s="7" cm="1">
        <f t="array" ref="J85">forwardRate($H$1, G84, G85, H84, H85)</f>
        <v>4.7220019109399658E-2</v>
      </c>
    </row>
    <row r="86" spans="7:10" x14ac:dyDescent="0.3">
      <c r="G86" s="17">
        <v>0.22500000000000001</v>
      </c>
      <c r="H86" s="7">
        <v>4.3580000000000008E-2</v>
      </c>
      <c r="I86" s="11">
        <v>44854</v>
      </c>
      <c r="J86" s="7" cm="1">
        <f t="array" ref="J86">forwardRate($H$1, G85, G86, H85, H86)</f>
        <v>4.7313352933029407E-2</v>
      </c>
    </row>
    <row r="87" spans="7:10" x14ac:dyDescent="0.3">
      <c r="G87" s="17">
        <v>0.22777777777777777</v>
      </c>
      <c r="H87" s="7">
        <v>4.3626666666666675E-2</v>
      </c>
      <c r="I87" s="11">
        <v>44855</v>
      </c>
      <c r="J87" s="7" cm="1">
        <f t="array" ref="J87">forwardRate($H$1, G86, G87, H86, H87)</f>
        <v>4.7406686756259475E-2</v>
      </c>
    </row>
    <row r="88" spans="7:10" x14ac:dyDescent="0.3">
      <c r="G88" s="17">
        <v>0.23055555555555557</v>
      </c>
      <c r="H88" s="7">
        <v>4.3673333333333342E-2</v>
      </c>
      <c r="I88" s="11">
        <v>44858</v>
      </c>
      <c r="J88" s="7" cm="1">
        <f t="array" ref="J88">forwardRate($H$1, G87, G88, H87, H88)</f>
        <v>4.750002058564462E-2</v>
      </c>
    </row>
    <row r="89" spans="7:10" x14ac:dyDescent="0.3">
      <c r="G89" s="17">
        <v>0.23333333333333334</v>
      </c>
      <c r="H89" s="7">
        <v>4.3720000000000009E-2</v>
      </c>
      <c r="I89" s="11">
        <v>44859</v>
      </c>
      <c r="J89" s="7" cm="1">
        <f t="array" ref="J89">forwardRate($H$1, G88, G89, H88, H89)</f>
        <v>4.7593354414390276E-2</v>
      </c>
    </row>
    <row r="90" spans="7:10" x14ac:dyDescent="0.3">
      <c r="G90" s="17">
        <v>0.2361111111111111</v>
      </c>
      <c r="H90" s="7">
        <v>4.3766666666666676E-2</v>
      </c>
      <c r="I90" s="11">
        <v>44860</v>
      </c>
      <c r="J90" s="7" cm="1">
        <f t="array" ref="J90">forwardRate($H$1, G89, G90, H89, H90)</f>
        <v>4.7686688262400523E-2</v>
      </c>
    </row>
    <row r="91" spans="7:10" x14ac:dyDescent="0.3">
      <c r="G91" s="17">
        <v>0.2388888888888889</v>
      </c>
      <c r="H91" s="7">
        <v>4.3813333333333343E-2</v>
      </c>
      <c r="I91" s="11">
        <v>44861</v>
      </c>
      <c r="J91" s="7" cm="1">
        <f t="array" ref="J91">forwardRate($H$1, G90, G91, H90, H91)</f>
        <v>4.7780022110011089E-2</v>
      </c>
    </row>
    <row r="92" spans="7:10" x14ac:dyDescent="0.3">
      <c r="G92" s="17">
        <v>0.24166666666666667</v>
      </c>
      <c r="H92" s="7">
        <v>4.386000000000001E-2</v>
      </c>
      <c r="I92" s="11">
        <v>44862</v>
      </c>
      <c r="J92" s="7" cm="1">
        <f t="array" ref="J92">forwardRate($H$1, G91, G92, H91, H92)</f>
        <v>4.787335595650255E-2</v>
      </c>
    </row>
    <row r="93" spans="7:10" x14ac:dyDescent="0.3">
      <c r="G93" s="17">
        <v>0.24444444444444444</v>
      </c>
      <c r="H93" s="7">
        <v>4.3906666666666677E-2</v>
      </c>
      <c r="I93" s="11">
        <v>44865</v>
      </c>
      <c r="J93" s="7" cm="1">
        <f t="array" ref="J93">forwardRate($H$1, G92, G93, H92, H93)</f>
        <v>4.7966689823057962E-2</v>
      </c>
    </row>
    <row r="94" spans="7:10" x14ac:dyDescent="0.3">
      <c r="G94" s="17">
        <v>0.24722222222222223</v>
      </c>
      <c r="H94" s="7">
        <v>4.3953333333333344E-2</v>
      </c>
      <c r="I94" s="11">
        <v>44866</v>
      </c>
      <c r="J94" s="7" cm="1">
        <f t="array" ref="J94">forwardRate($H$1, G93, G94, H93, H94)</f>
        <v>4.8060023688814013E-2</v>
      </c>
    </row>
    <row r="95" spans="7:10" x14ac:dyDescent="0.3">
      <c r="G95" s="17">
        <v>0.25</v>
      </c>
      <c r="H95" s="7">
        <v>4.4000000000000004E-2</v>
      </c>
      <c r="I95" s="11">
        <v>44867</v>
      </c>
      <c r="J95" s="7" cm="1">
        <f t="array" ref="J95">forwardRate($H$1, G94, G95, H94, H95)</f>
        <v>4.8153357553211151E-2</v>
      </c>
    </row>
    <row r="96" spans="7:10" x14ac:dyDescent="0.3">
      <c r="G96" s="17">
        <v>0.25277777777777777</v>
      </c>
      <c r="H96" s="7">
        <v>4.4030000000000007E-2</v>
      </c>
      <c r="I96" s="11">
        <v>44868</v>
      </c>
      <c r="J96" s="7" cm="1">
        <f t="array" ref="J96">forwardRate($H$1, G95, G96, H95, H96)</f>
        <v>4.6730010236641917E-2</v>
      </c>
    </row>
    <row r="97" spans="7:10" x14ac:dyDescent="0.3">
      <c r="G97" s="17">
        <v>0.25555555555555554</v>
      </c>
      <c r="H97" s="7">
        <v>4.4060000000000009E-2</v>
      </c>
      <c r="I97" s="11">
        <v>44869</v>
      </c>
      <c r="J97" s="7" cm="1">
        <f t="array" ref="J97">forwardRate($H$1, G96, G97, H96, H97)</f>
        <v>4.6790010464148324E-2</v>
      </c>
    </row>
    <row r="98" spans="7:10" x14ac:dyDescent="0.3">
      <c r="G98" s="17">
        <v>0.25833333333333336</v>
      </c>
      <c r="H98" s="7">
        <v>4.4090000000000011E-2</v>
      </c>
      <c r="I98" s="11">
        <v>44872</v>
      </c>
      <c r="J98" s="7" cm="1">
        <f t="array" ref="J98">forwardRate($H$1, G97, G98, H97, H98)</f>
        <v>4.6850010694052813E-2</v>
      </c>
    </row>
    <row r="99" spans="7:10" x14ac:dyDescent="0.3">
      <c r="G99" s="17">
        <v>0.26111111111111113</v>
      </c>
      <c r="H99" s="7">
        <v>4.4120000000000013E-2</v>
      </c>
      <c r="I99" s="11">
        <v>44873</v>
      </c>
      <c r="J99" s="7" cm="1">
        <f t="array" ref="J99">forwardRate($H$1, G98, G99, H98, H99)</f>
        <v>4.6910010926595191E-2</v>
      </c>
    </row>
    <row r="100" spans="7:10" x14ac:dyDescent="0.3">
      <c r="G100" s="17">
        <v>0.2638888888888889</v>
      </c>
      <c r="H100" s="7">
        <v>4.4150000000000016E-2</v>
      </c>
      <c r="I100" s="11">
        <v>44874</v>
      </c>
      <c r="J100" s="7" cm="1">
        <f t="array" ref="J100">forwardRate($H$1, G99, G100, H99, H100)</f>
        <v>4.6970011161535652E-2</v>
      </c>
    </row>
    <row r="101" spans="7:10" x14ac:dyDescent="0.3">
      <c r="G101" s="17">
        <v>0.26666666666666666</v>
      </c>
      <c r="H101" s="7">
        <v>4.4180000000000018E-2</v>
      </c>
      <c r="I101" s="11">
        <v>44875</v>
      </c>
      <c r="J101" s="7" cm="1">
        <f t="array" ref="J101">forwardRate($H$1, G100, G101, H100, H101)</f>
        <v>4.7030011399034066E-2</v>
      </c>
    </row>
    <row r="102" spans="7:10" x14ac:dyDescent="0.3">
      <c r="G102" s="17">
        <v>0.26944444444444443</v>
      </c>
      <c r="H102" s="7">
        <v>4.421000000000002E-2</v>
      </c>
      <c r="I102" s="11">
        <v>44876</v>
      </c>
      <c r="J102" s="7" cm="1">
        <f t="array" ref="J102">forwardRate($H$1, G101, G102, H101, H102)</f>
        <v>4.7090011639010498E-2</v>
      </c>
    </row>
    <row r="103" spans="7:10" x14ac:dyDescent="0.3">
      <c r="G103" s="17">
        <v>0.2722222222222222</v>
      </c>
      <c r="H103" s="7">
        <v>4.4240000000000022E-2</v>
      </c>
      <c r="I103" s="11">
        <v>44879</v>
      </c>
      <c r="J103" s="7" cm="1">
        <f t="array" ref="J103">forwardRate($H$1, G102, G103, H102, H103)</f>
        <v>4.7150011881464948E-2</v>
      </c>
    </row>
    <row r="104" spans="7:10" x14ac:dyDescent="0.3">
      <c r="G104" s="17">
        <v>0.27500000000000002</v>
      </c>
      <c r="H104" s="7">
        <v>4.4270000000000025E-2</v>
      </c>
      <c r="I104" s="11">
        <v>44880</v>
      </c>
      <c r="J104" s="7" cm="1">
        <f t="array" ref="J104">forwardRate($H$1, G103, G104, H103, H104)</f>
        <v>4.7210012126477352E-2</v>
      </c>
    </row>
    <row r="105" spans="7:10" x14ac:dyDescent="0.3">
      <c r="G105" s="17">
        <v>0.27777777777777779</v>
      </c>
      <c r="H105" s="7">
        <v>4.4300000000000027E-2</v>
      </c>
      <c r="I105" s="11">
        <v>44881</v>
      </c>
      <c r="J105" s="7" cm="1">
        <f t="array" ref="J105">forwardRate($H$1, G104, G105, H104, H105)</f>
        <v>4.7270012373967774E-2</v>
      </c>
    </row>
    <row r="106" spans="7:10" x14ac:dyDescent="0.3">
      <c r="G106" s="15">
        <v>0.28055555555555556</v>
      </c>
      <c r="H106" s="3">
        <v>4.4330000000000022E-2</v>
      </c>
    </row>
    <row r="107" spans="7:10" x14ac:dyDescent="0.3">
      <c r="G107" s="15">
        <v>0.28333333333333333</v>
      </c>
      <c r="H107" s="3">
        <v>4.4360000000000024E-2</v>
      </c>
    </row>
    <row r="108" spans="7:10" x14ac:dyDescent="0.3">
      <c r="G108" s="15">
        <v>0.28611111111111109</v>
      </c>
      <c r="H108" s="3">
        <v>4.4390000000000027E-2</v>
      </c>
    </row>
    <row r="109" spans="7:10" x14ac:dyDescent="0.3">
      <c r="G109" s="15">
        <v>0.28888888888888886</v>
      </c>
      <c r="H109" s="3">
        <v>4.4420000000000022E-2</v>
      </c>
    </row>
    <row r="110" spans="7:10" x14ac:dyDescent="0.3">
      <c r="G110" s="15">
        <v>0.29166666666666669</v>
      </c>
      <c r="H110" s="3">
        <v>4.4450000000000017E-2</v>
      </c>
    </row>
    <row r="111" spans="7:10" x14ac:dyDescent="0.3">
      <c r="G111" s="15">
        <v>0.29444444444444445</v>
      </c>
      <c r="H111" s="3">
        <v>4.448000000000002E-2</v>
      </c>
    </row>
    <row r="112" spans="7:10" x14ac:dyDescent="0.3">
      <c r="G112" s="15">
        <v>0.29722222222222222</v>
      </c>
      <c r="H112" s="3">
        <v>4.4510000000000022E-2</v>
      </c>
    </row>
    <row r="113" spans="7:8" x14ac:dyDescent="0.3">
      <c r="G113" s="15">
        <v>0.3</v>
      </c>
      <c r="H113" s="3">
        <v>4.4540000000000017E-2</v>
      </c>
    </row>
    <row r="114" spans="7:8" x14ac:dyDescent="0.3">
      <c r="G114" s="15">
        <v>0.30277777777777776</v>
      </c>
      <c r="H114" s="3">
        <v>4.4570000000000012E-2</v>
      </c>
    </row>
    <row r="115" spans="7:8" x14ac:dyDescent="0.3">
      <c r="G115" s="15">
        <v>0.30555555555555558</v>
      </c>
      <c r="H115" s="3">
        <v>4.4600000000000015E-2</v>
      </c>
    </row>
    <row r="116" spans="7:8" x14ac:dyDescent="0.3">
      <c r="G116" s="15">
        <v>0.30833333333333335</v>
      </c>
      <c r="H116" s="3">
        <v>4.4630000000000017E-2</v>
      </c>
    </row>
    <row r="117" spans="7:8" x14ac:dyDescent="0.3">
      <c r="G117" s="15">
        <v>0.31111111111111112</v>
      </c>
      <c r="H117" s="3">
        <v>4.4660000000000012E-2</v>
      </c>
    </row>
    <row r="118" spans="7:8" x14ac:dyDescent="0.3">
      <c r="G118" s="15">
        <v>0.31388888888888888</v>
      </c>
      <c r="H118" s="3">
        <v>4.4690000000000007E-2</v>
      </c>
    </row>
    <row r="119" spans="7:8" x14ac:dyDescent="0.3">
      <c r="G119" s="15">
        <v>0.31666666666666665</v>
      </c>
      <c r="H119" s="3">
        <v>4.472000000000001E-2</v>
      </c>
    </row>
    <row r="120" spans="7:8" x14ac:dyDescent="0.3">
      <c r="G120" s="15">
        <v>0.31944444444444442</v>
      </c>
      <c r="H120" s="3">
        <v>4.4750000000000012E-2</v>
      </c>
    </row>
    <row r="121" spans="7:8" x14ac:dyDescent="0.3">
      <c r="G121" s="15">
        <v>0.32222222222222224</v>
      </c>
      <c r="H121" s="3">
        <v>4.4780000000000007E-2</v>
      </c>
    </row>
    <row r="122" spans="7:8" x14ac:dyDescent="0.3">
      <c r="G122" s="15">
        <v>0.32500000000000001</v>
      </c>
      <c r="H122" s="3">
        <v>4.4810000000000003E-2</v>
      </c>
    </row>
    <row r="123" spans="7:8" x14ac:dyDescent="0.3">
      <c r="G123" s="15">
        <v>0.32777777777777778</v>
      </c>
      <c r="H123" s="3">
        <v>4.4840000000000005E-2</v>
      </c>
    </row>
    <row r="124" spans="7:8" x14ac:dyDescent="0.3">
      <c r="G124" s="15">
        <v>0.33055555555555555</v>
      </c>
      <c r="H124" s="3">
        <v>4.4870000000000007E-2</v>
      </c>
    </row>
    <row r="125" spans="7:8" x14ac:dyDescent="0.3">
      <c r="G125" s="15">
        <v>0.33333333333333331</v>
      </c>
      <c r="H125" s="3">
        <v>4.4900000000000002E-2</v>
      </c>
    </row>
    <row r="126" spans="7:8" x14ac:dyDescent="0.3">
      <c r="G126" s="15">
        <v>0.33611111111111114</v>
      </c>
      <c r="H126" s="3">
        <v>4.4931666666666668E-2</v>
      </c>
    </row>
    <row r="127" spans="7:8" x14ac:dyDescent="0.3">
      <c r="G127" s="15">
        <v>0.33888888888888891</v>
      </c>
      <c r="H127" s="3">
        <v>4.4963333333333334E-2</v>
      </c>
    </row>
    <row r="128" spans="7:8" x14ac:dyDescent="0.3">
      <c r="G128" s="15">
        <v>0.34166666666666667</v>
      </c>
      <c r="H128" s="3">
        <v>4.4995E-2</v>
      </c>
    </row>
    <row r="129" spans="7:8" x14ac:dyDescent="0.3">
      <c r="G129" s="15">
        <v>0.34444444444444444</v>
      </c>
      <c r="H129" s="3">
        <v>4.5026666666666666E-2</v>
      </c>
    </row>
    <row r="130" spans="7:8" x14ac:dyDescent="0.3">
      <c r="G130" s="15">
        <v>0.34722222222222221</v>
      </c>
      <c r="H130" s="3">
        <v>4.5058333333333332E-2</v>
      </c>
    </row>
    <row r="131" spans="7:8" x14ac:dyDescent="0.3">
      <c r="G131" s="15">
        <v>0.35</v>
      </c>
      <c r="H131" s="3">
        <v>4.5089999999999998E-2</v>
      </c>
    </row>
    <row r="132" spans="7:8" x14ac:dyDescent="0.3">
      <c r="G132" s="15">
        <v>0.3527777777777778</v>
      </c>
      <c r="H132" s="3">
        <v>4.5121666666666664E-2</v>
      </c>
    </row>
    <row r="133" spans="7:8" x14ac:dyDescent="0.3">
      <c r="G133" s="15">
        <v>0.35555555555555557</v>
      </c>
      <c r="H133" s="3">
        <v>4.515333333333333E-2</v>
      </c>
    </row>
    <row r="134" spans="7:8" x14ac:dyDescent="0.3">
      <c r="G134" s="15">
        <v>0.35833333333333334</v>
      </c>
      <c r="H134" s="3">
        <v>4.5184999999999996E-2</v>
      </c>
    </row>
    <row r="135" spans="7:8" x14ac:dyDescent="0.3">
      <c r="G135" s="15">
        <v>0.3611111111111111</v>
      </c>
      <c r="H135" s="3">
        <v>4.5216666666666662E-2</v>
      </c>
    </row>
    <row r="136" spans="7:8" x14ac:dyDescent="0.3">
      <c r="G136" s="15">
        <v>0.36388888888888887</v>
      </c>
      <c r="H136" s="3">
        <v>4.5248333333333328E-2</v>
      </c>
    </row>
    <row r="137" spans="7:8" x14ac:dyDescent="0.3">
      <c r="G137" s="15">
        <v>0.36666666666666664</v>
      </c>
      <c r="H137" s="3">
        <v>4.5279999999999994E-2</v>
      </c>
    </row>
    <row r="138" spans="7:8" x14ac:dyDescent="0.3">
      <c r="G138" s="15">
        <v>0.36944444444444446</v>
      </c>
      <c r="H138" s="3">
        <v>4.531166666666666E-2</v>
      </c>
    </row>
    <row r="139" spans="7:8" x14ac:dyDescent="0.3">
      <c r="G139" s="15">
        <v>0.37222222222222223</v>
      </c>
      <c r="H139" s="3">
        <v>4.5343333333333326E-2</v>
      </c>
    </row>
    <row r="140" spans="7:8" x14ac:dyDescent="0.3">
      <c r="G140" s="15">
        <v>0.375</v>
      </c>
      <c r="H140" s="3">
        <v>4.5374999999999992E-2</v>
      </c>
    </row>
    <row r="141" spans="7:8" x14ac:dyDescent="0.3">
      <c r="G141" s="15">
        <v>0.37777777777777777</v>
      </c>
      <c r="H141" s="3">
        <v>4.5406666666666658E-2</v>
      </c>
    </row>
    <row r="142" spans="7:8" x14ac:dyDescent="0.3">
      <c r="G142" s="15">
        <v>0.38055555555555554</v>
      </c>
      <c r="H142" s="3">
        <v>4.5438333333333324E-2</v>
      </c>
    </row>
    <row r="143" spans="7:8" x14ac:dyDescent="0.3">
      <c r="G143" s="15">
        <v>0.38333333333333336</v>
      </c>
      <c r="H143" s="3">
        <v>4.546999999999999E-2</v>
      </c>
    </row>
    <row r="144" spans="7:8" x14ac:dyDescent="0.3">
      <c r="G144" s="15">
        <v>0.38611111111111113</v>
      </c>
      <c r="H144" s="3">
        <v>4.5501666666666656E-2</v>
      </c>
    </row>
    <row r="145" spans="7:8" x14ac:dyDescent="0.3">
      <c r="G145" s="15">
        <v>0.3888888888888889</v>
      </c>
      <c r="H145" s="3">
        <v>4.5533333333333322E-2</v>
      </c>
    </row>
    <row r="146" spans="7:8" x14ac:dyDescent="0.3">
      <c r="G146" s="15">
        <v>0.39166666666666666</v>
      </c>
      <c r="H146" s="3">
        <v>4.5564999999999987E-2</v>
      </c>
    </row>
    <row r="147" spans="7:8" x14ac:dyDescent="0.3">
      <c r="G147" s="15">
        <v>0.39444444444444443</v>
      </c>
      <c r="H147" s="3">
        <v>4.5596666666666653E-2</v>
      </c>
    </row>
    <row r="148" spans="7:8" x14ac:dyDescent="0.3">
      <c r="G148" s="15">
        <v>0.3972222222222222</v>
      </c>
      <c r="H148" s="3">
        <v>4.5628333333333319E-2</v>
      </c>
    </row>
    <row r="149" spans="7:8" x14ac:dyDescent="0.3">
      <c r="G149" s="15">
        <v>0.4</v>
      </c>
      <c r="H149" s="3">
        <v>4.5659999999999985E-2</v>
      </c>
    </row>
    <row r="150" spans="7:8" x14ac:dyDescent="0.3">
      <c r="G150" s="15">
        <v>0.40277777777777779</v>
      </c>
      <c r="H150" s="3">
        <v>4.5691666666666651E-2</v>
      </c>
    </row>
    <row r="151" spans="7:8" x14ac:dyDescent="0.3">
      <c r="G151" s="15">
        <v>0.40555555555555556</v>
      </c>
      <c r="H151" s="3">
        <v>4.5723333333333317E-2</v>
      </c>
    </row>
    <row r="152" spans="7:8" x14ac:dyDescent="0.3">
      <c r="G152" s="15">
        <v>0.40833333333333333</v>
      </c>
      <c r="H152" s="3">
        <v>4.5754999999999983E-2</v>
      </c>
    </row>
    <row r="153" spans="7:8" x14ac:dyDescent="0.3">
      <c r="G153" s="15">
        <v>0.41111111111111109</v>
      </c>
      <c r="H153" s="3">
        <v>4.5786666666666649E-2</v>
      </c>
    </row>
    <row r="154" spans="7:8" x14ac:dyDescent="0.3">
      <c r="G154" s="15">
        <v>0.41388888888888886</v>
      </c>
      <c r="H154" s="3">
        <v>4.5818333333333315E-2</v>
      </c>
    </row>
    <row r="155" spans="7:8" x14ac:dyDescent="0.3">
      <c r="G155" s="15">
        <v>0.41666666666666669</v>
      </c>
      <c r="H155" s="3">
        <v>4.5849999999999981E-2</v>
      </c>
    </row>
    <row r="156" spans="7:8" x14ac:dyDescent="0.3">
      <c r="G156" s="15">
        <v>0.41944444444444445</v>
      </c>
      <c r="H156" s="3">
        <v>4.5881666666666647E-2</v>
      </c>
    </row>
    <row r="157" spans="7:8" x14ac:dyDescent="0.3">
      <c r="G157" s="15">
        <v>0.42222222222222222</v>
      </c>
      <c r="H157" s="3">
        <v>4.5913333333333313E-2</v>
      </c>
    </row>
    <row r="158" spans="7:8" x14ac:dyDescent="0.3">
      <c r="G158" s="15">
        <v>0.42499999999999999</v>
      </c>
      <c r="H158" s="3">
        <v>4.5944999999999979E-2</v>
      </c>
    </row>
    <row r="159" spans="7:8" x14ac:dyDescent="0.3">
      <c r="G159" s="15">
        <v>0.42777777777777776</v>
      </c>
      <c r="H159" s="3">
        <v>4.5976666666666645E-2</v>
      </c>
    </row>
    <row r="160" spans="7:8" x14ac:dyDescent="0.3">
      <c r="G160" s="15">
        <v>0.43055555555555558</v>
      </c>
      <c r="H160" s="3">
        <v>4.6008333333333311E-2</v>
      </c>
    </row>
    <row r="161" spans="7:8" x14ac:dyDescent="0.3">
      <c r="G161" s="15">
        <v>0.43333333333333335</v>
      </c>
      <c r="H161" s="3">
        <v>4.6039999999999977E-2</v>
      </c>
    </row>
    <row r="162" spans="7:8" x14ac:dyDescent="0.3">
      <c r="G162" s="15">
        <v>0.43611111111111112</v>
      </c>
      <c r="H162" s="3">
        <v>4.6071666666666643E-2</v>
      </c>
    </row>
    <row r="163" spans="7:8" x14ac:dyDescent="0.3">
      <c r="G163" s="15">
        <v>0.43888888888888888</v>
      </c>
      <c r="H163" s="3">
        <v>4.6103333333333309E-2</v>
      </c>
    </row>
    <row r="164" spans="7:8" x14ac:dyDescent="0.3">
      <c r="G164" s="15">
        <v>0.44166666666666665</v>
      </c>
      <c r="H164" s="3">
        <v>4.6134999999999975E-2</v>
      </c>
    </row>
    <row r="165" spans="7:8" x14ac:dyDescent="0.3">
      <c r="G165" s="15">
        <v>0.44444444444444442</v>
      </c>
      <c r="H165" s="3">
        <v>4.6166666666666641E-2</v>
      </c>
    </row>
    <row r="166" spans="7:8" x14ac:dyDescent="0.3">
      <c r="G166" s="15">
        <v>0.44722222222222224</v>
      </c>
      <c r="H166" s="3">
        <v>4.6198333333333307E-2</v>
      </c>
    </row>
    <row r="167" spans="7:8" x14ac:dyDescent="0.3">
      <c r="G167" s="15">
        <v>0.45</v>
      </c>
      <c r="H167" s="3">
        <v>4.6229999999999973E-2</v>
      </c>
    </row>
    <row r="168" spans="7:8" x14ac:dyDescent="0.3">
      <c r="G168" s="15">
        <v>0.45277777777777778</v>
      </c>
      <c r="H168" s="3">
        <v>4.6261666666666638E-2</v>
      </c>
    </row>
    <row r="169" spans="7:8" x14ac:dyDescent="0.3">
      <c r="G169" s="15">
        <v>0.45555555555555555</v>
      </c>
      <c r="H169" s="3">
        <v>4.6293333333333304E-2</v>
      </c>
    </row>
    <row r="170" spans="7:8" x14ac:dyDescent="0.3">
      <c r="G170" s="15">
        <v>0.45833333333333331</v>
      </c>
      <c r="H170" s="3">
        <v>4.632499999999997E-2</v>
      </c>
    </row>
    <row r="171" spans="7:8" x14ac:dyDescent="0.3">
      <c r="G171" s="15">
        <v>0.46111111111111114</v>
      </c>
      <c r="H171" s="3">
        <v>4.6356666666666636E-2</v>
      </c>
    </row>
    <row r="172" spans="7:8" x14ac:dyDescent="0.3">
      <c r="G172" s="15">
        <v>0.46388888888888891</v>
      </c>
      <c r="H172" s="3">
        <v>4.6388333333333302E-2</v>
      </c>
    </row>
    <row r="173" spans="7:8" x14ac:dyDescent="0.3">
      <c r="G173" s="15">
        <v>0.46666666666666667</v>
      </c>
      <c r="H173" s="3">
        <v>4.6419999999999968E-2</v>
      </c>
    </row>
    <row r="174" spans="7:8" x14ac:dyDescent="0.3">
      <c r="G174" s="15">
        <v>0.46944444444444444</v>
      </c>
      <c r="H174" s="3">
        <v>4.6451666666666634E-2</v>
      </c>
    </row>
    <row r="175" spans="7:8" x14ac:dyDescent="0.3">
      <c r="G175" s="15">
        <v>0.47222222222222221</v>
      </c>
      <c r="H175" s="3">
        <v>4.64833333333333E-2</v>
      </c>
    </row>
    <row r="176" spans="7:8" x14ac:dyDescent="0.3">
      <c r="G176" s="15">
        <v>0.47499999999999998</v>
      </c>
      <c r="H176" s="3">
        <v>4.6514999999999973E-2</v>
      </c>
    </row>
    <row r="177" spans="7:8" x14ac:dyDescent="0.3">
      <c r="G177" s="15">
        <v>0.4777777777777778</v>
      </c>
      <c r="H177" s="3">
        <v>4.6546666666666639E-2</v>
      </c>
    </row>
    <row r="178" spans="7:8" x14ac:dyDescent="0.3">
      <c r="G178" s="15">
        <v>0.48055555555555557</v>
      </c>
      <c r="H178" s="3">
        <v>4.6578333333333305E-2</v>
      </c>
    </row>
    <row r="179" spans="7:8" x14ac:dyDescent="0.3">
      <c r="G179" s="15">
        <v>0.48333333333333334</v>
      </c>
      <c r="H179" s="3">
        <v>4.6609999999999978E-2</v>
      </c>
    </row>
    <row r="180" spans="7:8" x14ac:dyDescent="0.3">
      <c r="G180" s="15">
        <v>0.4861111111111111</v>
      </c>
      <c r="H180" s="3">
        <v>4.6641666666666651E-2</v>
      </c>
    </row>
    <row r="181" spans="7:8" x14ac:dyDescent="0.3">
      <c r="G181" s="15">
        <v>0.48888888888888887</v>
      </c>
      <c r="H181" s="3">
        <v>4.6673333333333317E-2</v>
      </c>
    </row>
    <row r="182" spans="7:8" x14ac:dyDescent="0.3">
      <c r="G182" s="15">
        <v>0.49166666666666664</v>
      </c>
      <c r="H182" s="3">
        <v>4.6704999999999983E-2</v>
      </c>
    </row>
    <row r="183" spans="7:8" x14ac:dyDescent="0.3">
      <c r="G183" s="15">
        <v>0.49444444444444446</v>
      </c>
      <c r="H183" s="3">
        <v>4.6736666666666656E-2</v>
      </c>
    </row>
    <row r="184" spans="7:8" x14ac:dyDescent="0.3">
      <c r="G184" s="15">
        <v>0.49722222222222223</v>
      </c>
      <c r="H184" s="3">
        <v>4.6768333333333328E-2</v>
      </c>
    </row>
    <row r="185" spans="7:8" x14ac:dyDescent="0.3">
      <c r="G185" s="15">
        <v>0.5</v>
      </c>
      <c r="H185" s="3">
        <v>4.6799999999999994E-2</v>
      </c>
    </row>
    <row r="186" spans="7:8" x14ac:dyDescent="0.3">
      <c r="G186" s="15">
        <v>0.50277777777777777</v>
      </c>
      <c r="H186" s="3">
        <v>4.6806111111111104E-2</v>
      </c>
    </row>
    <row r="187" spans="7:8" x14ac:dyDescent="0.3">
      <c r="G187" s="15">
        <v>0.50555555555555554</v>
      </c>
      <c r="H187" s="3">
        <v>4.6812222222222213E-2</v>
      </c>
    </row>
    <row r="188" spans="7:8" x14ac:dyDescent="0.3">
      <c r="G188" s="15">
        <v>0.5083333333333333</v>
      </c>
      <c r="H188" s="3">
        <v>4.6818333333333323E-2</v>
      </c>
    </row>
    <row r="189" spans="7:8" x14ac:dyDescent="0.3">
      <c r="G189" s="15">
        <v>0.51111111111111107</v>
      </c>
      <c r="H189" s="3">
        <v>4.6824444444444432E-2</v>
      </c>
    </row>
    <row r="190" spans="7:8" x14ac:dyDescent="0.3">
      <c r="G190" s="15">
        <v>0.51388888888888884</v>
      </c>
      <c r="H190" s="3">
        <v>4.6830555555555542E-2</v>
      </c>
    </row>
    <row r="191" spans="7:8" x14ac:dyDescent="0.3">
      <c r="G191" s="15">
        <v>0.51666666666666672</v>
      </c>
      <c r="H191" s="3">
        <v>4.6836666666666651E-2</v>
      </c>
    </row>
    <row r="192" spans="7:8" x14ac:dyDescent="0.3">
      <c r="G192" s="15">
        <v>0.51944444444444449</v>
      </c>
      <c r="H192" s="3">
        <v>4.6842777777777761E-2</v>
      </c>
    </row>
    <row r="193" spans="7:8" x14ac:dyDescent="0.3">
      <c r="G193" s="15">
        <v>0.52222222222222225</v>
      </c>
      <c r="H193" s="3">
        <v>4.684888888888887E-2</v>
      </c>
    </row>
    <row r="194" spans="7:8" x14ac:dyDescent="0.3">
      <c r="G194" s="15">
        <v>0.52500000000000002</v>
      </c>
      <c r="H194" s="3">
        <v>4.685499999999998E-2</v>
      </c>
    </row>
    <row r="195" spans="7:8" x14ac:dyDescent="0.3">
      <c r="G195" s="15">
        <v>0.52777777777777779</v>
      </c>
      <c r="H195" s="3">
        <v>4.686111111111109E-2</v>
      </c>
    </row>
    <row r="196" spans="7:8" x14ac:dyDescent="0.3">
      <c r="G196" s="15">
        <v>0.53055555555555556</v>
      </c>
      <c r="H196" s="3">
        <v>4.6867222222222199E-2</v>
      </c>
    </row>
    <row r="197" spans="7:8" x14ac:dyDescent="0.3">
      <c r="G197" s="15">
        <v>0.53333333333333333</v>
      </c>
      <c r="H197" s="3">
        <v>4.6873333333333309E-2</v>
      </c>
    </row>
    <row r="198" spans="7:8" x14ac:dyDescent="0.3">
      <c r="G198" s="15">
        <v>0.53611111111111109</v>
      </c>
      <c r="H198" s="3">
        <v>4.6879444444444418E-2</v>
      </c>
    </row>
    <row r="199" spans="7:8" x14ac:dyDescent="0.3">
      <c r="G199" s="15">
        <v>0.53888888888888886</v>
      </c>
      <c r="H199" s="3">
        <v>4.6885555555555528E-2</v>
      </c>
    </row>
    <row r="200" spans="7:8" x14ac:dyDescent="0.3">
      <c r="G200" s="15">
        <v>0.54166666666666663</v>
      </c>
      <c r="H200" s="3">
        <v>4.6891666666666637E-2</v>
      </c>
    </row>
    <row r="201" spans="7:8" x14ac:dyDescent="0.3">
      <c r="G201" s="15">
        <v>0.5444444444444444</v>
      </c>
      <c r="H201" s="3">
        <v>4.6897777777777747E-2</v>
      </c>
    </row>
    <row r="202" spans="7:8" x14ac:dyDescent="0.3">
      <c r="G202" s="15">
        <v>0.54722222222222228</v>
      </c>
      <c r="H202" s="3">
        <v>4.6903888888888856E-2</v>
      </c>
    </row>
    <row r="203" spans="7:8" x14ac:dyDescent="0.3">
      <c r="G203" s="15">
        <v>0.55000000000000004</v>
      </c>
      <c r="H203" s="3">
        <v>4.6909999999999966E-2</v>
      </c>
    </row>
    <row r="204" spans="7:8" x14ac:dyDescent="0.3">
      <c r="G204" s="15">
        <v>0.55277777777777781</v>
      </c>
      <c r="H204" s="3">
        <v>4.6916111111111075E-2</v>
      </c>
    </row>
    <row r="205" spans="7:8" x14ac:dyDescent="0.3">
      <c r="G205" s="15">
        <v>0.55555555555555558</v>
      </c>
      <c r="H205" s="3">
        <v>4.6922222222222185E-2</v>
      </c>
    </row>
    <row r="206" spans="7:8" x14ac:dyDescent="0.3">
      <c r="G206" s="15">
        <v>0.55833333333333335</v>
      </c>
      <c r="H206" s="3">
        <v>4.6928333333333294E-2</v>
      </c>
    </row>
    <row r="207" spans="7:8" x14ac:dyDescent="0.3">
      <c r="G207" s="15">
        <v>0.56111111111111112</v>
      </c>
      <c r="H207" s="3">
        <v>4.6934444444444404E-2</v>
      </c>
    </row>
    <row r="208" spans="7:8" x14ac:dyDescent="0.3">
      <c r="G208" s="15">
        <v>0.56388888888888888</v>
      </c>
      <c r="H208" s="3">
        <v>4.6940555555555513E-2</v>
      </c>
    </row>
    <row r="209" spans="7:8" x14ac:dyDescent="0.3">
      <c r="G209" s="15">
        <v>0.56666666666666665</v>
      </c>
      <c r="H209" s="3">
        <v>4.6946666666666623E-2</v>
      </c>
    </row>
    <row r="210" spans="7:8" x14ac:dyDescent="0.3">
      <c r="G210" s="15">
        <v>0.56944444444444442</v>
      </c>
      <c r="H210" s="3">
        <v>4.6952777777777732E-2</v>
      </c>
    </row>
    <row r="211" spans="7:8" x14ac:dyDescent="0.3">
      <c r="G211" s="15">
        <v>0.57222222222222219</v>
      </c>
      <c r="H211" s="3">
        <v>4.6958888888888842E-2</v>
      </c>
    </row>
    <row r="212" spans="7:8" x14ac:dyDescent="0.3">
      <c r="G212" s="15">
        <v>0.57499999999999996</v>
      </c>
      <c r="H212" s="3">
        <v>4.6964999999999951E-2</v>
      </c>
    </row>
    <row r="213" spans="7:8" x14ac:dyDescent="0.3">
      <c r="G213" s="15">
        <v>0.57777777777777772</v>
      </c>
      <c r="H213" s="3">
        <v>4.6971111111111061E-2</v>
      </c>
    </row>
    <row r="214" spans="7:8" x14ac:dyDescent="0.3">
      <c r="G214" s="15">
        <v>0.5805555555555556</v>
      </c>
      <c r="H214" s="3">
        <v>4.697722222222217E-2</v>
      </c>
    </row>
    <row r="215" spans="7:8" x14ac:dyDescent="0.3">
      <c r="G215" s="15">
        <v>0.58333333333333337</v>
      </c>
      <c r="H215" s="3">
        <v>4.698333333333328E-2</v>
      </c>
    </row>
    <row r="216" spans="7:8" x14ac:dyDescent="0.3">
      <c r="G216" s="15">
        <v>0.58611111111111114</v>
      </c>
      <c r="H216" s="3">
        <v>4.6989444444444389E-2</v>
      </c>
    </row>
    <row r="217" spans="7:8" x14ac:dyDescent="0.3">
      <c r="G217" s="15">
        <v>0.58888888888888891</v>
      </c>
      <c r="H217" s="3">
        <v>4.6995555555555499E-2</v>
      </c>
    </row>
    <row r="218" spans="7:8" x14ac:dyDescent="0.3">
      <c r="G218" s="15">
        <v>0.59166666666666667</v>
      </c>
      <c r="H218" s="3">
        <v>4.7001666666666608E-2</v>
      </c>
    </row>
    <row r="219" spans="7:8" x14ac:dyDescent="0.3">
      <c r="G219" s="15">
        <v>0.59444444444444444</v>
      </c>
      <c r="H219" s="3">
        <v>4.7007777777777718E-2</v>
      </c>
    </row>
    <row r="220" spans="7:8" x14ac:dyDescent="0.3">
      <c r="G220" s="15">
        <v>0.59722222222222221</v>
      </c>
      <c r="H220" s="3">
        <v>4.7013888888888827E-2</v>
      </c>
    </row>
    <row r="221" spans="7:8" x14ac:dyDescent="0.3">
      <c r="G221" s="15">
        <v>0.6</v>
      </c>
      <c r="H221" s="3">
        <v>4.7019999999999937E-2</v>
      </c>
    </row>
    <row r="222" spans="7:8" x14ac:dyDescent="0.3">
      <c r="G222" s="15">
        <v>0.60277777777777775</v>
      </c>
      <c r="H222" s="3">
        <v>4.7026111111111046E-2</v>
      </c>
    </row>
    <row r="223" spans="7:8" x14ac:dyDescent="0.3">
      <c r="G223" s="15">
        <v>0.60555555555555551</v>
      </c>
      <c r="H223" s="3">
        <v>4.7032222222222156E-2</v>
      </c>
    </row>
    <row r="224" spans="7:8" x14ac:dyDescent="0.3">
      <c r="G224" s="15">
        <v>0.60833333333333328</v>
      </c>
      <c r="H224" s="3">
        <v>4.7038333333333265E-2</v>
      </c>
    </row>
    <row r="225" spans="7:8" x14ac:dyDescent="0.3">
      <c r="G225" s="15">
        <v>0.61111111111111116</v>
      </c>
      <c r="H225" s="3">
        <v>4.7044444444444375E-2</v>
      </c>
    </row>
    <row r="226" spans="7:8" x14ac:dyDescent="0.3">
      <c r="G226" s="15">
        <v>0.61388888888888893</v>
      </c>
      <c r="H226" s="3">
        <v>4.7050555555555484E-2</v>
      </c>
    </row>
    <row r="227" spans="7:8" x14ac:dyDescent="0.3">
      <c r="G227" s="15">
        <v>0.6166666666666667</v>
      </c>
      <c r="H227" s="3">
        <v>4.7056666666666594E-2</v>
      </c>
    </row>
    <row r="228" spans="7:8" x14ac:dyDescent="0.3">
      <c r="G228" s="15">
        <v>0.61944444444444446</v>
      </c>
      <c r="H228" s="3">
        <v>4.7062777777777703E-2</v>
      </c>
    </row>
    <row r="229" spans="7:8" x14ac:dyDescent="0.3">
      <c r="G229" s="15">
        <v>0.62222222222222223</v>
      </c>
      <c r="H229" s="3">
        <v>4.7068888888888813E-2</v>
      </c>
    </row>
    <row r="230" spans="7:8" x14ac:dyDescent="0.3">
      <c r="G230" s="15">
        <v>0.625</v>
      </c>
      <c r="H230" s="3">
        <v>4.7074999999999922E-2</v>
      </c>
    </row>
    <row r="231" spans="7:8" x14ac:dyDescent="0.3">
      <c r="G231" s="15">
        <v>0.62777777777777777</v>
      </c>
      <c r="H231" s="3">
        <v>4.7081111111111032E-2</v>
      </c>
    </row>
    <row r="232" spans="7:8" x14ac:dyDescent="0.3">
      <c r="G232" s="15">
        <v>0.63055555555555554</v>
      </c>
      <c r="H232" s="3">
        <v>4.7087222222222141E-2</v>
      </c>
    </row>
    <row r="233" spans="7:8" x14ac:dyDescent="0.3">
      <c r="G233" s="15">
        <v>0.6333333333333333</v>
      </c>
      <c r="H233" s="3">
        <v>4.7093333333333251E-2</v>
      </c>
    </row>
    <row r="234" spans="7:8" x14ac:dyDescent="0.3">
      <c r="G234" s="15">
        <v>0.63611111111111107</v>
      </c>
      <c r="H234" s="3">
        <v>4.7099444444444361E-2</v>
      </c>
    </row>
    <row r="235" spans="7:8" x14ac:dyDescent="0.3">
      <c r="G235" s="15">
        <v>0.63888888888888884</v>
      </c>
      <c r="H235" s="3">
        <v>4.710555555555547E-2</v>
      </c>
    </row>
    <row r="236" spans="7:8" x14ac:dyDescent="0.3">
      <c r="G236" s="15">
        <v>0.64166666666666672</v>
      </c>
      <c r="H236" s="3">
        <v>4.711166666666658E-2</v>
      </c>
    </row>
    <row r="237" spans="7:8" x14ac:dyDescent="0.3">
      <c r="G237" s="15">
        <v>0.64444444444444449</v>
      </c>
      <c r="H237" s="3">
        <v>4.7117777777777689E-2</v>
      </c>
    </row>
    <row r="238" spans="7:8" x14ac:dyDescent="0.3">
      <c r="G238" s="15">
        <v>0.64722222222222225</v>
      </c>
      <c r="H238" s="3">
        <v>4.7123888888888799E-2</v>
      </c>
    </row>
    <row r="239" spans="7:8" x14ac:dyDescent="0.3">
      <c r="G239" s="15">
        <v>0.65</v>
      </c>
      <c r="H239" s="3">
        <v>4.7129999999999908E-2</v>
      </c>
    </row>
    <row r="240" spans="7:8" x14ac:dyDescent="0.3">
      <c r="G240" s="15">
        <v>0.65277777777777779</v>
      </c>
      <c r="H240" s="3">
        <v>4.7136111111111018E-2</v>
      </c>
    </row>
    <row r="241" spans="7:8" x14ac:dyDescent="0.3">
      <c r="G241" s="15">
        <v>0.65555555555555556</v>
      </c>
      <c r="H241" s="3">
        <v>4.7142222222222127E-2</v>
      </c>
    </row>
    <row r="242" spans="7:8" x14ac:dyDescent="0.3">
      <c r="G242" s="15">
        <v>0.65833333333333333</v>
      </c>
      <c r="H242" s="3">
        <v>4.7148333333333237E-2</v>
      </c>
    </row>
    <row r="243" spans="7:8" x14ac:dyDescent="0.3">
      <c r="G243" s="15">
        <v>0.66111111111111109</v>
      </c>
      <c r="H243" s="3">
        <v>4.7154444444444346E-2</v>
      </c>
    </row>
    <row r="244" spans="7:8" x14ac:dyDescent="0.3">
      <c r="G244" s="15">
        <v>0.66388888888888886</v>
      </c>
      <c r="H244" s="3">
        <v>4.7160555555555456E-2</v>
      </c>
    </row>
    <row r="245" spans="7:8" x14ac:dyDescent="0.3">
      <c r="G245" s="15">
        <v>0.66666666666666663</v>
      </c>
      <c r="H245" s="3">
        <v>4.7166666666666565E-2</v>
      </c>
    </row>
    <row r="246" spans="7:8" x14ac:dyDescent="0.3">
      <c r="G246" s="15">
        <v>0.6694444444444444</v>
      </c>
      <c r="H246" s="3">
        <v>4.7172777777777675E-2</v>
      </c>
    </row>
    <row r="247" spans="7:8" x14ac:dyDescent="0.3">
      <c r="G247" s="15">
        <v>0.67222222222222228</v>
      </c>
      <c r="H247" s="3">
        <v>4.7178888888888784E-2</v>
      </c>
    </row>
    <row r="248" spans="7:8" x14ac:dyDescent="0.3">
      <c r="G248" s="15">
        <v>0.67500000000000004</v>
      </c>
      <c r="H248" s="3">
        <v>4.7184999999999894E-2</v>
      </c>
    </row>
    <row r="249" spans="7:8" x14ac:dyDescent="0.3">
      <c r="G249" s="15">
        <v>0.67777777777777781</v>
      </c>
      <c r="H249" s="3">
        <v>4.7191111111111003E-2</v>
      </c>
    </row>
    <row r="250" spans="7:8" x14ac:dyDescent="0.3">
      <c r="G250" s="15">
        <v>0.68055555555555558</v>
      </c>
      <c r="H250" s="3">
        <v>4.7197222222222113E-2</v>
      </c>
    </row>
    <row r="251" spans="7:8" x14ac:dyDescent="0.3">
      <c r="G251" s="15">
        <v>0.68333333333333335</v>
      </c>
      <c r="H251" s="3">
        <v>4.7203333333333222E-2</v>
      </c>
    </row>
    <row r="252" spans="7:8" x14ac:dyDescent="0.3">
      <c r="G252" s="15">
        <v>0.68611111111111112</v>
      </c>
      <c r="H252" s="3">
        <v>4.7209444444444332E-2</v>
      </c>
    </row>
    <row r="253" spans="7:8" x14ac:dyDescent="0.3">
      <c r="G253" s="15">
        <v>0.68888888888888888</v>
      </c>
      <c r="H253" s="3">
        <v>4.7215555555555441E-2</v>
      </c>
    </row>
    <row r="254" spans="7:8" x14ac:dyDescent="0.3">
      <c r="G254" s="15">
        <v>0.69166666666666665</v>
      </c>
      <c r="H254" s="3">
        <v>4.7221666666666551E-2</v>
      </c>
    </row>
    <row r="255" spans="7:8" x14ac:dyDescent="0.3">
      <c r="G255" s="15">
        <v>0.69444444444444442</v>
      </c>
      <c r="H255" s="3">
        <v>4.722777777777766E-2</v>
      </c>
    </row>
    <row r="256" spans="7:8" x14ac:dyDescent="0.3">
      <c r="G256" s="15">
        <v>0.69722222222222219</v>
      </c>
      <c r="H256" s="3">
        <v>4.723388888888877E-2</v>
      </c>
    </row>
    <row r="257" spans="7:8" x14ac:dyDescent="0.3">
      <c r="G257" s="15">
        <v>0.7</v>
      </c>
      <c r="H257" s="3">
        <v>4.7239999999999879E-2</v>
      </c>
    </row>
    <row r="258" spans="7:8" x14ac:dyDescent="0.3">
      <c r="G258" s="15">
        <v>0.70277777777777772</v>
      </c>
      <c r="H258" s="3">
        <v>4.7246111111110989E-2</v>
      </c>
    </row>
    <row r="259" spans="7:8" x14ac:dyDescent="0.3">
      <c r="G259" s="15">
        <v>0.7055555555555556</v>
      </c>
      <c r="H259" s="3">
        <v>4.7252222222222098E-2</v>
      </c>
    </row>
    <row r="260" spans="7:8" x14ac:dyDescent="0.3">
      <c r="G260" s="15">
        <v>0.70833333333333337</v>
      </c>
      <c r="H260" s="3">
        <v>4.7258333333333208E-2</v>
      </c>
    </row>
    <row r="261" spans="7:8" x14ac:dyDescent="0.3">
      <c r="G261" s="15">
        <v>0.71111111111111114</v>
      </c>
      <c r="H261" s="3">
        <v>4.7264444444444317E-2</v>
      </c>
    </row>
    <row r="262" spans="7:8" x14ac:dyDescent="0.3">
      <c r="G262" s="15">
        <v>0.71388888888888891</v>
      </c>
      <c r="H262" s="3">
        <v>4.7270555555555427E-2</v>
      </c>
    </row>
    <row r="263" spans="7:8" x14ac:dyDescent="0.3">
      <c r="G263" s="15">
        <v>0.71666666666666667</v>
      </c>
      <c r="H263" s="3">
        <v>4.7276666666666536E-2</v>
      </c>
    </row>
    <row r="264" spans="7:8" x14ac:dyDescent="0.3">
      <c r="G264" s="15">
        <v>0.71944444444444444</v>
      </c>
      <c r="H264" s="3">
        <v>4.7282777777777646E-2</v>
      </c>
    </row>
    <row r="265" spans="7:8" x14ac:dyDescent="0.3">
      <c r="G265" s="15">
        <v>0.72222222222222221</v>
      </c>
      <c r="H265" s="3">
        <v>4.7288888888888755E-2</v>
      </c>
    </row>
    <row r="266" spans="7:8" x14ac:dyDescent="0.3">
      <c r="G266" s="15">
        <v>0.72499999999999998</v>
      </c>
      <c r="H266" s="3">
        <v>4.7294999999999865E-2</v>
      </c>
    </row>
    <row r="267" spans="7:8" x14ac:dyDescent="0.3">
      <c r="G267" s="15">
        <v>0.72777777777777775</v>
      </c>
      <c r="H267" s="3">
        <v>4.7301111111110974E-2</v>
      </c>
    </row>
    <row r="268" spans="7:8" x14ac:dyDescent="0.3">
      <c r="G268" s="15">
        <v>0.73055555555555551</v>
      </c>
      <c r="H268" s="3">
        <v>4.7307222222222084E-2</v>
      </c>
    </row>
    <row r="269" spans="7:8" x14ac:dyDescent="0.3">
      <c r="G269" s="15">
        <v>0.73333333333333328</v>
      </c>
      <c r="H269" s="3">
        <v>4.7313333333333193E-2</v>
      </c>
    </row>
    <row r="270" spans="7:8" x14ac:dyDescent="0.3">
      <c r="G270" s="15">
        <v>0.73611111111111116</v>
      </c>
      <c r="H270" s="3">
        <v>4.7319444444444303E-2</v>
      </c>
    </row>
    <row r="271" spans="7:8" x14ac:dyDescent="0.3">
      <c r="G271" s="15">
        <v>0.73888888888888893</v>
      </c>
      <c r="H271" s="3">
        <v>4.7325555555555412E-2</v>
      </c>
    </row>
    <row r="272" spans="7:8" x14ac:dyDescent="0.3">
      <c r="G272" s="15">
        <v>0.7416666666666667</v>
      </c>
      <c r="H272" s="3">
        <v>4.7331666666666522E-2</v>
      </c>
    </row>
    <row r="273" spans="7:8" x14ac:dyDescent="0.3">
      <c r="G273" s="15">
        <v>0.74444444444444446</v>
      </c>
      <c r="H273" s="3">
        <v>4.7337777777777632E-2</v>
      </c>
    </row>
    <row r="274" spans="7:8" x14ac:dyDescent="0.3">
      <c r="G274" s="15">
        <v>0.74722222222222223</v>
      </c>
      <c r="H274" s="3">
        <v>4.7343888888888741E-2</v>
      </c>
    </row>
    <row r="275" spans="7:8" x14ac:dyDescent="0.3">
      <c r="G275" s="15">
        <v>0.75</v>
      </c>
      <c r="H275" s="3">
        <v>4.7349999999999851E-2</v>
      </c>
    </row>
    <row r="276" spans="7:8" x14ac:dyDescent="0.3">
      <c r="G276" s="15">
        <v>0.75277777777777777</v>
      </c>
      <c r="H276" s="3">
        <v>4.735611111111096E-2</v>
      </c>
    </row>
    <row r="277" spans="7:8" x14ac:dyDescent="0.3">
      <c r="G277" s="15">
        <v>0.75555555555555554</v>
      </c>
      <c r="H277" s="3">
        <v>4.736222222222207E-2</v>
      </c>
    </row>
    <row r="278" spans="7:8" x14ac:dyDescent="0.3">
      <c r="G278" s="15">
        <v>0.7583333333333333</v>
      </c>
      <c r="H278" s="3">
        <v>4.7368333333333179E-2</v>
      </c>
    </row>
    <row r="279" spans="7:8" x14ac:dyDescent="0.3">
      <c r="G279" s="15">
        <v>0.76111111111111107</v>
      </c>
      <c r="H279" s="3">
        <v>4.7374444444444289E-2</v>
      </c>
    </row>
    <row r="280" spans="7:8" x14ac:dyDescent="0.3">
      <c r="G280" s="15">
        <v>0.76388888888888884</v>
      </c>
      <c r="H280" s="3">
        <v>4.7380555555555398E-2</v>
      </c>
    </row>
    <row r="281" spans="7:8" x14ac:dyDescent="0.3">
      <c r="G281" s="15">
        <v>0.76666666666666672</v>
      </c>
      <c r="H281" s="3">
        <v>4.7386666666666508E-2</v>
      </c>
    </row>
    <row r="282" spans="7:8" x14ac:dyDescent="0.3">
      <c r="G282" s="15">
        <v>0.76944444444444449</v>
      </c>
      <c r="H282" s="3">
        <v>4.7392777777777617E-2</v>
      </c>
    </row>
    <row r="283" spans="7:8" x14ac:dyDescent="0.3">
      <c r="G283" s="15">
        <v>0.77222222222222225</v>
      </c>
      <c r="H283" s="3">
        <v>4.7398888888888734E-2</v>
      </c>
    </row>
    <row r="284" spans="7:8" x14ac:dyDescent="0.3">
      <c r="G284" s="15">
        <v>0.77500000000000002</v>
      </c>
      <c r="H284" s="3">
        <v>4.740499999999985E-2</v>
      </c>
    </row>
    <row r="285" spans="7:8" x14ac:dyDescent="0.3">
      <c r="G285" s="15">
        <v>0.77777777777777779</v>
      </c>
      <c r="H285" s="3">
        <v>4.741111111111096E-2</v>
      </c>
    </row>
    <row r="286" spans="7:8" x14ac:dyDescent="0.3">
      <c r="G286" s="15">
        <v>0.78055555555555556</v>
      </c>
      <c r="H286" s="3">
        <v>4.7417222222222069E-2</v>
      </c>
    </row>
    <row r="287" spans="7:8" x14ac:dyDescent="0.3">
      <c r="G287" s="15">
        <v>0.78333333333333333</v>
      </c>
      <c r="H287" s="3">
        <v>4.7423333333333186E-2</v>
      </c>
    </row>
    <row r="288" spans="7:8" x14ac:dyDescent="0.3">
      <c r="G288" s="15">
        <v>0.78611111111111109</v>
      </c>
      <c r="H288" s="3">
        <v>4.7429444444444302E-2</v>
      </c>
    </row>
    <row r="289" spans="7:8" x14ac:dyDescent="0.3">
      <c r="G289" s="15">
        <v>0.78888888888888886</v>
      </c>
      <c r="H289" s="3">
        <v>4.7435555555555411E-2</v>
      </c>
    </row>
    <row r="290" spans="7:8" x14ac:dyDescent="0.3">
      <c r="G290" s="15">
        <v>0.79166666666666663</v>
      </c>
      <c r="H290" s="3">
        <v>4.7441666666666521E-2</v>
      </c>
    </row>
    <row r="291" spans="7:8" x14ac:dyDescent="0.3">
      <c r="G291" s="15">
        <v>0.7944444444444444</v>
      </c>
      <c r="H291" s="3">
        <v>4.7447777777777637E-2</v>
      </c>
    </row>
    <row r="292" spans="7:8" x14ac:dyDescent="0.3">
      <c r="G292" s="15">
        <v>0.79722222222222228</v>
      </c>
      <c r="H292" s="3">
        <v>4.7453888888888754E-2</v>
      </c>
    </row>
    <row r="293" spans="7:8" x14ac:dyDescent="0.3">
      <c r="G293" s="15">
        <v>0.8</v>
      </c>
      <c r="H293" s="3">
        <v>4.7459999999999863E-2</v>
      </c>
    </row>
    <row r="294" spans="7:8" x14ac:dyDescent="0.3">
      <c r="G294" s="15">
        <v>0.80277777777777781</v>
      </c>
      <c r="H294" s="3">
        <v>4.7466111111110973E-2</v>
      </c>
    </row>
    <row r="295" spans="7:8" x14ac:dyDescent="0.3">
      <c r="G295" s="15">
        <v>0.80555555555555558</v>
      </c>
      <c r="H295" s="3">
        <v>4.7472222222222089E-2</v>
      </c>
    </row>
    <row r="296" spans="7:8" x14ac:dyDescent="0.3">
      <c r="G296" s="15">
        <v>0.80833333333333335</v>
      </c>
      <c r="H296" s="3">
        <v>4.7478333333333206E-2</v>
      </c>
    </row>
    <row r="297" spans="7:8" x14ac:dyDescent="0.3">
      <c r="G297" s="15">
        <v>0.81111111111111112</v>
      </c>
      <c r="H297" s="3">
        <v>4.7484444444444315E-2</v>
      </c>
    </row>
    <row r="298" spans="7:8" x14ac:dyDescent="0.3">
      <c r="G298" s="15">
        <v>0.81388888888888888</v>
      </c>
      <c r="H298" s="3">
        <v>4.7490555555555425E-2</v>
      </c>
    </row>
    <row r="299" spans="7:8" x14ac:dyDescent="0.3">
      <c r="G299" s="15">
        <v>0.81666666666666665</v>
      </c>
      <c r="H299" s="3">
        <v>4.7496666666666541E-2</v>
      </c>
    </row>
    <row r="300" spans="7:8" x14ac:dyDescent="0.3">
      <c r="G300" s="15">
        <v>0.81944444444444442</v>
      </c>
      <c r="H300" s="3">
        <v>4.7502777777777658E-2</v>
      </c>
    </row>
    <row r="301" spans="7:8" x14ac:dyDescent="0.3">
      <c r="G301" s="15">
        <v>0.82222222222222219</v>
      </c>
      <c r="H301" s="3">
        <v>4.7508888888888767E-2</v>
      </c>
    </row>
    <row r="302" spans="7:8" x14ac:dyDescent="0.3">
      <c r="G302" s="15">
        <v>0.82499999999999996</v>
      </c>
      <c r="H302" s="3">
        <v>4.7514999999999877E-2</v>
      </c>
    </row>
    <row r="303" spans="7:8" x14ac:dyDescent="0.3">
      <c r="G303" s="15">
        <v>0.82777777777777772</v>
      </c>
      <c r="H303" s="3">
        <v>4.7521111111110993E-2</v>
      </c>
    </row>
    <row r="304" spans="7:8" x14ac:dyDescent="0.3">
      <c r="G304" s="15">
        <v>0.8305555555555556</v>
      </c>
      <c r="H304" s="3">
        <v>4.752722222222211E-2</v>
      </c>
    </row>
    <row r="305" spans="7:8" x14ac:dyDescent="0.3">
      <c r="G305" s="15">
        <v>0.83333333333333337</v>
      </c>
      <c r="H305" s="3">
        <v>4.7533333333333219E-2</v>
      </c>
    </row>
    <row r="306" spans="7:8" x14ac:dyDescent="0.3">
      <c r="G306" s="15">
        <v>0.83611111111111114</v>
      </c>
      <c r="H306" s="3">
        <v>4.7539444444444329E-2</v>
      </c>
    </row>
    <row r="307" spans="7:8" x14ac:dyDescent="0.3">
      <c r="G307" s="15">
        <v>0.83888888888888891</v>
      </c>
      <c r="H307" s="3">
        <v>4.7545555555555445E-2</v>
      </c>
    </row>
    <row r="308" spans="7:8" x14ac:dyDescent="0.3">
      <c r="G308" s="15">
        <v>0.84166666666666667</v>
      </c>
      <c r="H308" s="3">
        <v>4.7551666666666562E-2</v>
      </c>
    </row>
    <row r="309" spans="7:8" x14ac:dyDescent="0.3">
      <c r="G309" s="15">
        <v>0.84444444444444444</v>
      </c>
      <c r="H309" s="3">
        <v>4.7557777777777671E-2</v>
      </c>
    </row>
    <row r="310" spans="7:8" x14ac:dyDescent="0.3">
      <c r="G310" s="15">
        <v>0.84722222222222221</v>
      </c>
      <c r="H310" s="3">
        <v>4.7563888888888781E-2</v>
      </c>
    </row>
    <row r="311" spans="7:8" x14ac:dyDescent="0.3">
      <c r="G311" s="15">
        <v>0.85</v>
      </c>
      <c r="H311" s="3">
        <v>4.7569999999999897E-2</v>
      </c>
    </row>
    <row r="312" spans="7:8" x14ac:dyDescent="0.3">
      <c r="G312" s="15">
        <v>0.85277777777777775</v>
      </c>
      <c r="H312" s="3">
        <v>4.7576111111111014E-2</v>
      </c>
    </row>
    <row r="313" spans="7:8" x14ac:dyDescent="0.3">
      <c r="G313" s="15">
        <v>0.85555555555555551</v>
      </c>
      <c r="H313" s="3">
        <v>4.7582222222222123E-2</v>
      </c>
    </row>
    <row r="314" spans="7:8" x14ac:dyDescent="0.3">
      <c r="G314" s="15">
        <v>0.85833333333333328</v>
      </c>
      <c r="H314" s="3">
        <v>4.7588333333333233E-2</v>
      </c>
    </row>
    <row r="315" spans="7:8" x14ac:dyDescent="0.3">
      <c r="G315" s="15">
        <v>0.86111111111111116</v>
      </c>
      <c r="H315" s="3">
        <v>4.7594444444444349E-2</v>
      </c>
    </row>
    <row r="316" spans="7:8" x14ac:dyDescent="0.3">
      <c r="G316" s="15">
        <v>0.86388888888888893</v>
      </c>
      <c r="H316" s="3">
        <v>4.7600555555555465E-2</v>
      </c>
    </row>
    <row r="317" spans="7:8" x14ac:dyDescent="0.3">
      <c r="G317" s="15">
        <v>0.8666666666666667</v>
      </c>
      <c r="H317" s="3">
        <v>4.7606666666666575E-2</v>
      </c>
    </row>
    <row r="318" spans="7:8" x14ac:dyDescent="0.3">
      <c r="G318" s="15">
        <v>0.86944444444444446</v>
      </c>
      <c r="H318" s="3">
        <v>4.7612777777777684E-2</v>
      </c>
    </row>
    <row r="319" spans="7:8" x14ac:dyDescent="0.3">
      <c r="G319" s="15">
        <v>0.87222222222222223</v>
      </c>
      <c r="H319" s="3">
        <v>4.7618888888888801E-2</v>
      </c>
    </row>
    <row r="320" spans="7:8" x14ac:dyDescent="0.3">
      <c r="G320" s="15">
        <v>0.875</v>
      </c>
      <c r="H320" s="3">
        <v>4.7624999999999917E-2</v>
      </c>
    </row>
    <row r="321" spans="7:8" x14ac:dyDescent="0.3">
      <c r="G321" s="15">
        <v>0.87777777777777777</v>
      </c>
      <c r="H321" s="3">
        <v>4.7631111111111027E-2</v>
      </c>
    </row>
    <row r="322" spans="7:8" x14ac:dyDescent="0.3">
      <c r="G322" s="15">
        <v>0.88055555555555554</v>
      </c>
      <c r="H322" s="3">
        <v>4.7637222222222136E-2</v>
      </c>
    </row>
    <row r="323" spans="7:8" x14ac:dyDescent="0.3">
      <c r="G323" s="15">
        <v>0.8833333333333333</v>
      </c>
      <c r="H323" s="3">
        <v>4.7643333333333253E-2</v>
      </c>
    </row>
    <row r="324" spans="7:8" x14ac:dyDescent="0.3">
      <c r="G324" s="15">
        <v>0.88611111111111107</v>
      </c>
      <c r="H324" s="3">
        <v>4.7649444444444369E-2</v>
      </c>
    </row>
    <row r="325" spans="7:8" x14ac:dyDescent="0.3">
      <c r="G325" s="15">
        <v>0.88888888888888884</v>
      </c>
      <c r="H325" s="3">
        <v>4.7655555555555479E-2</v>
      </c>
    </row>
    <row r="326" spans="7:8" x14ac:dyDescent="0.3">
      <c r="G326" s="15">
        <v>0.89166666666666672</v>
      </c>
      <c r="H326" s="3">
        <v>4.7661666666666588E-2</v>
      </c>
    </row>
    <row r="327" spans="7:8" x14ac:dyDescent="0.3">
      <c r="G327" s="15">
        <v>0.89444444444444449</v>
      </c>
      <c r="H327" s="3">
        <v>4.7667777777777705E-2</v>
      </c>
    </row>
    <row r="328" spans="7:8" x14ac:dyDescent="0.3">
      <c r="G328" s="15">
        <v>0.89722222222222225</v>
      </c>
      <c r="H328" s="3">
        <v>4.7673888888888821E-2</v>
      </c>
    </row>
    <row r="329" spans="7:8" x14ac:dyDescent="0.3">
      <c r="G329" s="15">
        <v>0.9</v>
      </c>
      <c r="H329" s="3">
        <v>4.7679999999999931E-2</v>
      </c>
    </row>
    <row r="330" spans="7:8" x14ac:dyDescent="0.3">
      <c r="G330" s="15">
        <v>0.90277777777777779</v>
      </c>
      <c r="H330" s="3">
        <v>4.768611111111104E-2</v>
      </c>
    </row>
    <row r="331" spans="7:8" x14ac:dyDescent="0.3">
      <c r="G331" s="15">
        <v>0.90555555555555556</v>
      </c>
      <c r="H331" s="3">
        <v>4.7692222222222157E-2</v>
      </c>
    </row>
    <row r="332" spans="7:8" x14ac:dyDescent="0.3">
      <c r="G332" s="15">
        <v>0.90833333333333333</v>
      </c>
      <c r="H332" s="3">
        <v>4.7698333333333273E-2</v>
      </c>
    </row>
    <row r="333" spans="7:8" x14ac:dyDescent="0.3">
      <c r="G333" s="15">
        <v>0.91111111111111109</v>
      </c>
      <c r="H333" s="3">
        <v>4.7704444444444383E-2</v>
      </c>
    </row>
    <row r="334" spans="7:8" x14ac:dyDescent="0.3">
      <c r="G334" s="15">
        <v>0.91388888888888886</v>
      </c>
      <c r="H334" s="3">
        <v>4.7710555555555492E-2</v>
      </c>
    </row>
    <row r="335" spans="7:8" x14ac:dyDescent="0.3">
      <c r="G335" s="15">
        <v>0.91666666666666663</v>
      </c>
      <c r="H335" s="3">
        <v>4.7716666666666609E-2</v>
      </c>
    </row>
    <row r="336" spans="7:8" x14ac:dyDescent="0.3">
      <c r="G336" s="15">
        <v>0.9194444444444444</v>
      </c>
      <c r="H336" s="3">
        <v>4.7722777777777725E-2</v>
      </c>
    </row>
    <row r="337" spans="7:8" x14ac:dyDescent="0.3">
      <c r="G337" s="15">
        <v>0.92222222222222228</v>
      </c>
      <c r="H337" s="3">
        <v>4.7728888888888835E-2</v>
      </c>
    </row>
    <row r="338" spans="7:8" x14ac:dyDescent="0.3">
      <c r="G338" s="15">
        <v>0.92500000000000004</v>
      </c>
      <c r="H338" s="3">
        <v>4.7734999999999944E-2</v>
      </c>
    </row>
    <row r="339" spans="7:8" x14ac:dyDescent="0.3">
      <c r="G339" s="15">
        <v>0.92777777777777781</v>
      </c>
      <c r="H339" s="3">
        <v>4.7741111111111061E-2</v>
      </c>
    </row>
    <row r="340" spans="7:8" x14ac:dyDescent="0.3">
      <c r="G340" s="15">
        <v>0.93055555555555558</v>
      </c>
      <c r="H340" s="3">
        <v>4.7747222222222177E-2</v>
      </c>
    </row>
    <row r="341" spans="7:8" x14ac:dyDescent="0.3">
      <c r="G341" s="15">
        <v>0.93333333333333335</v>
      </c>
      <c r="H341" s="3">
        <v>4.7753333333333287E-2</v>
      </c>
    </row>
    <row r="342" spans="7:8" x14ac:dyDescent="0.3">
      <c r="G342" s="15">
        <v>0.93611111111111112</v>
      </c>
      <c r="H342" s="3">
        <v>4.7759444444444396E-2</v>
      </c>
    </row>
    <row r="343" spans="7:8" x14ac:dyDescent="0.3">
      <c r="G343" s="15">
        <v>0.93888888888888888</v>
      </c>
      <c r="H343" s="3">
        <v>4.7765555555555513E-2</v>
      </c>
    </row>
    <row r="344" spans="7:8" x14ac:dyDescent="0.3">
      <c r="G344" s="15">
        <v>0.94166666666666665</v>
      </c>
      <c r="H344" s="3">
        <v>4.7771666666666629E-2</v>
      </c>
    </row>
    <row r="345" spans="7:8" x14ac:dyDescent="0.3">
      <c r="G345" s="15">
        <v>0.94444444444444442</v>
      </c>
      <c r="H345" s="3">
        <v>4.7777777777777738E-2</v>
      </c>
    </row>
    <row r="346" spans="7:8" x14ac:dyDescent="0.3">
      <c r="G346" s="15">
        <v>0.94722222222222219</v>
      </c>
      <c r="H346" s="3">
        <v>4.7783888888888848E-2</v>
      </c>
    </row>
    <row r="347" spans="7:8" x14ac:dyDescent="0.3">
      <c r="G347" s="15">
        <v>0.95</v>
      </c>
      <c r="H347" s="3">
        <v>4.7789999999999964E-2</v>
      </c>
    </row>
    <row r="348" spans="7:8" x14ac:dyDescent="0.3">
      <c r="G348" s="15">
        <v>0.95277777777777772</v>
      </c>
      <c r="H348" s="3">
        <v>4.7796111111111081E-2</v>
      </c>
    </row>
    <row r="349" spans="7:8" x14ac:dyDescent="0.3">
      <c r="G349" s="15">
        <v>0.9555555555555556</v>
      </c>
      <c r="H349" s="3">
        <v>4.780222222222219E-2</v>
      </c>
    </row>
    <row r="350" spans="7:8" x14ac:dyDescent="0.3">
      <c r="G350" s="15">
        <v>0.95833333333333337</v>
      </c>
      <c r="H350" s="3">
        <v>4.78083333333333E-2</v>
      </c>
    </row>
    <row r="351" spans="7:8" x14ac:dyDescent="0.3">
      <c r="G351" s="15">
        <v>0.96111111111111114</v>
      </c>
      <c r="H351" s="3">
        <v>4.7814444444444416E-2</v>
      </c>
    </row>
    <row r="352" spans="7:8" x14ac:dyDescent="0.3">
      <c r="G352" s="15">
        <v>0.96388888888888891</v>
      </c>
      <c r="H352" s="3">
        <v>4.7820555555555533E-2</v>
      </c>
    </row>
    <row r="353" spans="7:8" x14ac:dyDescent="0.3">
      <c r="G353" s="15">
        <v>0.96666666666666667</v>
      </c>
      <c r="H353" s="3">
        <v>4.7826666666666642E-2</v>
      </c>
    </row>
    <row r="354" spans="7:8" x14ac:dyDescent="0.3">
      <c r="G354" s="15">
        <v>0.96944444444444444</v>
      </c>
      <c r="H354" s="3">
        <v>4.7832777777777752E-2</v>
      </c>
    </row>
    <row r="355" spans="7:8" x14ac:dyDescent="0.3">
      <c r="G355" s="15">
        <v>0.97222222222222221</v>
      </c>
      <c r="H355" s="3">
        <v>4.7838888888888868E-2</v>
      </c>
    </row>
    <row r="356" spans="7:8" x14ac:dyDescent="0.3">
      <c r="G356" s="15">
        <v>0.97499999999999998</v>
      </c>
      <c r="H356" s="3">
        <v>4.7844999999999985E-2</v>
      </c>
    </row>
    <row r="357" spans="7:8" x14ac:dyDescent="0.3">
      <c r="G357" s="15">
        <v>0.97777777777777775</v>
      </c>
      <c r="H357" s="3">
        <v>4.7851111111111094E-2</v>
      </c>
    </row>
    <row r="358" spans="7:8" x14ac:dyDescent="0.3">
      <c r="G358" s="15">
        <v>0.98055555555555551</v>
      </c>
      <c r="H358" s="3">
        <v>4.7857222222222204E-2</v>
      </c>
    </row>
    <row r="359" spans="7:8" x14ac:dyDescent="0.3">
      <c r="G359" s="15">
        <v>0.98333333333333328</v>
      </c>
      <c r="H359" s="3">
        <v>4.786333333333332E-2</v>
      </c>
    </row>
    <row r="360" spans="7:8" x14ac:dyDescent="0.3">
      <c r="G360" s="15">
        <v>0.98611111111111116</v>
      </c>
      <c r="H360" s="3">
        <v>4.7869444444444437E-2</v>
      </c>
    </row>
    <row r="361" spans="7:8" x14ac:dyDescent="0.3">
      <c r="G361" s="15">
        <v>0.98888888888888893</v>
      </c>
      <c r="H361" s="3">
        <v>4.7875555555555546E-2</v>
      </c>
    </row>
    <row r="362" spans="7:8" x14ac:dyDescent="0.3">
      <c r="G362" s="15">
        <v>0.9916666666666667</v>
      </c>
      <c r="H362" s="3">
        <v>4.7881666666666656E-2</v>
      </c>
    </row>
    <row r="363" spans="7:8" x14ac:dyDescent="0.3">
      <c r="G363" s="15">
        <v>0.99444444444444446</v>
      </c>
      <c r="H363" s="3">
        <v>4.7887777777777772E-2</v>
      </c>
    </row>
    <row r="364" spans="7:8" x14ac:dyDescent="0.3">
      <c r="G364" s="15">
        <v>0.99722222222222223</v>
      </c>
      <c r="H364" s="3">
        <v>4.7893888888888889E-2</v>
      </c>
    </row>
    <row r="365" spans="7:8" x14ac:dyDescent="0.3">
      <c r="G365" s="15">
        <v>1</v>
      </c>
      <c r="H365" s="3">
        <v>4.7899999999999998E-2</v>
      </c>
    </row>
    <row r="366" spans="7:8" x14ac:dyDescent="0.3">
      <c r="G366" s="15">
        <v>1.0027777777777778</v>
      </c>
      <c r="H366" s="3">
        <v>4.7891111111111107E-2</v>
      </c>
    </row>
    <row r="367" spans="7:8" x14ac:dyDescent="0.3">
      <c r="G367" s="15">
        <v>1.0055555555555555</v>
      </c>
      <c r="H367" s="3">
        <v>4.7882222222222215E-2</v>
      </c>
    </row>
    <row r="368" spans="7:8" x14ac:dyDescent="0.3">
      <c r="G368" s="15">
        <v>1.0083333333333333</v>
      </c>
      <c r="H368" s="3">
        <v>4.7873333333333323E-2</v>
      </c>
    </row>
    <row r="369" spans="7:8" x14ac:dyDescent="0.3">
      <c r="G369" s="15">
        <v>1.0111111111111111</v>
      </c>
      <c r="H369" s="3">
        <v>4.7864444444444432E-2</v>
      </c>
    </row>
    <row r="370" spans="7:8" x14ac:dyDescent="0.3">
      <c r="G370" s="15">
        <v>1.0138888888888888</v>
      </c>
      <c r="H370" s="3">
        <v>4.785555555555554E-2</v>
      </c>
    </row>
    <row r="371" spans="7:8" x14ac:dyDescent="0.3">
      <c r="G371" s="15">
        <v>1.0166666666666666</v>
      </c>
      <c r="H371" s="3">
        <v>4.7846666666666648E-2</v>
      </c>
    </row>
    <row r="372" spans="7:8" x14ac:dyDescent="0.3">
      <c r="G372" s="15">
        <v>1.0194444444444444</v>
      </c>
      <c r="H372" s="3">
        <v>4.7837777777777757E-2</v>
      </c>
    </row>
    <row r="373" spans="7:8" x14ac:dyDescent="0.3">
      <c r="G373" s="15">
        <v>1.0222222222222221</v>
      </c>
      <c r="H373" s="3">
        <v>4.7828888888888865E-2</v>
      </c>
    </row>
    <row r="374" spans="7:8" x14ac:dyDescent="0.3">
      <c r="G374" s="15">
        <v>1.0249999999999999</v>
      </c>
      <c r="H374" s="3">
        <v>4.7819999999999974E-2</v>
      </c>
    </row>
    <row r="375" spans="7:8" x14ac:dyDescent="0.3">
      <c r="G375" s="15">
        <v>1.0277777777777777</v>
      </c>
      <c r="H375" s="3">
        <v>4.7811111111111082E-2</v>
      </c>
    </row>
    <row r="376" spans="7:8" x14ac:dyDescent="0.3">
      <c r="G376" s="15">
        <v>1.0305555555555554</v>
      </c>
      <c r="H376" s="3">
        <v>4.780222222222219E-2</v>
      </c>
    </row>
    <row r="377" spans="7:8" x14ac:dyDescent="0.3">
      <c r="G377" s="15">
        <v>1.0333333333333334</v>
      </c>
      <c r="H377" s="3">
        <v>4.7793333333333299E-2</v>
      </c>
    </row>
    <row r="378" spans="7:8" x14ac:dyDescent="0.3">
      <c r="G378" s="15">
        <v>1.0361111111111112</v>
      </c>
      <c r="H378" s="3">
        <v>4.7784444444444407E-2</v>
      </c>
    </row>
    <row r="379" spans="7:8" x14ac:dyDescent="0.3">
      <c r="G379" s="15">
        <v>1.038888888888889</v>
      </c>
      <c r="H379" s="3">
        <v>4.7775555555555516E-2</v>
      </c>
    </row>
    <row r="380" spans="7:8" x14ac:dyDescent="0.3">
      <c r="G380" s="15">
        <v>1.0416666666666667</v>
      </c>
      <c r="H380" s="3">
        <v>4.7766666666666624E-2</v>
      </c>
    </row>
    <row r="381" spans="7:8" x14ac:dyDescent="0.3">
      <c r="G381" s="15">
        <v>1.0444444444444445</v>
      </c>
      <c r="H381" s="3">
        <v>4.7757777777777732E-2</v>
      </c>
    </row>
    <row r="382" spans="7:8" x14ac:dyDescent="0.3">
      <c r="G382" s="15">
        <v>1.0472222222222223</v>
      </c>
      <c r="H382" s="3">
        <v>4.7748888888888841E-2</v>
      </c>
    </row>
    <row r="383" spans="7:8" x14ac:dyDescent="0.3">
      <c r="G383" s="15">
        <v>1.05</v>
      </c>
      <c r="H383" s="3">
        <v>4.7739999999999949E-2</v>
      </c>
    </row>
    <row r="384" spans="7:8" x14ac:dyDescent="0.3">
      <c r="G384" s="15">
        <v>1.0527777777777778</v>
      </c>
      <c r="H384" s="3">
        <v>4.7731111111111058E-2</v>
      </c>
    </row>
    <row r="385" spans="7:8" x14ac:dyDescent="0.3">
      <c r="G385" s="15">
        <v>1.0555555555555556</v>
      </c>
      <c r="H385" s="3">
        <v>4.7722222222222166E-2</v>
      </c>
    </row>
    <row r="386" spans="7:8" x14ac:dyDescent="0.3">
      <c r="G386" s="15">
        <v>1.0583333333333333</v>
      </c>
      <c r="H386" s="3">
        <v>4.7713333333333274E-2</v>
      </c>
    </row>
    <row r="387" spans="7:8" x14ac:dyDescent="0.3">
      <c r="G387" s="15">
        <v>1.0611111111111111</v>
      </c>
      <c r="H387" s="3">
        <v>4.7704444444444383E-2</v>
      </c>
    </row>
    <row r="388" spans="7:8" x14ac:dyDescent="0.3">
      <c r="G388" s="15">
        <v>1.0638888888888889</v>
      </c>
      <c r="H388" s="3">
        <v>4.7695555555555491E-2</v>
      </c>
    </row>
    <row r="389" spans="7:8" x14ac:dyDescent="0.3">
      <c r="G389" s="15">
        <v>1.0666666666666667</v>
      </c>
      <c r="H389" s="3">
        <v>4.7686666666666599E-2</v>
      </c>
    </row>
    <row r="390" spans="7:8" x14ac:dyDescent="0.3">
      <c r="G390" s="15">
        <v>1.0694444444444444</v>
      </c>
      <c r="H390" s="3">
        <v>4.7677777777777708E-2</v>
      </c>
    </row>
    <row r="391" spans="7:8" x14ac:dyDescent="0.3">
      <c r="G391" s="15">
        <v>1.0722222222222222</v>
      </c>
      <c r="H391" s="3">
        <v>4.7668888888888816E-2</v>
      </c>
    </row>
    <row r="392" spans="7:8" x14ac:dyDescent="0.3">
      <c r="G392" s="15">
        <v>1.075</v>
      </c>
      <c r="H392" s="3">
        <v>4.7659999999999925E-2</v>
      </c>
    </row>
    <row r="393" spans="7:8" x14ac:dyDescent="0.3">
      <c r="G393" s="15">
        <v>1.0777777777777777</v>
      </c>
      <c r="H393" s="3">
        <v>4.7651111111111033E-2</v>
      </c>
    </row>
    <row r="394" spans="7:8" x14ac:dyDescent="0.3">
      <c r="G394" s="15">
        <v>1.0805555555555555</v>
      </c>
      <c r="H394" s="3">
        <v>4.7642222222222141E-2</v>
      </c>
    </row>
    <row r="395" spans="7:8" x14ac:dyDescent="0.3">
      <c r="G395" s="15">
        <v>1.0833333333333333</v>
      </c>
      <c r="H395" s="3">
        <v>4.763333333333325E-2</v>
      </c>
    </row>
    <row r="396" spans="7:8" x14ac:dyDescent="0.3">
      <c r="G396" s="15">
        <v>1.086111111111111</v>
      </c>
      <c r="H396" s="3">
        <v>4.7624444444444358E-2</v>
      </c>
    </row>
    <row r="397" spans="7:8" x14ac:dyDescent="0.3">
      <c r="G397" s="15">
        <v>1.0888888888888888</v>
      </c>
      <c r="H397" s="3">
        <v>4.7615555555555467E-2</v>
      </c>
    </row>
    <row r="398" spans="7:8" x14ac:dyDescent="0.3">
      <c r="G398" s="15">
        <v>1.0916666666666666</v>
      </c>
      <c r="H398" s="3">
        <v>4.7606666666666575E-2</v>
      </c>
    </row>
    <row r="399" spans="7:8" x14ac:dyDescent="0.3">
      <c r="G399" s="15">
        <v>1.0944444444444446</v>
      </c>
      <c r="H399" s="3">
        <v>4.7597777777777683E-2</v>
      </c>
    </row>
    <row r="400" spans="7:8" x14ac:dyDescent="0.3">
      <c r="G400" s="15">
        <v>1.0972222222222223</v>
      </c>
      <c r="H400" s="3">
        <v>4.7588888888888792E-2</v>
      </c>
    </row>
    <row r="401" spans="7:8" x14ac:dyDescent="0.3">
      <c r="G401" s="15">
        <v>1.1000000000000001</v>
      </c>
      <c r="H401" s="3">
        <v>4.75799999999999E-2</v>
      </c>
    </row>
    <row r="402" spans="7:8" x14ac:dyDescent="0.3">
      <c r="G402" s="15">
        <v>1.1027777777777779</v>
      </c>
      <c r="H402" s="3">
        <v>4.7571111111111009E-2</v>
      </c>
    </row>
    <row r="403" spans="7:8" x14ac:dyDescent="0.3">
      <c r="G403" s="15">
        <v>1.1055555555555556</v>
      </c>
      <c r="H403" s="3">
        <v>4.7562222222222117E-2</v>
      </c>
    </row>
    <row r="404" spans="7:8" x14ac:dyDescent="0.3">
      <c r="G404" s="15">
        <v>1.1083333333333334</v>
      </c>
      <c r="H404" s="3">
        <v>4.7553333333333225E-2</v>
      </c>
    </row>
    <row r="405" spans="7:8" x14ac:dyDescent="0.3">
      <c r="G405" s="15">
        <v>1.1111111111111112</v>
      </c>
      <c r="H405" s="3">
        <v>4.7544444444444334E-2</v>
      </c>
    </row>
    <row r="406" spans="7:8" x14ac:dyDescent="0.3">
      <c r="G406" s="15">
        <v>1.1138888888888889</v>
      </c>
      <c r="H406" s="3">
        <v>4.7535555555555442E-2</v>
      </c>
    </row>
    <row r="407" spans="7:8" x14ac:dyDescent="0.3">
      <c r="G407" s="15">
        <v>1.1166666666666667</v>
      </c>
      <c r="H407" s="3">
        <v>4.752666666666655E-2</v>
      </c>
    </row>
    <row r="408" spans="7:8" x14ac:dyDescent="0.3">
      <c r="G408" s="15">
        <v>1.1194444444444445</v>
      </c>
      <c r="H408" s="3">
        <v>4.7517777777777659E-2</v>
      </c>
    </row>
    <row r="409" spans="7:8" x14ac:dyDescent="0.3">
      <c r="G409" s="15">
        <v>1.1222222222222222</v>
      </c>
      <c r="H409" s="3">
        <v>4.7508888888888767E-2</v>
      </c>
    </row>
    <row r="410" spans="7:8" x14ac:dyDescent="0.3">
      <c r="G410" s="15">
        <v>1.125</v>
      </c>
      <c r="H410" s="3">
        <v>4.7499999999999876E-2</v>
      </c>
    </row>
    <row r="411" spans="7:8" x14ac:dyDescent="0.3">
      <c r="G411" s="15">
        <v>1.1277777777777778</v>
      </c>
      <c r="H411" s="3">
        <v>4.7491111111110984E-2</v>
      </c>
    </row>
    <row r="412" spans="7:8" x14ac:dyDescent="0.3">
      <c r="G412" s="15">
        <v>1.1305555555555555</v>
      </c>
      <c r="H412" s="3">
        <v>4.7482222222222092E-2</v>
      </c>
    </row>
    <row r="413" spans="7:8" x14ac:dyDescent="0.3">
      <c r="G413" s="15">
        <v>1.1333333333333333</v>
      </c>
      <c r="H413" s="3">
        <v>4.7473333333333201E-2</v>
      </c>
    </row>
    <row r="414" spans="7:8" x14ac:dyDescent="0.3">
      <c r="G414" s="15">
        <v>1.1361111111111111</v>
      </c>
      <c r="H414" s="3">
        <v>4.7464444444444309E-2</v>
      </c>
    </row>
    <row r="415" spans="7:8" x14ac:dyDescent="0.3">
      <c r="G415" s="15">
        <v>1.1388888888888888</v>
      </c>
      <c r="H415" s="3">
        <v>4.7455555555555418E-2</v>
      </c>
    </row>
    <row r="416" spans="7:8" x14ac:dyDescent="0.3">
      <c r="G416" s="15">
        <v>1.1416666666666666</v>
      </c>
      <c r="H416" s="3">
        <v>4.7446666666666526E-2</v>
      </c>
    </row>
    <row r="417" spans="7:8" x14ac:dyDescent="0.3">
      <c r="G417" s="15">
        <v>1.1444444444444444</v>
      </c>
      <c r="H417" s="3">
        <v>4.7437777777777634E-2</v>
      </c>
    </row>
    <row r="418" spans="7:8" x14ac:dyDescent="0.3">
      <c r="G418" s="15">
        <v>1.1472222222222221</v>
      </c>
      <c r="H418" s="3">
        <v>4.7428888888888743E-2</v>
      </c>
    </row>
    <row r="419" spans="7:8" x14ac:dyDescent="0.3">
      <c r="G419" s="15">
        <v>1.1499999999999999</v>
      </c>
      <c r="H419" s="3">
        <v>4.7419999999999851E-2</v>
      </c>
    </row>
    <row r="420" spans="7:8" x14ac:dyDescent="0.3">
      <c r="G420" s="15">
        <v>1.1527777777777777</v>
      </c>
      <c r="H420" s="3">
        <v>4.741111111111096E-2</v>
      </c>
    </row>
    <row r="421" spans="7:8" x14ac:dyDescent="0.3">
      <c r="G421" s="15">
        <v>1.1555555555555554</v>
      </c>
      <c r="H421" s="3">
        <v>4.7402222222222068E-2</v>
      </c>
    </row>
    <row r="422" spans="7:8" x14ac:dyDescent="0.3">
      <c r="G422" s="15">
        <v>1.1583333333333334</v>
      </c>
      <c r="H422" s="3">
        <v>4.7393333333333176E-2</v>
      </c>
    </row>
    <row r="423" spans="7:8" x14ac:dyDescent="0.3">
      <c r="G423" s="15">
        <v>1.1611111111111112</v>
      </c>
      <c r="H423" s="3">
        <v>4.7384444444444285E-2</v>
      </c>
    </row>
    <row r="424" spans="7:8" x14ac:dyDescent="0.3">
      <c r="G424" s="15">
        <v>1.163888888888889</v>
      </c>
      <c r="H424" s="3">
        <v>4.7375555555555393E-2</v>
      </c>
    </row>
    <row r="425" spans="7:8" x14ac:dyDescent="0.3">
      <c r="G425" s="15">
        <v>1.1666666666666667</v>
      </c>
      <c r="H425" s="3">
        <v>4.7366666666666501E-2</v>
      </c>
    </row>
    <row r="426" spans="7:8" x14ac:dyDescent="0.3">
      <c r="G426" s="15">
        <v>1.1694444444444445</v>
      </c>
      <c r="H426" s="3">
        <v>4.735777777777761E-2</v>
      </c>
    </row>
    <row r="427" spans="7:8" x14ac:dyDescent="0.3">
      <c r="G427" s="15">
        <v>1.1722222222222223</v>
      </c>
      <c r="H427" s="3">
        <v>4.7348888888888718E-2</v>
      </c>
    </row>
    <row r="428" spans="7:8" x14ac:dyDescent="0.3">
      <c r="G428" s="15">
        <v>1.175</v>
      </c>
      <c r="H428" s="3">
        <v>4.7339999999999827E-2</v>
      </c>
    </row>
    <row r="429" spans="7:8" x14ac:dyDescent="0.3">
      <c r="G429" s="15">
        <v>1.1777777777777778</v>
      </c>
      <c r="H429" s="3">
        <v>4.7331111111110935E-2</v>
      </c>
    </row>
    <row r="430" spans="7:8" x14ac:dyDescent="0.3">
      <c r="G430" s="15">
        <v>1.1805555555555556</v>
      </c>
      <c r="H430" s="3">
        <v>4.7322222222222043E-2</v>
      </c>
    </row>
    <row r="431" spans="7:8" x14ac:dyDescent="0.3">
      <c r="G431" s="15">
        <v>1.1833333333333333</v>
      </c>
      <c r="H431" s="3">
        <v>4.7313333333333152E-2</v>
      </c>
    </row>
    <row r="432" spans="7:8" x14ac:dyDescent="0.3">
      <c r="G432" s="15">
        <v>1.1861111111111111</v>
      </c>
      <c r="H432" s="3">
        <v>4.730444444444426E-2</v>
      </c>
    </row>
    <row r="433" spans="7:8" x14ac:dyDescent="0.3">
      <c r="G433" s="15">
        <v>1.1888888888888889</v>
      </c>
      <c r="H433" s="3">
        <v>4.7295555555555369E-2</v>
      </c>
    </row>
    <row r="434" spans="7:8" x14ac:dyDescent="0.3">
      <c r="G434" s="15">
        <v>1.1916666666666667</v>
      </c>
      <c r="H434" s="3">
        <v>4.7286666666666477E-2</v>
      </c>
    </row>
    <row r="435" spans="7:8" x14ac:dyDescent="0.3">
      <c r="G435" s="15">
        <v>1.1944444444444444</v>
      </c>
      <c r="H435" s="3">
        <v>4.7277777777777585E-2</v>
      </c>
    </row>
    <row r="436" spans="7:8" x14ac:dyDescent="0.3">
      <c r="G436" s="15">
        <v>1.1972222222222222</v>
      </c>
      <c r="H436" s="3">
        <v>4.7268888888888694E-2</v>
      </c>
    </row>
    <row r="437" spans="7:8" x14ac:dyDescent="0.3">
      <c r="G437" s="15">
        <v>1.2</v>
      </c>
      <c r="H437" s="3">
        <v>4.7259999999999802E-2</v>
      </c>
    </row>
    <row r="438" spans="7:8" x14ac:dyDescent="0.3">
      <c r="G438" s="15">
        <v>1.2027777777777777</v>
      </c>
      <c r="H438" s="3">
        <v>4.7251111111110911E-2</v>
      </c>
    </row>
    <row r="439" spans="7:8" x14ac:dyDescent="0.3">
      <c r="G439" s="15">
        <v>1.2055555555555555</v>
      </c>
      <c r="H439" s="3">
        <v>4.7242222222222019E-2</v>
      </c>
    </row>
    <row r="440" spans="7:8" x14ac:dyDescent="0.3">
      <c r="G440" s="15">
        <v>1.2083333333333333</v>
      </c>
      <c r="H440" s="3">
        <v>4.7233333333333127E-2</v>
      </c>
    </row>
    <row r="441" spans="7:8" x14ac:dyDescent="0.3">
      <c r="G441" s="15">
        <v>1.211111111111111</v>
      </c>
      <c r="H441" s="3">
        <v>4.7224444444444236E-2</v>
      </c>
    </row>
    <row r="442" spans="7:8" x14ac:dyDescent="0.3">
      <c r="G442" s="15">
        <v>1.2138888888888888</v>
      </c>
      <c r="H442" s="3">
        <v>4.7215555555555344E-2</v>
      </c>
    </row>
    <row r="443" spans="7:8" x14ac:dyDescent="0.3">
      <c r="G443" s="15">
        <v>1.2166666666666666</v>
      </c>
      <c r="H443" s="3">
        <v>4.7206666666666453E-2</v>
      </c>
    </row>
    <row r="444" spans="7:8" x14ac:dyDescent="0.3">
      <c r="G444" s="15">
        <v>1.2194444444444446</v>
      </c>
      <c r="H444" s="3">
        <v>4.7197777777777561E-2</v>
      </c>
    </row>
    <row r="445" spans="7:8" x14ac:dyDescent="0.3">
      <c r="G445" s="15">
        <v>1.2222222222222223</v>
      </c>
      <c r="H445" s="3">
        <v>4.7188888888888676E-2</v>
      </c>
    </row>
    <row r="446" spans="7:8" x14ac:dyDescent="0.3">
      <c r="G446" s="15">
        <v>1.2250000000000001</v>
      </c>
      <c r="H446" s="3">
        <v>4.7179999999999792E-2</v>
      </c>
    </row>
    <row r="447" spans="7:8" x14ac:dyDescent="0.3">
      <c r="G447" s="15">
        <v>1.2277777777777779</v>
      </c>
      <c r="H447" s="3">
        <v>4.71711111111109E-2</v>
      </c>
    </row>
    <row r="448" spans="7:8" x14ac:dyDescent="0.3">
      <c r="G448" s="15">
        <v>1.2305555555555556</v>
      </c>
      <c r="H448" s="3">
        <v>4.7162222222222008E-2</v>
      </c>
    </row>
    <row r="449" spans="7:8" x14ac:dyDescent="0.3">
      <c r="G449" s="15">
        <v>1.2333333333333334</v>
      </c>
      <c r="H449" s="3">
        <v>4.7153333333333124E-2</v>
      </c>
    </row>
    <row r="450" spans="7:8" x14ac:dyDescent="0.3">
      <c r="G450" s="15">
        <v>1.2361111111111112</v>
      </c>
      <c r="H450" s="3">
        <v>4.7144444444444239E-2</v>
      </c>
    </row>
    <row r="451" spans="7:8" x14ac:dyDescent="0.3">
      <c r="G451" s="15">
        <v>1.2388888888888889</v>
      </c>
      <c r="H451" s="3">
        <v>4.7135555555555347E-2</v>
      </c>
    </row>
    <row r="452" spans="7:8" x14ac:dyDescent="0.3">
      <c r="G452" s="15">
        <v>1.2416666666666667</v>
      </c>
      <c r="H452" s="3">
        <v>4.7126666666666456E-2</v>
      </c>
    </row>
    <row r="453" spans="7:8" x14ac:dyDescent="0.3">
      <c r="G453" s="15">
        <v>1.2444444444444445</v>
      </c>
      <c r="H453" s="3">
        <v>4.7117777777777571E-2</v>
      </c>
    </row>
    <row r="454" spans="7:8" x14ac:dyDescent="0.3">
      <c r="G454" s="15">
        <v>1.2472222222222222</v>
      </c>
      <c r="H454" s="3">
        <v>4.7108888888888686E-2</v>
      </c>
    </row>
    <row r="455" spans="7:8" x14ac:dyDescent="0.3">
      <c r="G455" s="15">
        <v>1.25</v>
      </c>
      <c r="H455" s="3">
        <v>4.7099999999999795E-2</v>
      </c>
    </row>
    <row r="456" spans="7:8" x14ac:dyDescent="0.3">
      <c r="G456" s="15">
        <v>1.2527777777777778</v>
      </c>
      <c r="H456" s="3">
        <v>4.7091111111110903E-2</v>
      </c>
    </row>
    <row r="457" spans="7:8" x14ac:dyDescent="0.3">
      <c r="G457" s="15">
        <v>1.2555555555555555</v>
      </c>
      <c r="H457" s="3">
        <v>4.7082222222222019E-2</v>
      </c>
    </row>
    <row r="458" spans="7:8" x14ac:dyDescent="0.3">
      <c r="G458" s="15">
        <v>1.2583333333333333</v>
      </c>
      <c r="H458" s="3">
        <v>4.7073333333333134E-2</v>
      </c>
    </row>
    <row r="459" spans="7:8" x14ac:dyDescent="0.3">
      <c r="G459" s="15">
        <v>1.2611111111111111</v>
      </c>
      <c r="H459" s="3">
        <v>4.7064444444444242E-2</v>
      </c>
    </row>
    <row r="460" spans="7:8" x14ac:dyDescent="0.3">
      <c r="G460" s="15">
        <v>1.2638888888888888</v>
      </c>
      <c r="H460" s="3">
        <v>4.7055555555555351E-2</v>
      </c>
    </row>
    <row r="461" spans="7:8" x14ac:dyDescent="0.3">
      <c r="G461" s="15">
        <v>1.2666666666666666</v>
      </c>
      <c r="H461" s="3">
        <v>4.7046666666666466E-2</v>
      </c>
    </row>
    <row r="462" spans="7:8" x14ac:dyDescent="0.3">
      <c r="G462" s="15">
        <v>1.2694444444444444</v>
      </c>
      <c r="H462" s="3">
        <v>4.7037777777777581E-2</v>
      </c>
    </row>
    <row r="463" spans="7:8" x14ac:dyDescent="0.3">
      <c r="G463" s="15">
        <v>1.2722222222222221</v>
      </c>
      <c r="H463" s="3">
        <v>4.702888888888869E-2</v>
      </c>
    </row>
    <row r="464" spans="7:8" x14ac:dyDescent="0.3">
      <c r="G464" s="15">
        <v>1.2749999999999999</v>
      </c>
      <c r="H464" s="3">
        <v>4.7019999999999798E-2</v>
      </c>
    </row>
    <row r="465" spans="7:8" x14ac:dyDescent="0.3">
      <c r="G465" s="15">
        <v>1.2777777777777777</v>
      </c>
      <c r="H465" s="3">
        <v>4.7011111111110913E-2</v>
      </c>
    </row>
    <row r="466" spans="7:8" x14ac:dyDescent="0.3">
      <c r="G466" s="15">
        <v>1.2805555555555554</v>
      </c>
      <c r="H466" s="3">
        <v>4.7002222222222029E-2</v>
      </c>
    </row>
    <row r="467" spans="7:8" x14ac:dyDescent="0.3">
      <c r="G467" s="15">
        <v>1.2833333333333334</v>
      </c>
      <c r="H467" s="3">
        <v>4.6993333333333137E-2</v>
      </c>
    </row>
    <row r="468" spans="7:8" x14ac:dyDescent="0.3">
      <c r="G468" s="15">
        <v>1.2861111111111112</v>
      </c>
      <c r="H468" s="3">
        <v>4.6984444444444246E-2</v>
      </c>
    </row>
    <row r="469" spans="7:8" x14ac:dyDescent="0.3">
      <c r="G469" s="15">
        <v>1.288888888888889</v>
      </c>
      <c r="H469" s="3">
        <v>4.6975555555555361E-2</v>
      </c>
    </row>
    <row r="470" spans="7:8" x14ac:dyDescent="0.3">
      <c r="G470" s="15">
        <v>1.2916666666666667</v>
      </c>
      <c r="H470" s="3">
        <v>4.6966666666666476E-2</v>
      </c>
    </row>
    <row r="471" spans="7:8" x14ac:dyDescent="0.3">
      <c r="G471" s="15">
        <v>1.2944444444444445</v>
      </c>
      <c r="H471" s="3">
        <v>4.6957777777777585E-2</v>
      </c>
    </row>
    <row r="472" spans="7:8" x14ac:dyDescent="0.3">
      <c r="G472" s="15">
        <v>1.2972222222222223</v>
      </c>
      <c r="H472" s="3">
        <v>4.6948888888888693E-2</v>
      </c>
    </row>
    <row r="473" spans="7:8" x14ac:dyDescent="0.3">
      <c r="G473" s="15">
        <v>1.3</v>
      </c>
      <c r="H473" s="3">
        <v>4.6939999999999808E-2</v>
      </c>
    </row>
    <row r="474" spans="7:8" x14ac:dyDescent="0.3">
      <c r="G474" s="15">
        <v>1.3027777777777778</v>
      </c>
      <c r="H474" s="3">
        <v>4.6931111111110924E-2</v>
      </c>
    </row>
    <row r="475" spans="7:8" x14ac:dyDescent="0.3">
      <c r="G475" s="15">
        <v>1.3055555555555556</v>
      </c>
      <c r="H475" s="3">
        <v>4.6922222222222032E-2</v>
      </c>
    </row>
    <row r="476" spans="7:8" x14ac:dyDescent="0.3">
      <c r="G476" s="15">
        <v>1.3083333333333333</v>
      </c>
      <c r="H476" s="3">
        <v>4.691333333333314E-2</v>
      </c>
    </row>
    <row r="477" spans="7:8" x14ac:dyDescent="0.3">
      <c r="G477" s="15">
        <v>1.3111111111111111</v>
      </c>
      <c r="H477" s="3">
        <v>4.6904444444444256E-2</v>
      </c>
    </row>
    <row r="478" spans="7:8" x14ac:dyDescent="0.3">
      <c r="G478" s="15">
        <v>1.3138888888888889</v>
      </c>
      <c r="H478" s="3">
        <v>4.6895555555555371E-2</v>
      </c>
    </row>
    <row r="479" spans="7:8" x14ac:dyDescent="0.3">
      <c r="G479" s="15">
        <v>1.3166666666666667</v>
      </c>
      <c r="H479" s="3">
        <v>4.6886666666666479E-2</v>
      </c>
    </row>
    <row r="480" spans="7:8" x14ac:dyDescent="0.3">
      <c r="G480" s="15">
        <v>1.3194444444444444</v>
      </c>
      <c r="H480" s="3">
        <v>4.6877777777777588E-2</v>
      </c>
    </row>
    <row r="481" spans="7:8" x14ac:dyDescent="0.3">
      <c r="G481" s="15">
        <v>1.3222222222222222</v>
      </c>
      <c r="H481" s="3">
        <v>4.6868888888888703E-2</v>
      </c>
    </row>
    <row r="482" spans="7:8" x14ac:dyDescent="0.3">
      <c r="G482" s="15">
        <v>1.325</v>
      </c>
      <c r="H482" s="3">
        <v>4.6859999999999818E-2</v>
      </c>
    </row>
    <row r="483" spans="7:8" x14ac:dyDescent="0.3">
      <c r="G483" s="15">
        <v>1.3277777777777777</v>
      </c>
      <c r="H483" s="3">
        <v>4.6851111111110927E-2</v>
      </c>
    </row>
    <row r="484" spans="7:8" x14ac:dyDescent="0.3">
      <c r="G484" s="15">
        <v>1.3305555555555555</v>
      </c>
      <c r="H484" s="3">
        <v>4.6842222222222035E-2</v>
      </c>
    </row>
    <row r="485" spans="7:8" x14ac:dyDescent="0.3">
      <c r="G485" s="15">
        <v>1.3333333333333333</v>
      </c>
      <c r="H485" s="3">
        <v>4.6833333333333151E-2</v>
      </c>
    </row>
    <row r="486" spans="7:8" x14ac:dyDescent="0.3">
      <c r="G486" s="15">
        <v>1.336111111111111</v>
      </c>
      <c r="H486" s="3">
        <v>4.6824444444444266E-2</v>
      </c>
    </row>
    <row r="487" spans="7:8" x14ac:dyDescent="0.3">
      <c r="G487" s="15">
        <v>1.3388888888888888</v>
      </c>
      <c r="H487" s="3">
        <v>4.6815555555555374E-2</v>
      </c>
    </row>
    <row r="488" spans="7:8" x14ac:dyDescent="0.3">
      <c r="G488" s="15">
        <v>1.3416666666666666</v>
      </c>
      <c r="H488" s="3">
        <v>4.6806666666666483E-2</v>
      </c>
    </row>
    <row r="489" spans="7:8" x14ac:dyDescent="0.3">
      <c r="G489" s="15">
        <v>1.3444444444444446</v>
      </c>
      <c r="H489" s="3">
        <v>4.6797777777777598E-2</v>
      </c>
    </row>
    <row r="490" spans="7:8" x14ac:dyDescent="0.3">
      <c r="G490" s="15">
        <v>1.3472222222222223</v>
      </c>
      <c r="H490" s="3">
        <v>4.6788888888888713E-2</v>
      </c>
    </row>
    <row r="491" spans="7:8" x14ac:dyDescent="0.3">
      <c r="G491" s="15">
        <v>1.35</v>
      </c>
      <c r="H491" s="3">
        <v>4.6779999999999822E-2</v>
      </c>
    </row>
    <row r="492" spans="7:8" x14ac:dyDescent="0.3">
      <c r="G492" s="15">
        <v>1.3527777777777779</v>
      </c>
      <c r="H492" s="3">
        <v>4.677111111111093E-2</v>
      </c>
    </row>
    <row r="493" spans="7:8" x14ac:dyDescent="0.3">
      <c r="G493" s="15">
        <v>1.3555555555555556</v>
      </c>
      <c r="H493" s="3">
        <v>4.6762222222222045E-2</v>
      </c>
    </row>
    <row r="494" spans="7:8" x14ac:dyDescent="0.3">
      <c r="G494" s="15">
        <v>1.3583333333333334</v>
      </c>
      <c r="H494" s="3">
        <v>4.6753333333333161E-2</v>
      </c>
    </row>
    <row r="495" spans="7:8" x14ac:dyDescent="0.3">
      <c r="G495" s="15">
        <v>1.3611111111111112</v>
      </c>
      <c r="H495" s="3">
        <v>4.6744444444444269E-2</v>
      </c>
    </row>
    <row r="496" spans="7:8" x14ac:dyDescent="0.3">
      <c r="G496" s="15">
        <v>1.3638888888888889</v>
      </c>
      <c r="H496" s="3">
        <v>4.6735555555555378E-2</v>
      </c>
    </row>
    <row r="497" spans="7:8" x14ac:dyDescent="0.3">
      <c r="G497" s="15">
        <v>1.3666666666666667</v>
      </c>
      <c r="H497" s="3">
        <v>4.6726666666666493E-2</v>
      </c>
    </row>
    <row r="498" spans="7:8" x14ac:dyDescent="0.3">
      <c r="G498" s="15">
        <v>1.3694444444444445</v>
      </c>
      <c r="H498" s="3">
        <v>4.6717777777777608E-2</v>
      </c>
    </row>
    <row r="499" spans="7:8" x14ac:dyDescent="0.3">
      <c r="G499" s="15">
        <v>1.3722222222222222</v>
      </c>
      <c r="H499" s="3">
        <v>4.6708888888888717E-2</v>
      </c>
    </row>
    <row r="500" spans="7:8" x14ac:dyDescent="0.3">
      <c r="G500" s="15">
        <v>1.375</v>
      </c>
      <c r="H500" s="3">
        <v>4.6699999999999825E-2</v>
      </c>
    </row>
    <row r="501" spans="7:8" x14ac:dyDescent="0.3">
      <c r="G501" s="15">
        <v>1.3777777777777778</v>
      </c>
      <c r="H501" s="3">
        <v>4.669111111111094E-2</v>
      </c>
    </row>
    <row r="502" spans="7:8" x14ac:dyDescent="0.3">
      <c r="G502" s="15">
        <v>1.3805555555555555</v>
      </c>
      <c r="H502" s="3">
        <v>4.6682222222222056E-2</v>
      </c>
    </row>
    <row r="503" spans="7:8" x14ac:dyDescent="0.3">
      <c r="G503" s="15">
        <v>1.3833333333333333</v>
      </c>
      <c r="H503" s="3">
        <v>4.6673333333333164E-2</v>
      </c>
    </row>
    <row r="504" spans="7:8" x14ac:dyDescent="0.3">
      <c r="G504" s="15">
        <v>1.3861111111111111</v>
      </c>
      <c r="H504" s="3">
        <v>4.6664444444444272E-2</v>
      </c>
    </row>
    <row r="505" spans="7:8" x14ac:dyDescent="0.3">
      <c r="G505" s="15">
        <v>1.3888888888888888</v>
      </c>
      <c r="H505" s="3">
        <v>4.6655555555555388E-2</v>
      </c>
    </row>
    <row r="506" spans="7:8" x14ac:dyDescent="0.3">
      <c r="G506" s="15">
        <v>1.3916666666666666</v>
      </c>
      <c r="H506" s="3">
        <v>4.6646666666666503E-2</v>
      </c>
    </row>
    <row r="507" spans="7:8" x14ac:dyDescent="0.3">
      <c r="G507" s="15">
        <v>1.3944444444444444</v>
      </c>
      <c r="H507" s="3">
        <v>4.6637777777777611E-2</v>
      </c>
    </row>
    <row r="508" spans="7:8" x14ac:dyDescent="0.3">
      <c r="G508" s="15">
        <v>1.3972222222222221</v>
      </c>
      <c r="H508" s="3">
        <v>4.662888888888872E-2</v>
      </c>
    </row>
    <row r="509" spans="7:8" x14ac:dyDescent="0.3">
      <c r="G509" s="15">
        <v>1.4</v>
      </c>
      <c r="H509" s="3">
        <v>4.6619999999999835E-2</v>
      </c>
    </row>
    <row r="510" spans="7:8" x14ac:dyDescent="0.3">
      <c r="G510" s="15">
        <v>1.4027777777777777</v>
      </c>
      <c r="H510" s="3">
        <v>4.6611111111110951E-2</v>
      </c>
    </row>
    <row r="511" spans="7:8" x14ac:dyDescent="0.3">
      <c r="G511" s="15">
        <v>1.4055555555555554</v>
      </c>
      <c r="H511" s="3">
        <v>4.6602222222222059E-2</v>
      </c>
    </row>
    <row r="512" spans="7:8" x14ac:dyDescent="0.3">
      <c r="G512" s="15">
        <v>1.4083333333333334</v>
      </c>
      <c r="H512" s="3">
        <v>4.6593333333333167E-2</v>
      </c>
    </row>
    <row r="513" spans="7:8" x14ac:dyDescent="0.3">
      <c r="G513" s="15">
        <v>1.4111111111111112</v>
      </c>
      <c r="H513" s="3">
        <v>4.6584444444444283E-2</v>
      </c>
    </row>
    <row r="514" spans="7:8" x14ac:dyDescent="0.3">
      <c r="G514" s="15">
        <v>1.413888888888889</v>
      </c>
      <c r="H514" s="3">
        <v>4.6575555555555398E-2</v>
      </c>
    </row>
    <row r="515" spans="7:8" x14ac:dyDescent="0.3">
      <c r="G515" s="15">
        <v>1.4166666666666667</v>
      </c>
      <c r="H515" s="3">
        <v>4.6566666666666506E-2</v>
      </c>
    </row>
    <row r="516" spans="7:8" x14ac:dyDescent="0.3">
      <c r="G516" s="15">
        <v>1.4194444444444445</v>
      </c>
      <c r="H516" s="3">
        <v>4.6557777777777615E-2</v>
      </c>
    </row>
    <row r="517" spans="7:8" x14ac:dyDescent="0.3">
      <c r="G517" s="15">
        <v>1.4222222222222223</v>
      </c>
      <c r="H517" s="3">
        <v>4.654888888888873E-2</v>
      </c>
    </row>
    <row r="518" spans="7:8" x14ac:dyDescent="0.3">
      <c r="G518" s="15">
        <v>1.425</v>
      </c>
      <c r="H518" s="3">
        <v>4.6539999999999845E-2</v>
      </c>
    </row>
    <row r="519" spans="7:8" x14ac:dyDescent="0.3">
      <c r="G519" s="15">
        <v>1.4277777777777778</v>
      </c>
      <c r="H519" s="3">
        <v>4.6531111111110954E-2</v>
      </c>
    </row>
    <row r="520" spans="7:8" x14ac:dyDescent="0.3">
      <c r="G520" s="15">
        <v>1.4305555555555556</v>
      </c>
      <c r="H520" s="3">
        <v>4.6522222222222062E-2</v>
      </c>
    </row>
    <row r="521" spans="7:8" x14ac:dyDescent="0.3">
      <c r="G521" s="15">
        <v>1.4333333333333333</v>
      </c>
      <c r="H521" s="3">
        <v>4.6513333333333177E-2</v>
      </c>
    </row>
    <row r="522" spans="7:8" x14ac:dyDescent="0.3">
      <c r="G522" s="15">
        <v>1.4361111111111111</v>
      </c>
      <c r="H522" s="3">
        <v>4.6504444444444293E-2</v>
      </c>
    </row>
    <row r="523" spans="7:8" x14ac:dyDescent="0.3">
      <c r="G523" s="15">
        <v>1.4388888888888889</v>
      </c>
      <c r="H523" s="3">
        <v>4.6495555555555401E-2</v>
      </c>
    </row>
    <row r="524" spans="7:8" x14ac:dyDescent="0.3">
      <c r="G524" s="15">
        <v>1.4416666666666667</v>
      </c>
      <c r="H524" s="3">
        <v>4.648666666666651E-2</v>
      </c>
    </row>
    <row r="525" spans="7:8" x14ac:dyDescent="0.3">
      <c r="G525" s="15">
        <v>1.4444444444444444</v>
      </c>
      <c r="H525" s="3">
        <v>4.6477777777777625E-2</v>
      </c>
    </row>
    <row r="526" spans="7:8" x14ac:dyDescent="0.3">
      <c r="G526" s="15">
        <v>1.4472222222222222</v>
      </c>
      <c r="H526" s="3">
        <v>4.646888888888874E-2</v>
      </c>
    </row>
    <row r="527" spans="7:8" x14ac:dyDescent="0.3">
      <c r="G527" s="15">
        <v>1.45</v>
      </c>
      <c r="H527" s="3">
        <v>4.6459999999999849E-2</v>
      </c>
    </row>
    <row r="528" spans="7:8" x14ac:dyDescent="0.3">
      <c r="G528" s="15">
        <v>1.4527777777777777</v>
      </c>
      <c r="H528" s="3">
        <v>4.6451111111110957E-2</v>
      </c>
    </row>
    <row r="529" spans="7:8" x14ac:dyDescent="0.3">
      <c r="G529" s="15">
        <v>1.4555555555555555</v>
      </c>
      <c r="H529" s="3">
        <v>4.6442222222222072E-2</v>
      </c>
    </row>
    <row r="530" spans="7:8" x14ac:dyDescent="0.3">
      <c r="G530" s="15">
        <v>1.4583333333333333</v>
      </c>
      <c r="H530" s="3">
        <v>4.6433333333333188E-2</v>
      </c>
    </row>
    <row r="531" spans="7:8" x14ac:dyDescent="0.3">
      <c r="G531" s="15">
        <v>1.461111111111111</v>
      </c>
      <c r="H531" s="3">
        <v>4.6424444444444296E-2</v>
      </c>
    </row>
    <row r="532" spans="7:8" x14ac:dyDescent="0.3">
      <c r="G532" s="15">
        <v>1.4638888888888888</v>
      </c>
      <c r="H532" s="3">
        <v>4.6415555555555404E-2</v>
      </c>
    </row>
    <row r="533" spans="7:8" x14ac:dyDescent="0.3">
      <c r="G533" s="15">
        <v>1.4666666666666666</v>
      </c>
      <c r="H533" s="3">
        <v>4.640666666666652E-2</v>
      </c>
    </row>
    <row r="534" spans="7:8" x14ac:dyDescent="0.3">
      <c r="G534" s="15">
        <v>1.4694444444444446</v>
      </c>
      <c r="H534" s="3">
        <v>4.6397777777777635E-2</v>
      </c>
    </row>
    <row r="535" spans="7:8" x14ac:dyDescent="0.3">
      <c r="G535" s="15">
        <v>1.4722222222222223</v>
      </c>
      <c r="H535" s="3">
        <v>4.6388888888888744E-2</v>
      </c>
    </row>
    <row r="536" spans="7:8" x14ac:dyDescent="0.3">
      <c r="G536" s="15">
        <v>1.4750000000000001</v>
      </c>
      <c r="H536" s="3">
        <v>4.6379999999999852E-2</v>
      </c>
    </row>
    <row r="537" spans="7:8" x14ac:dyDescent="0.3">
      <c r="G537" s="15">
        <v>1.4777777777777779</v>
      </c>
      <c r="H537" s="3">
        <v>4.6371111111110967E-2</v>
      </c>
    </row>
    <row r="538" spans="7:8" x14ac:dyDescent="0.3">
      <c r="G538" s="15">
        <v>1.4805555555555556</v>
      </c>
      <c r="H538" s="3">
        <v>4.6362222222222083E-2</v>
      </c>
    </row>
    <row r="539" spans="7:8" x14ac:dyDescent="0.3">
      <c r="G539" s="15">
        <v>1.4833333333333334</v>
      </c>
      <c r="H539" s="3">
        <v>4.6353333333333191E-2</v>
      </c>
    </row>
    <row r="540" spans="7:8" x14ac:dyDescent="0.3">
      <c r="G540" s="15">
        <v>1.4861111111111112</v>
      </c>
      <c r="H540" s="3">
        <v>4.6344444444444299E-2</v>
      </c>
    </row>
    <row r="541" spans="7:8" x14ac:dyDescent="0.3">
      <c r="G541" s="15">
        <v>1.4888888888888889</v>
      </c>
      <c r="H541" s="3">
        <v>4.6335555555555415E-2</v>
      </c>
    </row>
    <row r="542" spans="7:8" x14ac:dyDescent="0.3">
      <c r="G542" s="15">
        <v>1.4916666666666667</v>
      </c>
      <c r="H542" s="3">
        <v>4.632666666666653E-2</v>
      </c>
    </row>
    <row r="543" spans="7:8" x14ac:dyDescent="0.3">
      <c r="G543" s="15">
        <v>1.4944444444444445</v>
      </c>
      <c r="H543" s="3">
        <v>4.6317777777777638E-2</v>
      </c>
    </row>
    <row r="544" spans="7:8" x14ac:dyDescent="0.3">
      <c r="G544" s="15">
        <v>1.4972222222222222</v>
      </c>
      <c r="H544" s="3">
        <v>4.6308888888888747E-2</v>
      </c>
    </row>
    <row r="545" spans="7:8" x14ac:dyDescent="0.3">
      <c r="G545" s="15">
        <v>1.5</v>
      </c>
      <c r="H545" s="3">
        <v>4.6299999999999862E-2</v>
      </c>
    </row>
    <row r="546" spans="7:8" x14ac:dyDescent="0.3">
      <c r="G546" s="15">
        <v>1.5027777777777778</v>
      </c>
      <c r="H546" s="3">
        <v>4.6291111111110977E-2</v>
      </c>
    </row>
    <row r="547" spans="7:8" x14ac:dyDescent="0.3">
      <c r="G547" s="15">
        <v>1.5055555555555555</v>
      </c>
      <c r="H547" s="3">
        <v>4.6282222222222086E-2</v>
      </c>
    </row>
    <row r="548" spans="7:8" x14ac:dyDescent="0.3">
      <c r="G548" s="15">
        <v>1.5083333333333333</v>
      </c>
      <c r="H548" s="3">
        <v>4.6273333333333194E-2</v>
      </c>
    </row>
    <row r="549" spans="7:8" x14ac:dyDescent="0.3">
      <c r="G549" s="15">
        <v>1.5111111111111111</v>
      </c>
      <c r="H549" s="3">
        <v>4.626444444444431E-2</v>
      </c>
    </row>
    <row r="550" spans="7:8" x14ac:dyDescent="0.3">
      <c r="G550" s="15">
        <v>1.5138888888888888</v>
      </c>
      <c r="H550" s="3">
        <v>4.6255555555555425E-2</v>
      </c>
    </row>
    <row r="551" spans="7:8" x14ac:dyDescent="0.3">
      <c r="G551" s="15">
        <v>1.5166666666666666</v>
      </c>
      <c r="H551" s="3">
        <v>4.6246666666666533E-2</v>
      </c>
    </row>
    <row r="552" spans="7:8" x14ac:dyDescent="0.3">
      <c r="G552" s="15">
        <v>1.5194444444444444</v>
      </c>
      <c r="H552" s="3">
        <v>4.6237777777777642E-2</v>
      </c>
    </row>
    <row r="553" spans="7:8" x14ac:dyDescent="0.3">
      <c r="G553" s="15">
        <v>1.5222222222222221</v>
      </c>
      <c r="H553" s="3">
        <v>4.6228888888888757E-2</v>
      </c>
    </row>
    <row r="554" spans="7:8" x14ac:dyDescent="0.3">
      <c r="G554" s="15">
        <v>1.5249999999999999</v>
      </c>
      <c r="H554" s="3">
        <v>4.6219999999999872E-2</v>
      </c>
    </row>
    <row r="555" spans="7:8" x14ac:dyDescent="0.3">
      <c r="G555" s="15">
        <v>1.5277777777777777</v>
      </c>
      <c r="H555" s="3">
        <v>4.6211111111110981E-2</v>
      </c>
    </row>
    <row r="556" spans="7:8" x14ac:dyDescent="0.3">
      <c r="G556" s="15">
        <v>1.5305555555555554</v>
      </c>
      <c r="H556" s="3">
        <v>4.6202222222222089E-2</v>
      </c>
    </row>
    <row r="557" spans="7:8" x14ac:dyDescent="0.3">
      <c r="G557" s="15">
        <v>1.5333333333333334</v>
      </c>
      <c r="H557" s="3">
        <v>4.6193333333333204E-2</v>
      </c>
    </row>
    <row r="558" spans="7:8" x14ac:dyDescent="0.3">
      <c r="G558" s="15">
        <v>1.5361111111111112</v>
      </c>
      <c r="H558" s="3">
        <v>4.618444444444432E-2</v>
      </c>
    </row>
    <row r="559" spans="7:8" x14ac:dyDescent="0.3">
      <c r="G559" s="15">
        <v>1.538888888888889</v>
      </c>
      <c r="H559" s="3">
        <v>4.6175555555555428E-2</v>
      </c>
    </row>
    <row r="560" spans="7:8" x14ac:dyDescent="0.3">
      <c r="G560" s="15">
        <v>1.5416666666666667</v>
      </c>
      <c r="H560" s="3">
        <v>4.6166666666666537E-2</v>
      </c>
    </row>
    <row r="561" spans="7:8" x14ac:dyDescent="0.3">
      <c r="G561" s="15">
        <v>1.5444444444444445</v>
      </c>
      <c r="H561" s="3">
        <v>4.6157777777777652E-2</v>
      </c>
    </row>
    <row r="562" spans="7:8" x14ac:dyDescent="0.3">
      <c r="G562" s="15">
        <v>1.5472222222222223</v>
      </c>
      <c r="H562" s="3">
        <v>4.6148888888888767E-2</v>
      </c>
    </row>
    <row r="563" spans="7:8" x14ac:dyDescent="0.3">
      <c r="G563" s="15">
        <v>1.55</v>
      </c>
      <c r="H563" s="3">
        <v>4.6139999999999876E-2</v>
      </c>
    </row>
    <row r="564" spans="7:8" x14ac:dyDescent="0.3">
      <c r="G564" s="15">
        <v>1.5527777777777778</v>
      </c>
      <c r="H564" s="3">
        <v>4.6131111111110984E-2</v>
      </c>
    </row>
    <row r="565" spans="7:8" x14ac:dyDescent="0.3">
      <c r="G565" s="15">
        <v>1.5555555555555556</v>
      </c>
      <c r="H565" s="3">
        <v>4.6122222222222099E-2</v>
      </c>
    </row>
    <row r="566" spans="7:8" x14ac:dyDescent="0.3">
      <c r="G566" s="15">
        <v>1.5583333333333333</v>
      </c>
      <c r="H566" s="3">
        <v>4.6113333333333215E-2</v>
      </c>
    </row>
    <row r="567" spans="7:8" x14ac:dyDescent="0.3">
      <c r="G567" s="15">
        <v>1.5611111111111111</v>
      </c>
      <c r="H567" s="3">
        <v>4.6104444444444323E-2</v>
      </c>
    </row>
    <row r="568" spans="7:8" x14ac:dyDescent="0.3">
      <c r="G568" s="15">
        <v>1.5638888888888889</v>
      </c>
      <c r="H568" s="3">
        <v>4.6095555555555431E-2</v>
      </c>
    </row>
    <row r="569" spans="7:8" x14ac:dyDescent="0.3">
      <c r="G569" s="15">
        <v>1.5666666666666667</v>
      </c>
      <c r="H569" s="3">
        <v>4.6086666666666547E-2</v>
      </c>
    </row>
    <row r="570" spans="7:8" x14ac:dyDescent="0.3">
      <c r="G570" s="15">
        <v>1.5694444444444444</v>
      </c>
      <c r="H570" s="3">
        <v>4.6077777777777662E-2</v>
      </c>
    </row>
    <row r="571" spans="7:8" x14ac:dyDescent="0.3">
      <c r="G571" s="15">
        <v>1.5722222222222222</v>
      </c>
      <c r="H571" s="3">
        <v>4.606888888888877E-2</v>
      </c>
    </row>
    <row r="572" spans="7:8" x14ac:dyDescent="0.3">
      <c r="G572" s="15">
        <v>1.575</v>
      </c>
      <c r="H572" s="3">
        <v>4.6059999999999879E-2</v>
      </c>
    </row>
    <row r="573" spans="7:8" x14ac:dyDescent="0.3">
      <c r="G573" s="15">
        <v>1.5777777777777777</v>
      </c>
      <c r="H573" s="3">
        <v>4.6051111111110994E-2</v>
      </c>
    </row>
    <row r="574" spans="7:8" x14ac:dyDescent="0.3">
      <c r="G574" s="15">
        <v>1.5805555555555555</v>
      </c>
      <c r="H574" s="3">
        <v>4.6042222222222109E-2</v>
      </c>
    </row>
    <row r="575" spans="7:8" x14ac:dyDescent="0.3">
      <c r="G575" s="15">
        <v>1.5833333333333333</v>
      </c>
      <c r="H575" s="3">
        <v>4.6033333333333218E-2</v>
      </c>
    </row>
    <row r="576" spans="7:8" x14ac:dyDescent="0.3">
      <c r="G576" s="15">
        <v>1.586111111111111</v>
      </c>
      <c r="H576" s="3">
        <v>4.6024444444444326E-2</v>
      </c>
    </row>
    <row r="577" spans="7:8" x14ac:dyDescent="0.3">
      <c r="G577" s="15">
        <v>1.5888888888888888</v>
      </c>
      <c r="H577" s="3">
        <v>4.6015555555555442E-2</v>
      </c>
    </row>
    <row r="578" spans="7:8" x14ac:dyDescent="0.3">
      <c r="G578" s="15">
        <v>1.5916666666666666</v>
      </c>
      <c r="H578" s="3">
        <v>4.6006666666666557E-2</v>
      </c>
    </row>
    <row r="579" spans="7:8" x14ac:dyDescent="0.3">
      <c r="G579" s="15">
        <v>1.5944444444444446</v>
      </c>
      <c r="H579" s="3">
        <v>4.5997777777777665E-2</v>
      </c>
    </row>
    <row r="580" spans="7:8" x14ac:dyDescent="0.3">
      <c r="G580" s="15">
        <v>1.5972222222222223</v>
      </c>
      <c r="H580" s="3">
        <v>4.5988888888888774E-2</v>
      </c>
    </row>
    <row r="581" spans="7:8" x14ac:dyDescent="0.3">
      <c r="G581" s="15">
        <v>1.6</v>
      </c>
      <c r="H581" s="3">
        <v>4.5979999999999889E-2</v>
      </c>
    </row>
    <row r="582" spans="7:8" x14ac:dyDescent="0.3">
      <c r="G582" s="15">
        <v>1.6027777777777779</v>
      </c>
      <c r="H582" s="3">
        <v>4.5971111111111004E-2</v>
      </c>
    </row>
    <row r="583" spans="7:8" x14ac:dyDescent="0.3">
      <c r="G583" s="15">
        <v>1.6055555555555556</v>
      </c>
      <c r="H583" s="3">
        <v>4.5962222222222113E-2</v>
      </c>
    </row>
    <row r="584" spans="7:8" x14ac:dyDescent="0.3">
      <c r="G584" s="15">
        <v>1.6083333333333334</v>
      </c>
      <c r="H584" s="3">
        <v>4.5953333333333221E-2</v>
      </c>
    </row>
    <row r="585" spans="7:8" x14ac:dyDescent="0.3">
      <c r="G585" s="15">
        <v>1.6111111111111112</v>
      </c>
      <c r="H585" s="3">
        <v>4.5944444444444336E-2</v>
      </c>
    </row>
    <row r="586" spans="7:8" x14ac:dyDescent="0.3">
      <c r="G586" s="15">
        <v>1.6138888888888889</v>
      </c>
      <c r="H586" s="3">
        <v>4.5935555555555452E-2</v>
      </c>
    </row>
    <row r="587" spans="7:8" x14ac:dyDescent="0.3">
      <c r="G587" s="15">
        <v>1.6166666666666667</v>
      </c>
      <c r="H587" s="3">
        <v>4.592666666666656E-2</v>
      </c>
    </row>
    <row r="588" spans="7:8" x14ac:dyDescent="0.3">
      <c r="G588" s="15">
        <v>1.6194444444444445</v>
      </c>
      <c r="H588" s="3">
        <v>4.5917777777777669E-2</v>
      </c>
    </row>
    <row r="589" spans="7:8" x14ac:dyDescent="0.3">
      <c r="G589" s="15">
        <v>1.6222222222222222</v>
      </c>
      <c r="H589" s="3">
        <v>4.5908888888888784E-2</v>
      </c>
    </row>
    <row r="590" spans="7:8" x14ac:dyDescent="0.3">
      <c r="G590" s="15">
        <v>1.625</v>
      </c>
      <c r="H590" s="3">
        <v>4.5899999999999899E-2</v>
      </c>
    </row>
    <row r="591" spans="7:8" x14ac:dyDescent="0.3">
      <c r="G591" s="15">
        <v>1.6277777777777778</v>
      </c>
      <c r="H591" s="3">
        <v>4.5891111111111008E-2</v>
      </c>
    </row>
    <row r="592" spans="7:8" x14ac:dyDescent="0.3">
      <c r="G592" s="15">
        <v>1.6305555555555555</v>
      </c>
      <c r="H592" s="3">
        <v>4.5882222222222116E-2</v>
      </c>
    </row>
    <row r="593" spans="7:8" x14ac:dyDescent="0.3">
      <c r="G593" s="15">
        <v>1.6333333333333333</v>
      </c>
      <c r="H593" s="3">
        <v>4.5873333333333231E-2</v>
      </c>
    </row>
    <row r="594" spans="7:8" x14ac:dyDescent="0.3">
      <c r="G594" s="15">
        <v>1.6361111111111111</v>
      </c>
      <c r="H594" s="3">
        <v>4.5864444444444347E-2</v>
      </c>
    </row>
    <row r="595" spans="7:8" x14ac:dyDescent="0.3">
      <c r="G595" s="15">
        <v>1.6388888888888888</v>
      </c>
      <c r="H595" s="3">
        <v>4.5855555555555455E-2</v>
      </c>
    </row>
    <row r="596" spans="7:8" x14ac:dyDescent="0.3">
      <c r="G596" s="15">
        <v>1.6416666666666666</v>
      </c>
      <c r="H596" s="3">
        <v>4.5846666666666563E-2</v>
      </c>
    </row>
    <row r="597" spans="7:8" x14ac:dyDescent="0.3">
      <c r="G597" s="15">
        <v>1.6444444444444444</v>
      </c>
      <c r="H597" s="3">
        <v>4.5837777777777679E-2</v>
      </c>
    </row>
    <row r="598" spans="7:8" x14ac:dyDescent="0.3">
      <c r="G598" s="15">
        <v>1.6472222222222221</v>
      </c>
      <c r="H598" s="3">
        <v>4.5828888888888794E-2</v>
      </c>
    </row>
    <row r="599" spans="7:8" x14ac:dyDescent="0.3">
      <c r="G599" s="15">
        <v>1.65</v>
      </c>
      <c r="H599" s="3">
        <v>4.5819999999999902E-2</v>
      </c>
    </row>
    <row r="600" spans="7:8" x14ac:dyDescent="0.3">
      <c r="G600" s="15">
        <v>1.6527777777777777</v>
      </c>
      <c r="H600" s="3">
        <v>4.5811111111111011E-2</v>
      </c>
    </row>
    <row r="601" spans="7:8" x14ac:dyDescent="0.3">
      <c r="G601" s="15">
        <v>1.6555555555555554</v>
      </c>
      <c r="H601" s="3">
        <v>4.5802222222222126E-2</v>
      </c>
    </row>
    <row r="602" spans="7:8" x14ac:dyDescent="0.3">
      <c r="G602" s="15">
        <v>1.6583333333333334</v>
      </c>
      <c r="H602" s="3">
        <v>4.5793333333333242E-2</v>
      </c>
    </row>
    <row r="603" spans="7:8" x14ac:dyDescent="0.3">
      <c r="G603" s="15">
        <v>1.6611111111111112</v>
      </c>
      <c r="H603" s="3">
        <v>4.578444444444435E-2</v>
      </c>
    </row>
    <row r="604" spans="7:8" x14ac:dyDescent="0.3">
      <c r="G604" s="15">
        <v>1.663888888888889</v>
      </c>
      <c r="H604" s="3">
        <v>4.5775555555555458E-2</v>
      </c>
    </row>
    <row r="605" spans="7:8" x14ac:dyDescent="0.3">
      <c r="G605" s="15">
        <v>1.6666666666666667</v>
      </c>
      <c r="H605" s="3">
        <v>4.5766666666666574E-2</v>
      </c>
    </row>
    <row r="606" spans="7:8" x14ac:dyDescent="0.3">
      <c r="G606" s="15">
        <v>1.6694444444444445</v>
      </c>
      <c r="H606" s="3">
        <v>4.5757777777777689E-2</v>
      </c>
    </row>
    <row r="607" spans="7:8" x14ac:dyDescent="0.3">
      <c r="G607" s="15">
        <v>1.6722222222222223</v>
      </c>
      <c r="H607" s="3">
        <v>4.5748888888888797E-2</v>
      </c>
    </row>
    <row r="608" spans="7:8" x14ac:dyDescent="0.3">
      <c r="G608" s="15">
        <v>1.675</v>
      </c>
      <c r="H608" s="3">
        <v>4.5739999999999906E-2</v>
      </c>
    </row>
    <row r="609" spans="7:8" x14ac:dyDescent="0.3">
      <c r="G609" s="15">
        <v>1.6777777777777778</v>
      </c>
      <c r="H609" s="3">
        <v>4.5731111111111021E-2</v>
      </c>
    </row>
    <row r="610" spans="7:8" x14ac:dyDescent="0.3">
      <c r="G610" s="15">
        <v>1.6805555555555556</v>
      </c>
      <c r="H610" s="3">
        <v>4.5722222222222136E-2</v>
      </c>
    </row>
    <row r="611" spans="7:8" x14ac:dyDescent="0.3">
      <c r="G611" s="15">
        <v>1.6833333333333333</v>
      </c>
      <c r="H611" s="3">
        <v>4.5713333333333245E-2</v>
      </c>
    </row>
    <row r="612" spans="7:8" x14ac:dyDescent="0.3">
      <c r="G612" s="15">
        <v>1.6861111111111111</v>
      </c>
      <c r="H612" s="3">
        <v>4.5704444444444353E-2</v>
      </c>
    </row>
    <row r="613" spans="7:8" x14ac:dyDescent="0.3">
      <c r="G613" s="15">
        <v>1.6888888888888889</v>
      </c>
      <c r="H613" s="3">
        <v>4.5695555555555468E-2</v>
      </c>
    </row>
    <row r="614" spans="7:8" x14ac:dyDescent="0.3">
      <c r="G614" s="15">
        <v>1.6916666666666667</v>
      </c>
      <c r="H614" s="3">
        <v>4.5686666666666584E-2</v>
      </c>
    </row>
    <row r="615" spans="7:8" x14ac:dyDescent="0.3">
      <c r="G615" s="15">
        <v>1.6944444444444444</v>
      </c>
      <c r="H615" s="3">
        <v>4.5677777777777692E-2</v>
      </c>
    </row>
    <row r="616" spans="7:8" x14ac:dyDescent="0.3">
      <c r="G616" s="15">
        <v>1.6972222222222222</v>
      </c>
      <c r="H616" s="3">
        <v>4.5668888888888801E-2</v>
      </c>
    </row>
    <row r="617" spans="7:8" x14ac:dyDescent="0.3">
      <c r="G617" s="15">
        <v>1.7</v>
      </c>
      <c r="H617" s="3">
        <v>4.5659999999999916E-2</v>
      </c>
    </row>
    <row r="618" spans="7:8" x14ac:dyDescent="0.3">
      <c r="G618" s="15">
        <v>1.7027777777777777</v>
      </c>
      <c r="H618" s="3">
        <v>4.5651111111111031E-2</v>
      </c>
    </row>
    <row r="619" spans="7:8" x14ac:dyDescent="0.3">
      <c r="G619" s="15">
        <v>1.7055555555555555</v>
      </c>
      <c r="H619" s="3">
        <v>4.564222222222214E-2</v>
      </c>
    </row>
    <row r="620" spans="7:8" x14ac:dyDescent="0.3">
      <c r="G620" s="15">
        <v>1.7083333333333333</v>
      </c>
      <c r="H620" s="3">
        <v>4.5633333333333248E-2</v>
      </c>
    </row>
    <row r="621" spans="7:8" x14ac:dyDescent="0.3">
      <c r="G621" s="15">
        <v>1.711111111111111</v>
      </c>
      <c r="H621" s="3">
        <v>4.5624444444444363E-2</v>
      </c>
    </row>
    <row r="622" spans="7:8" x14ac:dyDescent="0.3">
      <c r="G622" s="15">
        <v>1.7138888888888888</v>
      </c>
      <c r="H622" s="3">
        <v>4.5615555555555479E-2</v>
      </c>
    </row>
    <row r="623" spans="7:8" x14ac:dyDescent="0.3">
      <c r="G623" s="15">
        <v>1.7166666666666666</v>
      </c>
      <c r="H623" s="3">
        <v>4.5606666666666587E-2</v>
      </c>
    </row>
    <row r="624" spans="7:8" x14ac:dyDescent="0.3">
      <c r="G624" s="15">
        <v>1.7194444444444446</v>
      </c>
      <c r="H624" s="3">
        <v>4.5597777777777695E-2</v>
      </c>
    </row>
    <row r="625" spans="7:8" x14ac:dyDescent="0.3">
      <c r="G625" s="15">
        <v>1.7222222222222223</v>
      </c>
      <c r="H625" s="3">
        <v>4.5588888888888811E-2</v>
      </c>
    </row>
    <row r="626" spans="7:8" x14ac:dyDescent="0.3">
      <c r="G626" s="15">
        <v>1.7250000000000001</v>
      </c>
      <c r="H626" s="3">
        <v>4.5579999999999926E-2</v>
      </c>
    </row>
    <row r="627" spans="7:8" x14ac:dyDescent="0.3">
      <c r="G627" s="15">
        <v>1.7277777777777779</v>
      </c>
      <c r="H627" s="3">
        <v>4.5571111111111035E-2</v>
      </c>
    </row>
    <row r="628" spans="7:8" x14ac:dyDescent="0.3">
      <c r="G628" s="15">
        <v>1.7305555555555556</v>
      </c>
      <c r="H628" s="3">
        <v>4.5562222222222143E-2</v>
      </c>
    </row>
    <row r="629" spans="7:8" x14ac:dyDescent="0.3">
      <c r="G629" s="15">
        <v>1.7333333333333334</v>
      </c>
      <c r="H629" s="3">
        <v>4.5553333333333258E-2</v>
      </c>
    </row>
    <row r="630" spans="7:8" x14ac:dyDescent="0.3">
      <c r="G630" s="15">
        <v>1.7361111111111112</v>
      </c>
      <c r="H630" s="3">
        <v>4.5544444444444374E-2</v>
      </c>
    </row>
    <row r="631" spans="7:8" x14ac:dyDescent="0.3">
      <c r="G631" s="15">
        <v>1.7388888888888889</v>
      </c>
      <c r="H631" s="3">
        <v>4.5535555555555482E-2</v>
      </c>
    </row>
    <row r="632" spans="7:8" x14ac:dyDescent="0.3">
      <c r="G632" s="15">
        <v>1.7416666666666667</v>
      </c>
      <c r="H632" s="3">
        <v>4.552666666666659E-2</v>
      </c>
    </row>
    <row r="633" spans="7:8" x14ac:dyDescent="0.3">
      <c r="G633" s="15">
        <v>1.7444444444444445</v>
      </c>
      <c r="H633" s="3">
        <v>4.5517777777777706E-2</v>
      </c>
    </row>
    <row r="634" spans="7:8" x14ac:dyDescent="0.3">
      <c r="G634" s="15">
        <v>1.7472222222222222</v>
      </c>
      <c r="H634" s="3">
        <v>4.5508888888888821E-2</v>
      </c>
    </row>
    <row r="635" spans="7:8" x14ac:dyDescent="0.3">
      <c r="G635" s="15">
        <v>1.75</v>
      </c>
      <c r="H635" s="3">
        <v>4.5499999999999929E-2</v>
      </c>
    </row>
    <row r="636" spans="7:8" x14ac:dyDescent="0.3">
      <c r="G636" s="15">
        <v>1.7527777777777778</v>
      </c>
      <c r="H636" s="3">
        <v>4.5491111111111038E-2</v>
      </c>
    </row>
    <row r="637" spans="7:8" x14ac:dyDescent="0.3">
      <c r="G637" s="15">
        <v>1.7555555555555555</v>
      </c>
      <c r="H637" s="3">
        <v>4.5482222222222153E-2</v>
      </c>
    </row>
    <row r="638" spans="7:8" x14ac:dyDescent="0.3">
      <c r="G638" s="15">
        <v>1.7583333333333333</v>
      </c>
      <c r="H638" s="3">
        <v>4.5473333333333268E-2</v>
      </c>
    </row>
    <row r="639" spans="7:8" x14ac:dyDescent="0.3">
      <c r="G639" s="15">
        <v>1.7611111111111111</v>
      </c>
      <c r="H639" s="3">
        <v>4.5464444444444377E-2</v>
      </c>
    </row>
    <row r="640" spans="7:8" x14ac:dyDescent="0.3">
      <c r="G640" s="15">
        <v>1.7638888888888888</v>
      </c>
      <c r="H640" s="3">
        <v>4.5455555555555485E-2</v>
      </c>
    </row>
    <row r="641" spans="7:8" x14ac:dyDescent="0.3">
      <c r="G641" s="15">
        <v>1.7666666666666666</v>
      </c>
      <c r="H641" s="3">
        <v>4.5446666666666601E-2</v>
      </c>
    </row>
    <row r="642" spans="7:8" x14ac:dyDescent="0.3">
      <c r="G642" s="15">
        <v>1.7694444444444444</v>
      </c>
      <c r="H642" s="3">
        <v>4.5437777777777716E-2</v>
      </c>
    </row>
    <row r="643" spans="7:8" x14ac:dyDescent="0.3">
      <c r="G643" s="15">
        <v>1.7722222222222221</v>
      </c>
      <c r="H643" s="3">
        <v>4.5428888888888824E-2</v>
      </c>
    </row>
    <row r="644" spans="7:8" x14ac:dyDescent="0.3">
      <c r="G644" s="15">
        <v>1.7749999999999999</v>
      </c>
      <c r="H644" s="3">
        <v>4.5419999999999933E-2</v>
      </c>
    </row>
    <row r="645" spans="7:8" x14ac:dyDescent="0.3">
      <c r="G645" s="15">
        <v>1.7777777777777777</v>
      </c>
      <c r="H645" s="3">
        <v>4.5411111111111048E-2</v>
      </c>
    </row>
    <row r="646" spans="7:8" x14ac:dyDescent="0.3">
      <c r="G646" s="15">
        <v>1.7805555555555554</v>
      </c>
      <c r="H646" s="3">
        <v>4.5402222222222163E-2</v>
      </c>
    </row>
    <row r="647" spans="7:8" x14ac:dyDescent="0.3">
      <c r="G647" s="15">
        <v>1.7833333333333334</v>
      </c>
      <c r="H647" s="3">
        <v>4.5393333333333272E-2</v>
      </c>
    </row>
    <row r="648" spans="7:8" x14ac:dyDescent="0.3">
      <c r="G648" s="15">
        <v>1.7861111111111112</v>
      </c>
      <c r="H648" s="3">
        <v>4.538444444444438E-2</v>
      </c>
    </row>
    <row r="649" spans="7:8" x14ac:dyDescent="0.3">
      <c r="G649" s="15">
        <v>1.788888888888889</v>
      </c>
      <c r="H649" s="3">
        <v>4.5375555555555495E-2</v>
      </c>
    </row>
    <row r="650" spans="7:8" x14ac:dyDescent="0.3">
      <c r="G650" s="15">
        <v>1.7916666666666667</v>
      </c>
      <c r="H650" s="3">
        <v>4.5366666666666611E-2</v>
      </c>
    </row>
    <row r="651" spans="7:8" x14ac:dyDescent="0.3">
      <c r="G651" s="15">
        <v>1.7944444444444445</v>
      </c>
      <c r="H651" s="3">
        <v>4.5357777777777719E-2</v>
      </c>
    </row>
    <row r="652" spans="7:8" x14ac:dyDescent="0.3">
      <c r="G652" s="15">
        <v>1.7972222222222223</v>
      </c>
      <c r="H652" s="3">
        <v>4.5348888888888828E-2</v>
      </c>
    </row>
    <row r="653" spans="7:8" x14ac:dyDescent="0.3">
      <c r="G653" s="15">
        <v>1.8</v>
      </c>
      <c r="H653" s="3">
        <v>4.5339999999999943E-2</v>
      </c>
    </row>
    <row r="654" spans="7:8" x14ac:dyDescent="0.3">
      <c r="G654" s="15">
        <v>1.8027777777777778</v>
      </c>
      <c r="H654" s="3">
        <v>4.5331111111111058E-2</v>
      </c>
    </row>
    <row r="655" spans="7:8" x14ac:dyDescent="0.3">
      <c r="G655" s="15">
        <v>1.8055555555555556</v>
      </c>
      <c r="H655" s="3">
        <v>4.5322222222222167E-2</v>
      </c>
    </row>
    <row r="656" spans="7:8" x14ac:dyDescent="0.3">
      <c r="G656" s="15">
        <v>1.8083333333333333</v>
      </c>
      <c r="H656" s="3">
        <v>4.5313333333333275E-2</v>
      </c>
    </row>
    <row r="657" spans="7:8" x14ac:dyDescent="0.3">
      <c r="G657" s="15">
        <v>1.8111111111111111</v>
      </c>
      <c r="H657" s="3">
        <v>4.530444444444439E-2</v>
      </c>
    </row>
    <row r="658" spans="7:8" x14ac:dyDescent="0.3">
      <c r="G658" s="15">
        <v>1.8138888888888889</v>
      </c>
      <c r="H658" s="3">
        <v>4.5295555555555506E-2</v>
      </c>
    </row>
    <row r="659" spans="7:8" x14ac:dyDescent="0.3">
      <c r="G659" s="15">
        <v>1.8166666666666667</v>
      </c>
      <c r="H659" s="3">
        <v>4.5286666666666614E-2</v>
      </c>
    </row>
    <row r="660" spans="7:8" x14ac:dyDescent="0.3">
      <c r="G660" s="15">
        <v>1.8194444444444444</v>
      </c>
      <c r="H660" s="3">
        <v>4.5277777777777722E-2</v>
      </c>
    </row>
    <row r="661" spans="7:8" x14ac:dyDescent="0.3">
      <c r="G661" s="15">
        <v>1.8222222222222222</v>
      </c>
      <c r="H661" s="3">
        <v>4.5268888888888838E-2</v>
      </c>
    </row>
    <row r="662" spans="7:8" x14ac:dyDescent="0.3">
      <c r="G662" s="15">
        <v>1.825</v>
      </c>
      <c r="H662" s="3">
        <v>4.5259999999999953E-2</v>
      </c>
    </row>
    <row r="663" spans="7:8" x14ac:dyDescent="0.3">
      <c r="G663" s="15">
        <v>1.8277777777777777</v>
      </c>
      <c r="H663" s="3">
        <v>4.5251111111111061E-2</v>
      </c>
    </row>
    <row r="664" spans="7:8" x14ac:dyDescent="0.3">
      <c r="G664" s="15">
        <v>1.8305555555555555</v>
      </c>
      <c r="H664" s="3">
        <v>4.524222222222217E-2</v>
      </c>
    </row>
    <row r="665" spans="7:8" x14ac:dyDescent="0.3">
      <c r="G665" s="15">
        <v>1.8333333333333333</v>
      </c>
      <c r="H665" s="3">
        <v>4.5233333333333285E-2</v>
      </c>
    </row>
    <row r="666" spans="7:8" x14ac:dyDescent="0.3">
      <c r="G666" s="15">
        <v>1.836111111111111</v>
      </c>
      <c r="H666" s="3">
        <v>4.52244444444444E-2</v>
      </c>
    </row>
    <row r="667" spans="7:8" x14ac:dyDescent="0.3">
      <c r="G667" s="15">
        <v>1.8388888888888888</v>
      </c>
      <c r="H667" s="3">
        <v>4.5215555555555509E-2</v>
      </c>
    </row>
    <row r="668" spans="7:8" x14ac:dyDescent="0.3">
      <c r="G668" s="15">
        <v>1.8416666666666666</v>
      </c>
      <c r="H668" s="3">
        <v>4.5206666666666617E-2</v>
      </c>
    </row>
    <row r="669" spans="7:8" x14ac:dyDescent="0.3">
      <c r="G669" s="15">
        <v>1.8444444444444446</v>
      </c>
      <c r="H669" s="3">
        <v>4.5197777777777733E-2</v>
      </c>
    </row>
    <row r="670" spans="7:8" x14ac:dyDescent="0.3">
      <c r="G670" s="15">
        <v>1.8472222222222223</v>
      </c>
      <c r="H670" s="3">
        <v>4.5188888888888848E-2</v>
      </c>
    </row>
    <row r="671" spans="7:8" x14ac:dyDescent="0.3">
      <c r="G671" s="15">
        <v>1.85</v>
      </c>
      <c r="H671" s="3">
        <v>4.5179999999999956E-2</v>
      </c>
    </row>
    <row r="672" spans="7:8" x14ac:dyDescent="0.3">
      <c r="G672" s="15">
        <v>1.8527777777777779</v>
      </c>
      <c r="H672" s="3">
        <v>4.5171111111111065E-2</v>
      </c>
    </row>
    <row r="673" spans="7:8" x14ac:dyDescent="0.3">
      <c r="G673" s="15">
        <v>1.8555555555555556</v>
      </c>
      <c r="H673" s="3">
        <v>4.516222222222218E-2</v>
      </c>
    </row>
    <row r="674" spans="7:8" x14ac:dyDescent="0.3">
      <c r="G674" s="15">
        <v>1.8583333333333334</v>
      </c>
      <c r="H674" s="3">
        <v>4.5153333333333295E-2</v>
      </c>
    </row>
    <row r="675" spans="7:8" x14ac:dyDescent="0.3">
      <c r="G675" s="15">
        <v>1.8611111111111112</v>
      </c>
      <c r="H675" s="3">
        <v>4.5144444444444404E-2</v>
      </c>
    </row>
    <row r="676" spans="7:8" x14ac:dyDescent="0.3">
      <c r="G676" s="15">
        <v>1.8638888888888889</v>
      </c>
      <c r="H676" s="3">
        <v>4.5135555555555512E-2</v>
      </c>
    </row>
    <row r="677" spans="7:8" x14ac:dyDescent="0.3">
      <c r="G677" s="15">
        <v>1.8666666666666667</v>
      </c>
      <c r="H677" s="3">
        <v>4.5126666666666627E-2</v>
      </c>
    </row>
    <row r="678" spans="7:8" x14ac:dyDescent="0.3">
      <c r="G678" s="15">
        <v>1.8694444444444445</v>
      </c>
      <c r="H678" s="3">
        <v>4.5117777777777743E-2</v>
      </c>
    </row>
    <row r="679" spans="7:8" x14ac:dyDescent="0.3">
      <c r="G679" s="15">
        <v>1.8722222222222222</v>
      </c>
      <c r="H679" s="3">
        <v>4.5108888888888851E-2</v>
      </c>
    </row>
    <row r="680" spans="7:8" x14ac:dyDescent="0.3">
      <c r="G680" s="15">
        <v>1.875</v>
      </c>
      <c r="H680" s="3">
        <v>4.509999999999996E-2</v>
      </c>
    </row>
    <row r="681" spans="7:8" x14ac:dyDescent="0.3">
      <c r="G681" s="15">
        <v>1.8777777777777778</v>
      </c>
      <c r="H681" s="3">
        <v>4.5091111111111075E-2</v>
      </c>
    </row>
    <row r="682" spans="7:8" x14ac:dyDescent="0.3">
      <c r="G682" s="15">
        <v>1.8805555555555555</v>
      </c>
      <c r="H682" s="3">
        <v>4.508222222222219E-2</v>
      </c>
    </row>
    <row r="683" spans="7:8" x14ac:dyDescent="0.3">
      <c r="G683" s="15">
        <v>1.8833333333333333</v>
      </c>
      <c r="H683" s="3">
        <v>4.5073333333333299E-2</v>
      </c>
    </row>
    <row r="684" spans="7:8" x14ac:dyDescent="0.3">
      <c r="G684" s="15">
        <v>1.8861111111111111</v>
      </c>
      <c r="H684" s="3">
        <v>4.5064444444444407E-2</v>
      </c>
    </row>
    <row r="685" spans="7:8" x14ac:dyDescent="0.3">
      <c r="G685" s="15">
        <v>1.8888888888888888</v>
      </c>
      <c r="H685" s="3">
        <v>4.5055555555555522E-2</v>
      </c>
    </row>
    <row r="686" spans="7:8" x14ac:dyDescent="0.3">
      <c r="G686" s="15">
        <v>1.8916666666666666</v>
      </c>
      <c r="H686" s="3">
        <v>4.5046666666666638E-2</v>
      </c>
    </row>
    <row r="687" spans="7:8" x14ac:dyDescent="0.3">
      <c r="G687" s="15">
        <v>1.8944444444444444</v>
      </c>
      <c r="H687" s="3">
        <v>4.5037777777777746E-2</v>
      </c>
    </row>
    <row r="688" spans="7:8" x14ac:dyDescent="0.3">
      <c r="G688" s="15">
        <v>1.8972222222222221</v>
      </c>
      <c r="H688" s="3">
        <v>4.5028888888888854E-2</v>
      </c>
    </row>
    <row r="689" spans="7:8" x14ac:dyDescent="0.3">
      <c r="G689" s="15">
        <v>1.9</v>
      </c>
      <c r="H689" s="3">
        <v>4.501999999999997E-2</v>
      </c>
    </row>
    <row r="690" spans="7:8" x14ac:dyDescent="0.3">
      <c r="G690" s="15">
        <v>1.9027777777777777</v>
      </c>
      <c r="H690" s="3">
        <v>4.5011111111111085E-2</v>
      </c>
    </row>
    <row r="691" spans="7:8" x14ac:dyDescent="0.3">
      <c r="G691" s="15">
        <v>1.9055555555555554</v>
      </c>
      <c r="H691" s="3">
        <v>4.5002222222222193E-2</v>
      </c>
    </row>
    <row r="692" spans="7:8" x14ac:dyDescent="0.3">
      <c r="G692" s="15">
        <v>1.9083333333333334</v>
      </c>
      <c r="H692" s="3">
        <v>4.4993333333333302E-2</v>
      </c>
    </row>
    <row r="693" spans="7:8" x14ac:dyDescent="0.3">
      <c r="G693" s="15">
        <v>1.9111111111111112</v>
      </c>
      <c r="H693" s="3">
        <v>4.4984444444444417E-2</v>
      </c>
    </row>
    <row r="694" spans="7:8" x14ac:dyDescent="0.3">
      <c r="G694" s="15">
        <v>1.913888888888889</v>
      </c>
      <c r="H694" s="3">
        <v>4.4975555555555533E-2</v>
      </c>
    </row>
    <row r="695" spans="7:8" x14ac:dyDescent="0.3">
      <c r="G695" s="15">
        <v>1.9166666666666667</v>
      </c>
      <c r="H695" s="3">
        <v>4.4966666666666641E-2</v>
      </c>
    </row>
    <row r="696" spans="7:8" x14ac:dyDescent="0.3">
      <c r="G696" s="15">
        <v>1.9194444444444445</v>
      </c>
      <c r="H696" s="3">
        <v>4.4957777777777749E-2</v>
      </c>
    </row>
    <row r="697" spans="7:8" x14ac:dyDescent="0.3">
      <c r="G697" s="15">
        <v>1.9222222222222223</v>
      </c>
      <c r="H697" s="3">
        <v>4.4948888888888865E-2</v>
      </c>
    </row>
    <row r="698" spans="7:8" x14ac:dyDescent="0.3">
      <c r="G698" s="15">
        <v>1.925</v>
      </c>
      <c r="H698" s="3">
        <v>4.493999999999998E-2</v>
      </c>
    </row>
    <row r="699" spans="7:8" x14ac:dyDescent="0.3">
      <c r="G699" s="15">
        <v>1.9277777777777778</v>
      </c>
      <c r="H699" s="3">
        <v>4.4931111111111088E-2</v>
      </c>
    </row>
    <row r="700" spans="7:8" x14ac:dyDescent="0.3">
      <c r="G700" s="15">
        <v>1.9305555555555556</v>
      </c>
      <c r="H700" s="3">
        <v>4.4922222222222197E-2</v>
      </c>
    </row>
    <row r="701" spans="7:8" x14ac:dyDescent="0.3">
      <c r="G701" s="15">
        <v>1.9333333333333333</v>
      </c>
      <c r="H701" s="3">
        <v>4.4913333333333312E-2</v>
      </c>
    </row>
    <row r="702" spans="7:8" x14ac:dyDescent="0.3">
      <c r="G702" s="15">
        <v>1.9361111111111111</v>
      </c>
      <c r="H702" s="3">
        <v>4.4904444444444427E-2</v>
      </c>
    </row>
    <row r="703" spans="7:8" x14ac:dyDescent="0.3">
      <c r="G703" s="15">
        <v>1.9388888888888889</v>
      </c>
      <c r="H703" s="3">
        <v>4.4895555555555536E-2</v>
      </c>
    </row>
    <row r="704" spans="7:8" x14ac:dyDescent="0.3">
      <c r="G704" s="15">
        <v>1.9416666666666667</v>
      </c>
      <c r="H704" s="3">
        <v>4.4886666666666644E-2</v>
      </c>
    </row>
    <row r="705" spans="7:8" x14ac:dyDescent="0.3">
      <c r="G705" s="15">
        <v>1.9444444444444444</v>
      </c>
      <c r="H705" s="3">
        <v>4.487777777777776E-2</v>
      </c>
    </row>
    <row r="706" spans="7:8" x14ac:dyDescent="0.3">
      <c r="G706" s="15">
        <v>1.9472222222222222</v>
      </c>
      <c r="H706" s="3">
        <v>4.4868888888888875E-2</v>
      </c>
    </row>
    <row r="707" spans="7:8" x14ac:dyDescent="0.3">
      <c r="G707" s="15">
        <v>1.95</v>
      </c>
      <c r="H707" s="3">
        <v>4.4859999999999983E-2</v>
      </c>
    </row>
    <row r="708" spans="7:8" x14ac:dyDescent="0.3">
      <c r="G708" s="15">
        <v>1.9527777777777777</v>
      </c>
      <c r="H708" s="3">
        <v>4.4851111111111092E-2</v>
      </c>
    </row>
    <row r="709" spans="7:8" x14ac:dyDescent="0.3">
      <c r="G709" s="15">
        <v>1.9555555555555555</v>
      </c>
      <c r="H709" s="3">
        <v>4.4842222222222207E-2</v>
      </c>
    </row>
    <row r="710" spans="7:8" x14ac:dyDescent="0.3">
      <c r="G710" s="15">
        <v>1.9583333333333333</v>
      </c>
      <c r="H710" s="3">
        <v>4.4833333333333322E-2</v>
      </c>
    </row>
    <row r="711" spans="7:8" x14ac:dyDescent="0.3">
      <c r="G711" s="15">
        <v>1.961111111111111</v>
      </c>
      <c r="H711" s="3">
        <v>4.4824444444444431E-2</v>
      </c>
    </row>
    <row r="712" spans="7:8" x14ac:dyDescent="0.3">
      <c r="G712" s="15">
        <v>1.9638888888888888</v>
      </c>
      <c r="H712" s="3">
        <v>4.4815555555555539E-2</v>
      </c>
    </row>
    <row r="713" spans="7:8" x14ac:dyDescent="0.3">
      <c r="G713" s="15">
        <v>1.9666666666666666</v>
      </c>
      <c r="H713" s="3">
        <v>4.4806666666666654E-2</v>
      </c>
    </row>
    <row r="714" spans="7:8" x14ac:dyDescent="0.3">
      <c r="G714" s="15">
        <v>1.9694444444444446</v>
      </c>
      <c r="H714" s="3">
        <v>4.479777777777777E-2</v>
      </c>
    </row>
    <row r="715" spans="7:8" x14ac:dyDescent="0.3">
      <c r="G715" s="15">
        <v>1.9722222222222223</v>
      </c>
      <c r="H715" s="3">
        <v>4.4788888888888878E-2</v>
      </c>
    </row>
    <row r="716" spans="7:8" x14ac:dyDescent="0.3">
      <c r="G716" s="15">
        <v>1.9750000000000001</v>
      </c>
      <c r="H716" s="3">
        <v>4.4779999999999986E-2</v>
      </c>
    </row>
    <row r="717" spans="7:8" x14ac:dyDescent="0.3">
      <c r="G717" s="15">
        <v>1.9777777777777779</v>
      </c>
      <c r="H717" s="3">
        <v>4.4771111111111102E-2</v>
      </c>
    </row>
    <row r="718" spans="7:8" x14ac:dyDescent="0.3">
      <c r="G718" s="15">
        <v>1.9805555555555556</v>
      </c>
      <c r="H718" s="3">
        <v>4.4762222222222217E-2</v>
      </c>
    </row>
    <row r="719" spans="7:8" x14ac:dyDescent="0.3">
      <c r="G719" s="15">
        <v>1.9833333333333334</v>
      </c>
      <c r="H719" s="3">
        <v>4.4753333333333326E-2</v>
      </c>
    </row>
    <row r="720" spans="7:8" x14ac:dyDescent="0.3">
      <c r="G720" s="15">
        <v>1.9861111111111112</v>
      </c>
      <c r="H720" s="3">
        <v>4.4744444444444434E-2</v>
      </c>
    </row>
    <row r="721" spans="7:8" x14ac:dyDescent="0.3">
      <c r="G721" s="15">
        <v>1.9888888888888889</v>
      </c>
      <c r="H721" s="3">
        <v>4.4735555555555549E-2</v>
      </c>
    </row>
    <row r="722" spans="7:8" x14ac:dyDescent="0.3">
      <c r="G722" s="15">
        <v>1.9916666666666667</v>
      </c>
      <c r="H722" s="3">
        <v>4.4726666666666665E-2</v>
      </c>
    </row>
    <row r="723" spans="7:8" x14ac:dyDescent="0.3">
      <c r="G723" s="15">
        <v>1.9944444444444445</v>
      </c>
      <c r="H723" s="3">
        <v>4.4717777777777773E-2</v>
      </c>
    </row>
    <row r="724" spans="7:8" x14ac:dyDescent="0.3">
      <c r="G724" s="15">
        <v>1.9972222222222222</v>
      </c>
      <c r="H724" s="3">
        <v>4.4708888888888881E-2</v>
      </c>
    </row>
    <row r="725" spans="7:8" x14ac:dyDescent="0.3">
      <c r="G725" s="15">
        <v>2</v>
      </c>
      <c r="H725" s="3">
        <v>4.4699999999999997E-2</v>
      </c>
    </row>
    <row r="726" spans="7:8" x14ac:dyDescent="0.3">
      <c r="G726" s="15">
        <v>2.0027777777777778</v>
      </c>
      <c r="H726" s="3">
        <v>4.4694444444444439E-2</v>
      </c>
    </row>
    <row r="727" spans="7:8" x14ac:dyDescent="0.3">
      <c r="G727" s="15">
        <v>2.0055555555555555</v>
      </c>
      <c r="H727" s="3">
        <v>4.4688888888888882E-2</v>
      </c>
    </row>
    <row r="728" spans="7:8" x14ac:dyDescent="0.3">
      <c r="G728" s="15">
        <v>2.0083333333333333</v>
      </c>
      <c r="H728" s="3">
        <v>4.4683333333333325E-2</v>
      </c>
    </row>
    <row r="729" spans="7:8" x14ac:dyDescent="0.3">
      <c r="G729" s="15">
        <v>2.0111111111111111</v>
      </c>
      <c r="H729" s="3">
        <v>4.4677777777777768E-2</v>
      </c>
    </row>
    <row r="730" spans="7:8" x14ac:dyDescent="0.3">
      <c r="G730" s="15">
        <v>2.0138888888888888</v>
      </c>
      <c r="H730" s="3">
        <v>4.467222222222221E-2</v>
      </c>
    </row>
    <row r="731" spans="7:8" x14ac:dyDescent="0.3">
      <c r="G731" s="15">
        <v>2.0166666666666666</v>
      </c>
      <c r="H731" s="3">
        <v>4.4666666666666653E-2</v>
      </c>
    </row>
    <row r="732" spans="7:8" x14ac:dyDescent="0.3">
      <c r="G732" s="15">
        <v>2.0194444444444444</v>
      </c>
      <c r="H732" s="3">
        <v>4.4661111111111096E-2</v>
      </c>
    </row>
    <row r="733" spans="7:8" x14ac:dyDescent="0.3">
      <c r="G733" s="15">
        <v>2.0222222222222221</v>
      </c>
      <c r="H733" s="3">
        <v>4.4655555555555539E-2</v>
      </c>
    </row>
    <row r="734" spans="7:8" x14ac:dyDescent="0.3">
      <c r="G734" s="15">
        <v>2.0249999999999999</v>
      </c>
      <c r="H734" s="3">
        <v>4.4649999999999981E-2</v>
      </c>
    </row>
    <row r="735" spans="7:8" x14ac:dyDescent="0.3">
      <c r="G735" s="15">
        <v>2.0277777777777777</v>
      </c>
      <c r="H735" s="3">
        <v>4.4644444444444424E-2</v>
      </c>
    </row>
    <row r="736" spans="7:8" x14ac:dyDescent="0.3">
      <c r="G736" s="15">
        <v>2.0305555555555554</v>
      </c>
      <c r="H736" s="3">
        <v>4.4638888888888867E-2</v>
      </c>
    </row>
    <row r="737" spans="7:8" x14ac:dyDescent="0.3">
      <c r="G737" s="15">
        <v>2.0333333333333332</v>
      </c>
      <c r="H737" s="3">
        <v>4.463333333333331E-2</v>
      </c>
    </row>
    <row r="738" spans="7:8" x14ac:dyDescent="0.3">
      <c r="G738" s="15">
        <v>2.036111111111111</v>
      </c>
      <c r="H738" s="3">
        <v>4.4627777777777752E-2</v>
      </c>
    </row>
    <row r="739" spans="7:8" x14ac:dyDescent="0.3">
      <c r="G739" s="15">
        <v>2.0388888888888888</v>
      </c>
      <c r="H739" s="3">
        <v>4.4622222222222195E-2</v>
      </c>
    </row>
    <row r="740" spans="7:8" x14ac:dyDescent="0.3">
      <c r="G740" s="15">
        <v>2.0416666666666665</v>
      </c>
      <c r="H740" s="3">
        <v>4.4616666666666638E-2</v>
      </c>
    </row>
    <row r="741" spans="7:8" x14ac:dyDescent="0.3">
      <c r="G741" s="15">
        <v>2.0444444444444443</v>
      </c>
      <c r="H741" s="3">
        <v>4.4611111111111081E-2</v>
      </c>
    </row>
    <row r="742" spans="7:8" x14ac:dyDescent="0.3">
      <c r="G742" s="15">
        <v>2.0472222222222221</v>
      </c>
      <c r="H742" s="3">
        <v>4.4605555555555523E-2</v>
      </c>
    </row>
    <row r="743" spans="7:8" x14ac:dyDescent="0.3">
      <c r="G743" s="15">
        <v>2.0499999999999998</v>
      </c>
      <c r="H743" s="3">
        <v>4.4599999999999966E-2</v>
      </c>
    </row>
    <row r="744" spans="7:8" x14ac:dyDescent="0.3">
      <c r="G744" s="15">
        <v>2.0527777777777776</v>
      </c>
      <c r="H744" s="3">
        <v>4.4594444444444409E-2</v>
      </c>
    </row>
    <row r="745" spans="7:8" x14ac:dyDescent="0.3">
      <c r="G745" s="15">
        <v>2.0555555555555554</v>
      </c>
      <c r="H745" s="3">
        <v>4.4588888888888852E-2</v>
      </c>
    </row>
    <row r="746" spans="7:8" x14ac:dyDescent="0.3">
      <c r="G746" s="15">
        <v>2.0583333333333331</v>
      </c>
      <c r="H746" s="3">
        <v>4.4583333333333294E-2</v>
      </c>
    </row>
    <row r="747" spans="7:8" x14ac:dyDescent="0.3">
      <c r="G747" s="15">
        <v>2.0611111111111109</v>
      </c>
      <c r="H747" s="3">
        <v>4.4577777777777737E-2</v>
      </c>
    </row>
    <row r="748" spans="7:8" x14ac:dyDescent="0.3">
      <c r="G748" s="15">
        <v>2.0638888888888891</v>
      </c>
      <c r="H748" s="3">
        <v>4.457222222222218E-2</v>
      </c>
    </row>
    <row r="749" spans="7:8" x14ac:dyDescent="0.3">
      <c r="G749" s="15">
        <v>2.0666666666666669</v>
      </c>
      <c r="H749" s="3">
        <v>4.4566666666666623E-2</v>
      </c>
    </row>
    <row r="750" spans="7:8" x14ac:dyDescent="0.3">
      <c r="G750" s="15">
        <v>2.0694444444444446</v>
      </c>
      <c r="H750" s="3">
        <v>4.4561111111111065E-2</v>
      </c>
    </row>
    <row r="751" spans="7:8" x14ac:dyDescent="0.3">
      <c r="G751" s="15">
        <v>2.0722222222222224</v>
      </c>
      <c r="H751" s="3">
        <v>4.4555555555555508E-2</v>
      </c>
    </row>
    <row r="752" spans="7:8" x14ac:dyDescent="0.3">
      <c r="G752" s="15">
        <v>2.0750000000000002</v>
      </c>
      <c r="H752" s="3">
        <v>4.4549999999999951E-2</v>
      </c>
    </row>
    <row r="753" spans="7:8" x14ac:dyDescent="0.3">
      <c r="G753" s="15">
        <v>2.0777777777777779</v>
      </c>
      <c r="H753" s="3">
        <v>4.4544444444444393E-2</v>
      </c>
    </row>
    <row r="754" spans="7:8" x14ac:dyDescent="0.3">
      <c r="G754" s="15">
        <v>2.0805555555555557</v>
      </c>
      <c r="H754" s="3">
        <v>4.4538888888888836E-2</v>
      </c>
    </row>
    <row r="755" spans="7:8" x14ac:dyDescent="0.3">
      <c r="G755" s="15">
        <v>2.0833333333333335</v>
      </c>
      <c r="H755" s="3">
        <v>4.4533333333333279E-2</v>
      </c>
    </row>
    <row r="756" spans="7:8" x14ac:dyDescent="0.3">
      <c r="G756" s="15">
        <v>2.0861111111111112</v>
      </c>
      <c r="H756" s="3">
        <v>4.4527777777777722E-2</v>
      </c>
    </row>
    <row r="757" spans="7:8" x14ac:dyDescent="0.3">
      <c r="G757" s="15">
        <v>2.088888888888889</v>
      </c>
      <c r="H757" s="3">
        <v>4.4522222222222164E-2</v>
      </c>
    </row>
    <row r="758" spans="7:8" x14ac:dyDescent="0.3">
      <c r="G758" s="15">
        <v>2.0916666666666668</v>
      </c>
      <c r="H758" s="3">
        <v>4.4516666666666607E-2</v>
      </c>
    </row>
    <row r="759" spans="7:8" x14ac:dyDescent="0.3">
      <c r="G759" s="15">
        <v>2.0944444444444446</v>
      </c>
      <c r="H759" s="3">
        <v>4.451111111111105E-2</v>
      </c>
    </row>
    <row r="760" spans="7:8" x14ac:dyDescent="0.3">
      <c r="G760" s="15">
        <v>2.0972222222222223</v>
      </c>
      <c r="H760" s="3">
        <v>4.4505555555555493E-2</v>
      </c>
    </row>
    <row r="761" spans="7:8" x14ac:dyDescent="0.3">
      <c r="G761" s="15">
        <v>2.1</v>
      </c>
      <c r="H761" s="3">
        <v>4.4499999999999935E-2</v>
      </c>
    </row>
    <row r="762" spans="7:8" x14ac:dyDescent="0.3">
      <c r="G762" s="15">
        <v>2.1027777777777779</v>
      </c>
      <c r="H762" s="3">
        <v>4.4494444444444378E-2</v>
      </c>
    </row>
    <row r="763" spans="7:8" x14ac:dyDescent="0.3">
      <c r="G763" s="15">
        <v>2.1055555555555556</v>
      </c>
      <c r="H763" s="3">
        <v>4.4488888888888821E-2</v>
      </c>
    </row>
    <row r="764" spans="7:8" x14ac:dyDescent="0.3">
      <c r="G764" s="15">
        <v>2.1083333333333334</v>
      </c>
      <c r="H764" s="3">
        <v>4.4483333333333264E-2</v>
      </c>
    </row>
    <row r="765" spans="7:8" x14ac:dyDescent="0.3">
      <c r="G765" s="15">
        <v>2.1111111111111112</v>
      </c>
      <c r="H765" s="3">
        <v>4.4477777777777706E-2</v>
      </c>
    </row>
    <row r="766" spans="7:8" x14ac:dyDescent="0.3">
      <c r="G766" s="15">
        <v>2.1138888888888889</v>
      </c>
      <c r="H766" s="3">
        <v>4.4472222222222149E-2</v>
      </c>
    </row>
    <row r="767" spans="7:8" x14ac:dyDescent="0.3">
      <c r="G767" s="15">
        <v>2.1166666666666667</v>
      </c>
      <c r="H767" s="3">
        <v>4.4466666666666592E-2</v>
      </c>
    </row>
    <row r="768" spans="7:8" x14ac:dyDescent="0.3">
      <c r="G768" s="15">
        <v>2.1194444444444445</v>
      </c>
      <c r="H768" s="3">
        <v>4.4461111111111035E-2</v>
      </c>
    </row>
    <row r="769" spans="7:8" x14ac:dyDescent="0.3">
      <c r="G769" s="15">
        <v>2.1222222222222222</v>
      </c>
      <c r="H769" s="3">
        <v>4.4455555555555477E-2</v>
      </c>
    </row>
    <row r="770" spans="7:8" x14ac:dyDescent="0.3">
      <c r="G770" s="15">
        <v>2.125</v>
      </c>
      <c r="H770" s="3">
        <v>4.444999999999992E-2</v>
      </c>
    </row>
    <row r="771" spans="7:8" x14ac:dyDescent="0.3">
      <c r="G771" s="15">
        <v>2.1277777777777778</v>
      </c>
      <c r="H771" s="3">
        <v>4.4444444444444363E-2</v>
      </c>
    </row>
    <row r="772" spans="7:8" x14ac:dyDescent="0.3">
      <c r="G772" s="15">
        <v>2.1305555555555555</v>
      </c>
      <c r="H772" s="3">
        <v>4.4438888888888806E-2</v>
      </c>
    </row>
    <row r="773" spans="7:8" x14ac:dyDescent="0.3">
      <c r="G773" s="15">
        <v>2.1333333333333333</v>
      </c>
      <c r="H773" s="3">
        <v>4.4433333333333248E-2</v>
      </c>
    </row>
    <row r="774" spans="7:8" x14ac:dyDescent="0.3">
      <c r="G774" s="15">
        <v>2.1361111111111111</v>
      </c>
      <c r="H774" s="3">
        <v>4.4427777777777691E-2</v>
      </c>
    </row>
    <row r="775" spans="7:8" x14ac:dyDescent="0.3">
      <c r="G775" s="15">
        <v>2.1388888888888888</v>
      </c>
      <c r="H775" s="3">
        <v>4.4422222222222134E-2</v>
      </c>
    </row>
    <row r="776" spans="7:8" x14ac:dyDescent="0.3">
      <c r="G776" s="15">
        <v>2.1416666666666666</v>
      </c>
      <c r="H776" s="3">
        <v>4.4416666666666577E-2</v>
      </c>
    </row>
    <row r="777" spans="7:8" x14ac:dyDescent="0.3">
      <c r="G777" s="15">
        <v>2.1444444444444444</v>
      </c>
      <c r="H777" s="3">
        <v>4.4411111111111019E-2</v>
      </c>
    </row>
    <row r="778" spans="7:8" x14ac:dyDescent="0.3">
      <c r="G778" s="15">
        <v>2.1472222222222221</v>
      </c>
      <c r="H778" s="3">
        <v>4.4405555555555462E-2</v>
      </c>
    </row>
    <row r="779" spans="7:8" x14ac:dyDescent="0.3">
      <c r="G779" s="15">
        <v>2.15</v>
      </c>
      <c r="H779" s="3">
        <v>4.4399999999999905E-2</v>
      </c>
    </row>
    <row r="780" spans="7:8" x14ac:dyDescent="0.3">
      <c r="G780" s="15">
        <v>2.1527777777777777</v>
      </c>
      <c r="H780" s="3">
        <v>4.4394444444444348E-2</v>
      </c>
    </row>
    <row r="781" spans="7:8" x14ac:dyDescent="0.3">
      <c r="G781" s="15">
        <v>2.1555555555555554</v>
      </c>
      <c r="H781" s="3">
        <v>4.438888888888879E-2</v>
      </c>
    </row>
    <row r="782" spans="7:8" x14ac:dyDescent="0.3">
      <c r="G782" s="15">
        <v>2.1583333333333332</v>
      </c>
      <c r="H782" s="3">
        <v>4.4383333333333233E-2</v>
      </c>
    </row>
    <row r="783" spans="7:8" x14ac:dyDescent="0.3">
      <c r="G783" s="15">
        <v>2.161111111111111</v>
      </c>
      <c r="H783" s="3">
        <v>4.4377777777777676E-2</v>
      </c>
    </row>
    <row r="784" spans="7:8" x14ac:dyDescent="0.3">
      <c r="G784" s="15">
        <v>2.1638888888888888</v>
      </c>
      <c r="H784" s="3">
        <v>4.4372222222222119E-2</v>
      </c>
    </row>
    <row r="785" spans="7:8" x14ac:dyDescent="0.3">
      <c r="G785" s="15">
        <v>2.1666666666666665</v>
      </c>
      <c r="H785" s="3">
        <v>4.4366666666666561E-2</v>
      </c>
    </row>
    <row r="786" spans="7:8" x14ac:dyDescent="0.3">
      <c r="G786" s="15">
        <v>2.1694444444444443</v>
      </c>
      <c r="H786" s="3">
        <v>4.4361111111111004E-2</v>
      </c>
    </row>
    <row r="787" spans="7:8" x14ac:dyDescent="0.3">
      <c r="G787" s="15">
        <v>2.1722222222222221</v>
      </c>
      <c r="H787" s="3">
        <v>4.4355555555555447E-2</v>
      </c>
    </row>
    <row r="788" spans="7:8" x14ac:dyDescent="0.3">
      <c r="G788" s="15">
        <v>2.1749999999999998</v>
      </c>
      <c r="H788" s="3">
        <v>4.434999999999989E-2</v>
      </c>
    </row>
    <row r="789" spans="7:8" x14ac:dyDescent="0.3">
      <c r="G789" s="15">
        <v>2.1777777777777776</v>
      </c>
      <c r="H789" s="3">
        <v>4.4344444444444332E-2</v>
      </c>
    </row>
    <row r="790" spans="7:8" x14ac:dyDescent="0.3">
      <c r="G790" s="15">
        <v>2.1805555555555554</v>
      </c>
      <c r="H790" s="3">
        <v>4.4338888888888775E-2</v>
      </c>
    </row>
    <row r="791" spans="7:8" x14ac:dyDescent="0.3">
      <c r="G791" s="15">
        <v>2.1833333333333331</v>
      </c>
      <c r="H791" s="3">
        <v>4.4333333333333218E-2</v>
      </c>
    </row>
    <row r="792" spans="7:8" x14ac:dyDescent="0.3">
      <c r="G792" s="15">
        <v>2.1861111111111109</v>
      </c>
      <c r="H792" s="3">
        <v>4.432777777777766E-2</v>
      </c>
    </row>
    <row r="793" spans="7:8" x14ac:dyDescent="0.3">
      <c r="G793" s="15">
        <v>2.1888888888888891</v>
      </c>
      <c r="H793" s="3">
        <v>4.4322222222222103E-2</v>
      </c>
    </row>
    <row r="794" spans="7:8" x14ac:dyDescent="0.3">
      <c r="G794" s="15">
        <v>2.1916666666666669</v>
      </c>
      <c r="H794" s="3">
        <v>4.4316666666666546E-2</v>
      </c>
    </row>
    <row r="795" spans="7:8" x14ac:dyDescent="0.3">
      <c r="G795" s="15">
        <v>2.1944444444444446</v>
      </c>
      <c r="H795" s="3">
        <v>4.4311111111110989E-2</v>
      </c>
    </row>
    <row r="796" spans="7:8" x14ac:dyDescent="0.3">
      <c r="G796" s="15">
        <v>2.1972222222222224</v>
      </c>
      <c r="H796" s="3">
        <v>4.4305555555555431E-2</v>
      </c>
    </row>
    <row r="797" spans="7:8" x14ac:dyDescent="0.3">
      <c r="G797" s="15">
        <v>2.2000000000000002</v>
      </c>
      <c r="H797" s="3">
        <v>4.4299999999999874E-2</v>
      </c>
    </row>
    <row r="798" spans="7:8" x14ac:dyDescent="0.3">
      <c r="G798" s="15">
        <v>2.2027777777777779</v>
      </c>
      <c r="H798" s="3">
        <v>4.4294444444444317E-2</v>
      </c>
    </row>
    <row r="799" spans="7:8" x14ac:dyDescent="0.3">
      <c r="G799" s="15">
        <v>2.2055555555555557</v>
      </c>
      <c r="H799" s="3">
        <v>4.428888888888876E-2</v>
      </c>
    </row>
    <row r="800" spans="7:8" x14ac:dyDescent="0.3">
      <c r="G800" s="15">
        <v>2.2083333333333335</v>
      </c>
      <c r="H800" s="3">
        <v>4.4283333333333202E-2</v>
      </c>
    </row>
    <row r="801" spans="7:8" x14ac:dyDescent="0.3">
      <c r="G801" s="15">
        <v>2.2111111111111112</v>
      </c>
      <c r="H801" s="3">
        <v>4.4277777777777645E-2</v>
      </c>
    </row>
    <row r="802" spans="7:8" x14ac:dyDescent="0.3">
      <c r="G802" s="15">
        <v>2.213888888888889</v>
      </c>
      <c r="H802" s="3">
        <v>4.4272222222222088E-2</v>
      </c>
    </row>
    <row r="803" spans="7:8" x14ac:dyDescent="0.3">
      <c r="G803" s="15">
        <v>2.2166666666666668</v>
      </c>
      <c r="H803" s="3">
        <v>4.4266666666666531E-2</v>
      </c>
    </row>
    <row r="804" spans="7:8" x14ac:dyDescent="0.3">
      <c r="G804" s="15">
        <v>2.2194444444444446</v>
      </c>
      <c r="H804" s="3">
        <v>4.4261111111110973E-2</v>
      </c>
    </row>
    <row r="805" spans="7:8" x14ac:dyDescent="0.3">
      <c r="G805" s="15">
        <v>2.2222222222222223</v>
      </c>
      <c r="H805" s="3">
        <v>4.4255555555555416E-2</v>
      </c>
    </row>
    <row r="806" spans="7:8" x14ac:dyDescent="0.3">
      <c r="G806" s="15">
        <v>2.2250000000000001</v>
      </c>
      <c r="H806" s="3">
        <v>4.4249999999999859E-2</v>
      </c>
    </row>
    <row r="807" spans="7:8" x14ac:dyDescent="0.3">
      <c r="G807" s="15">
        <v>2.2277777777777779</v>
      </c>
      <c r="H807" s="3">
        <v>4.4244444444444302E-2</v>
      </c>
    </row>
    <row r="808" spans="7:8" x14ac:dyDescent="0.3">
      <c r="G808" s="15">
        <v>2.2305555555555556</v>
      </c>
      <c r="H808" s="3">
        <v>4.4238888888888744E-2</v>
      </c>
    </row>
    <row r="809" spans="7:8" x14ac:dyDescent="0.3">
      <c r="G809" s="15">
        <v>2.2333333333333334</v>
      </c>
      <c r="H809" s="3">
        <v>4.4233333333333187E-2</v>
      </c>
    </row>
    <row r="810" spans="7:8" x14ac:dyDescent="0.3">
      <c r="G810" s="15">
        <v>2.2361111111111112</v>
      </c>
      <c r="H810" s="3">
        <v>4.422777777777763E-2</v>
      </c>
    </row>
    <row r="811" spans="7:8" x14ac:dyDescent="0.3">
      <c r="G811" s="15">
        <v>2.2388888888888889</v>
      </c>
      <c r="H811" s="3">
        <v>4.4222222222222073E-2</v>
      </c>
    </row>
    <row r="812" spans="7:8" x14ac:dyDescent="0.3">
      <c r="G812" s="15">
        <v>2.2416666666666667</v>
      </c>
      <c r="H812" s="3">
        <v>4.4216666666666515E-2</v>
      </c>
    </row>
    <row r="813" spans="7:8" x14ac:dyDescent="0.3">
      <c r="G813" s="15">
        <v>2.2444444444444445</v>
      </c>
      <c r="H813" s="3">
        <v>4.4211111111110958E-2</v>
      </c>
    </row>
    <row r="814" spans="7:8" x14ac:dyDescent="0.3">
      <c r="G814" s="15">
        <v>2.2472222222222222</v>
      </c>
      <c r="H814" s="3">
        <v>4.4205555555555401E-2</v>
      </c>
    </row>
    <row r="815" spans="7:8" x14ac:dyDescent="0.3">
      <c r="G815" s="15">
        <v>2.25</v>
      </c>
      <c r="H815" s="3">
        <v>4.4199999999999844E-2</v>
      </c>
    </row>
    <row r="816" spans="7:8" x14ac:dyDescent="0.3">
      <c r="G816" s="15">
        <v>2.2527777777777778</v>
      </c>
      <c r="H816" s="3">
        <v>4.4194444444444286E-2</v>
      </c>
    </row>
    <row r="817" spans="7:8" x14ac:dyDescent="0.3">
      <c r="G817" s="15">
        <v>2.2555555555555555</v>
      </c>
      <c r="H817" s="3">
        <v>4.4188888888888729E-2</v>
      </c>
    </row>
    <row r="818" spans="7:8" x14ac:dyDescent="0.3">
      <c r="G818" s="15">
        <v>2.2583333333333333</v>
      </c>
      <c r="H818" s="3">
        <v>4.4183333333333172E-2</v>
      </c>
    </row>
    <row r="819" spans="7:8" x14ac:dyDescent="0.3">
      <c r="G819" s="15">
        <v>2.2611111111111111</v>
      </c>
      <c r="H819" s="3">
        <v>4.4177777777777615E-2</v>
      </c>
    </row>
    <row r="820" spans="7:8" x14ac:dyDescent="0.3">
      <c r="G820" s="15">
        <v>2.2638888888888888</v>
      </c>
      <c r="H820" s="3">
        <v>4.4172222222222057E-2</v>
      </c>
    </row>
    <row r="821" spans="7:8" x14ac:dyDescent="0.3">
      <c r="G821" s="15">
        <v>2.2666666666666666</v>
      </c>
      <c r="H821" s="3">
        <v>4.41666666666665E-2</v>
      </c>
    </row>
    <row r="822" spans="7:8" x14ac:dyDescent="0.3">
      <c r="G822" s="15">
        <v>2.2694444444444444</v>
      </c>
      <c r="H822" s="3">
        <v>4.4161111111110943E-2</v>
      </c>
    </row>
    <row r="823" spans="7:8" x14ac:dyDescent="0.3">
      <c r="G823" s="15">
        <v>2.2722222222222221</v>
      </c>
      <c r="H823" s="3">
        <v>4.4155555555555386E-2</v>
      </c>
    </row>
    <row r="824" spans="7:8" x14ac:dyDescent="0.3">
      <c r="G824" s="15">
        <v>2.2749999999999999</v>
      </c>
      <c r="H824" s="3">
        <v>4.4149999999999828E-2</v>
      </c>
    </row>
    <row r="825" spans="7:8" x14ac:dyDescent="0.3">
      <c r="G825" s="15">
        <v>2.2777777777777777</v>
      </c>
      <c r="H825" s="3">
        <v>4.4144444444444271E-2</v>
      </c>
    </row>
    <row r="826" spans="7:8" x14ac:dyDescent="0.3">
      <c r="G826" s="15">
        <v>2.2805555555555554</v>
      </c>
      <c r="H826" s="3">
        <v>4.4138888888888714E-2</v>
      </c>
    </row>
    <row r="827" spans="7:8" x14ac:dyDescent="0.3">
      <c r="G827" s="15">
        <v>2.2833333333333332</v>
      </c>
      <c r="H827" s="3">
        <v>4.4133333333333157E-2</v>
      </c>
    </row>
    <row r="828" spans="7:8" x14ac:dyDescent="0.3">
      <c r="G828" s="15">
        <v>2.286111111111111</v>
      </c>
      <c r="H828" s="3">
        <v>4.4127777777777599E-2</v>
      </c>
    </row>
    <row r="829" spans="7:8" x14ac:dyDescent="0.3">
      <c r="G829" s="15">
        <v>2.2888888888888888</v>
      </c>
      <c r="H829" s="3">
        <v>4.4122222222222042E-2</v>
      </c>
    </row>
    <row r="830" spans="7:8" x14ac:dyDescent="0.3">
      <c r="G830" s="15">
        <v>2.2916666666666665</v>
      </c>
      <c r="H830" s="3">
        <v>4.4116666666666485E-2</v>
      </c>
    </row>
    <row r="831" spans="7:8" x14ac:dyDescent="0.3">
      <c r="G831" s="15">
        <v>2.2944444444444443</v>
      </c>
      <c r="H831" s="3">
        <v>4.4111111111110927E-2</v>
      </c>
    </row>
    <row r="832" spans="7:8" x14ac:dyDescent="0.3">
      <c r="G832" s="15">
        <v>2.2972222222222221</v>
      </c>
      <c r="H832" s="3">
        <v>4.410555555555537E-2</v>
      </c>
    </row>
    <row r="833" spans="7:8" x14ac:dyDescent="0.3">
      <c r="G833" s="15">
        <v>2.2999999999999998</v>
      </c>
      <c r="H833" s="3">
        <v>4.4099999999999813E-2</v>
      </c>
    </row>
    <row r="834" spans="7:8" x14ac:dyDescent="0.3">
      <c r="G834" s="15">
        <v>2.3027777777777776</v>
      </c>
      <c r="H834" s="3">
        <v>4.4094444444444256E-2</v>
      </c>
    </row>
    <row r="835" spans="7:8" x14ac:dyDescent="0.3">
      <c r="G835" s="15">
        <v>2.3055555555555554</v>
      </c>
      <c r="H835" s="3">
        <v>4.4088888888888698E-2</v>
      </c>
    </row>
    <row r="836" spans="7:8" x14ac:dyDescent="0.3">
      <c r="G836" s="15">
        <v>2.3083333333333331</v>
      </c>
      <c r="H836" s="3">
        <v>4.4083333333333141E-2</v>
      </c>
    </row>
    <row r="837" spans="7:8" x14ac:dyDescent="0.3">
      <c r="G837" s="15">
        <v>2.3111111111111109</v>
      </c>
      <c r="H837" s="3">
        <v>4.4077777777777584E-2</v>
      </c>
    </row>
    <row r="838" spans="7:8" x14ac:dyDescent="0.3">
      <c r="G838" s="15">
        <v>2.3138888888888891</v>
      </c>
      <c r="H838" s="3">
        <v>4.4072222222222027E-2</v>
      </c>
    </row>
    <row r="839" spans="7:8" x14ac:dyDescent="0.3">
      <c r="G839" s="15">
        <v>2.3166666666666669</v>
      </c>
      <c r="H839" s="3">
        <v>4.4066666666666469E-2</v>
      </c>
    </row>
    <row r="840" spans="7:8" x14ac:dyDescent="0.3">
      <c r="G840" s="15">
        <v>2.3194444444444446</v>
      </c>
      <c r="H840" s="3">
        <v>4.4061111111110912E-2</v>
      </c>
    </row>
    <row r="841" spans="7:8" x14ac:dyDescent="0.3">
      <c r="G841" s="15">
        <v>2.3222222222222224</v>
      </c>
      <c r="H841" s="3">
        <v>4.4055555555555355E-2</v>
      </c>
    </row>
    <row r="842" spans="7:8" x14ac:dyDescent="0.3">
      <c r="G842" s="15">
        <v>2.3250000000000002</v>
      </c>
      <c r="H842" s="3">
        <v>4.4049999999999798E-2</v>
      </c>
    </row>
    <row r="843" spans="7:8" x14ac:dyDescent="0.3">
      <c r="G843" s="15">
        <v>2.3277777777777779</v>
      </c>
      <c r="H843" s="3">
        <v>4.404444444444424E-2</v>
      </c>
    </row>
    <row r="844" spans="7:8" x14ac:dyDescent="0.3">
      <c r="G844" s="15">
        <v>2.3305555555555557</v>
      </c>
      <c r="H844" s="3">
        <v>4.4038888888888683E-2</v>
      </c>
    </row>
    <row r="845" spans="7:8" x14ac:dyDescent="0.3">
      <c r="G845" s="15">
        <v>2.3333333333333335</v>
      </c>
      <c r="H845" s="3">
        <v>4.4033333333333126E-2</v>
      </c>
    </row>
    <row r="846" spans="7:8" x14ac:dyDescent="0.3">
      <c r="G846" s="15">
        <v>2.3361111111111112</v>
      </c>
      <c r="H846" s="3">
        <v>4.4027777777777569E-2</v>
      </c>
    </row>
    <row r="847" spans="7:8" x14ac:dyDescent="0.3">
      <c r="G847" s="15">
        <v>2.338888888888889</v>
      </c>
      <c r="H847" s="3">
        <v>4.4022222222222011E-2</v>
      </c>
    </row>
    <row r="848" spans="7:8" x14ac:dyDescent="0.3">
      <c r="G848" s="15">
        <v>2.3416666666666668</v>
      </c>
      <c r="H848" s="3">
        <v>4.4016666666666454E-2</v>
      </c>
    </row>
    <row r="849" spans="7:8" x14ac:dyDescent="0.3">
      <c r="G849" s="15">
        <v>2.3444444444444446</v>
      </c>
      <c r="H849" s="3">
        <v>4.4011111111110897E-2</v>
      </c>
    </row>
    <row r="850" spans="7:8" x14ac:dyDescent="0.3">
      <c r="G850" s="15">
        <v>2.3472222222222223</v>
      </c>
      <c r="H850" s="3">
        <v>4.400555555555534E-2</v>
      </c>
    </row>
    <row r="851" spans="7:8" x14ac:dyDescent="0.3">
      <c r="G851" s="15">
        <v>2.35</v>
      </c>
      <c r="H851" s="3">
        <v>4.3999999999999782E-2</v>
      </c>
    </row>
    <row r="852" spans="7:8" x14ac:dyDescent="0.3">
      <c r="G852" s="15">
        <v>2.3527777777777779</v>
      </c>
      <c r="H852" s="3">
        <v>4.3994444444444225E-2</v>
      </c>
    </row>
    <row r="853" spans="7:8" x14ac:dyDescent="0.3">
      <c r="G853" s="15">
        <v>2.3555555555555556</v>
      </c>
      <c r="H853" s="3">
        <v>4.3988888888888668E-2</v>
      </c>
    </row>
    <row r="854" spans="7:8" x14ac:dyDescent="0.3">
      <c r="G854" s="15">
        <v>2.3583333333333334</v>
      </c>
      <c r="H854" s="3">
        <v>4.3983333333333111E-2</v>
      </c>
    </row>
    <row r="855" spans="7:8" x14ac:dyDescent="0.3">
      <c r="G855" s="15">
        <v>2.3611111111111112</v>
      </c>
      <c r="H855" s="3">
        <v>4.3977777777777553E-2</v>
      </c>
    </row>
    <row r="856" spans="7:8" x14ac:dyDescent="0.3">
      <c r="G856" s="15">
        <v>2.3638888888888889</v>
      </c>
      <c r="H856" s="3">
        <v>4.3972222222221996E-2</v>
      </c>
    </row>
    <row r="857" spans="7:8" x14ac:dyDescent="0.3">
      <c r="G857" s="15">
        <v>2.3666666666666667</v>
      </c>
      <c r="H857" s="3">
        <v>4.3966666666666439E-2</v>
      </c>
    </row>
    <row r="858" spans="7:8" x14ac:dyDescent="0.3">
      <c r="G858" s="15">
        <v>2.3694444444444445</v>
      </c>
      <c r="H858" s="3">
        <v>4.3961111111110882E-2</v>
      </c>
    </row>
    <row r="859" spans="7:8" x14ac:dyDescent="0.3">
      <c r="G859" s="15">
        <v>2.3722222222222222</v>
      </c>
      <c r="H859" s="3">
        <v>4.3955555555555324E-2</v>
      </c>
    </row>
    <row r="860" spans="7:8" x14ac:dyDescent="0.3">
      <c r="G860" s="15">
        <v>2.375</v>
      </c>
      <c r="H860" s="3">
        <v>4.3949999999999767E-2</v>
      </c>
    </row>
    <row r="861" spans="7:8" x14ac:dyDescent="0.3">
      <c r="G861" s="15">
        <v>2.3777777777777778</v>
      </c>
      <c r="H861" s="3">
        <v>4.394444444444421E-2</v>
      </c>
    </row>
    <row r="862" spans="7:8" x14ac:dyDescent="0.3">
      <c r="G862" s="15">
        <v>2.3805555555555555</v>
      </c>
      <c r="H862" s="3">
        <v>4.3938888888888653E-2</v>
      </c>
    </row>
    <row r="863" spans="7:8" x14ac:dyDescent="0.3">
      <c r="G863" s="15">
        <v>2.3833333333333333</v>
      </c>
      <c r="H863" s="3">
        <v>4.3933333333333095E-2</v>
      </c>
    </row>
    <row r="864" spans="7:8" x14ac:dyDescent="0.3">
      <c r="G864" s="15">
        <v>2.3861111111111111</v>
      </c>
      <c r="H864" s="3">
        <v>4.3927777777777538E-2</v>
      </c>
    </row>
    <row r="865" spans="7:8" x14ac:dyDescent="0.3">
      <c r="G865" s="15">
        <v>2.3888888888888888</v>
      </c>
      <c r="H865" s="3">
        <v>4.3922222222221981E-2</v>
      </c>
    </row>
    <row r="866" spans="7:8" x14ac:dyDescent="0.3">
      <c r="G866" s="15">
        <v>2.3916666666666666</v>
      </c>
      <c r="H866" s="3">
        <v>4.3916666666666423E-2</v>
      </c>
    </row>
    <row r="867" spans="7:8" x14ac:dyDescent="0.3">
      <c r="G867" s="15">
        <v>2.3944444444444444</v>
      </c>
      <c r="H867" s="3">
        <v>4.3911111111110866E-2</v>
      </c>
    </row>
    <row r="868" spans="7:8" x14ac:dyDescent="0.3">
      <c r="G868" s="15">
        <v>2.3972222222222221</v>
      </c>
      <c r="H868" s="3">
        <v>4.3905555555555309E-2</v>
      </c>
    </row>
    <row r="869" spans="7:8" x14ac:dyDescent="0.3">
      <c r="G869" s="15">
        <v>2.4</v>
      </c>
      <c r="H869" s="3">
        <v>4.3899999999999752E-2</v>
      </c>
    </row>
    <row r="870" spans="7:8" x14ac:dyDescent="0.3">
      <c r="G870" s="15">
        <v>2.4027777777777777</v>
      </c>
      <c r="H870" s="3">
        <v>4.3894444444444194E-2</v>
      </c>
    </row>
    <row r="871" spans="7:8" x14ac:dyDescent="0.3">
      <c r="G871" s="15">
        <v>2.4055555555555554</v>
      </c>
      <c r="H871" s="3">
        <v>4.3888888888888637E-2</v>
      </c>
    </row>
    <row r="872" spans="7:8" x14ac:dyDescent="0.3">
      <c r="G872" s="15">
        <v>2.4083333333333332</v>
      </c>
      <c r="H872" s="3">
        <v>4.388333333333308E-2</v>
      </c>
    </row>
    <row r="873" spans="7:8" x14ac:dyDescent="0.3">
      <c r="G873" s="15">
        <v>2.411111111111111</v>
      </c>
      <c r="H873" s="3">
        <v>4.3877777777777523E-2</v>
      </c>
    </row>
    <row r="874" spans="7:8" x14ac:dyDescent="0.3">
      <c r="G874" s="15">
        <v>2.4138888888888888</v>
      </c>
      <c r="H874" s="3">
        <v>4.3872222222221965E-2</v>
      </c>
    </row>
    <row r="875" spans="7:8" x14ac:dyDescent="0.3">
      <c r="G875" s="15">
        <v>2.4166666666666665</v>
      </c>
      <c r="H875" s="3">
        <v>4.3866666666666408E-2</v>
      </c>
    </row>
    <row r="876" spans="7:8" x14ac:dyDescent="0.3">
      <c r="G876" s="15">
        <v>2.4194444444444443</v>
      </c>
      <c r="H876" s="3">
        <v>4.3861111111110851E-2</v>
      </c>
    </row>
    <row r="877" spans="7:8" x14ac:dyDescent="0.3">
      <c r="G877" s="15">
        <v>2.4222222222222221</v>
      </c>
      <c r="H877" s="3">
        <v>4.3855555555555294E-2</v>
      </c>
    </row>
    <row r="878" spans="7:8" x14ac:dyDescent="0.3">
      <c r="G878" s="15">
        <v>2.4249999999999998</v>
      </c>
      <c r="H878" s="3">
        <v>4.3849999999999736E-2</v>
      </c>
    </row>
    <row r="879" spans="7:8" x14ac:dyDescent="0.3">
      <c r="G879" s="15">
        <v>2.4277777777777776</v>
      </c>
      <c r="H879" s="3">
        <v>4.3844444444444179E-2</v>
      </c>
    </row>
    <row r="880" spans="7:8" x14ac:dyDescent="0.3">
      <c r="G880" s="15">
        <v>2.4305555555555554</v>
      </c>
      <c r="H880" s="3">
        <v>4.3838888888888622E-2</v>
      </c>
    </row>
    <row r="881" spans="7:8" x14ac:dyDescent="0.3">
      <c r="G881" s="15">
        <v>2.4333333333333331</v>
      </c>
      <c r="H881" s="3">
        <v>4.3833333333333065E-2</v>
      </c>
    </row>
    <row r="882" spans="7:8" x14ac:dyDescent="0.3">
      <c r="G882" s="15">
        <v>2.4361111111111109</v>
      </c>
      <c r="H882" s="3">
        <v>4.3827777777777507E-2</v>
      </c>
    </row>
    <row r="883" spans="7:8" x14ac:dyDescent="0.3">
      <c r="G883" s="15">
        <v>2.4388888888888891</v>
      </c>
      <c r="H883" s="3">
        <v>4.382222222222195E-2</v>
      </c>
    </row>
    <row r="884" spans="7:8" x14ac:dyDescent="0.3">
      <c r="G884" s="15">
        <v>2.4416666666666669</v>
      </c>
      <c r="H884" s="3">
        <v>4.3816666666666393E-2</v>
      </c>
    </row>
    <row r="885" spans="7:8" x14ac:dyDescent="0.3">
      <c r="G885" s="15">
        <v>2.4444444444444446</v>
      </c>
      <c r="H885" s="3">
        <v>4.3811111111110836E-2</v>
      </c>
    </row>
    <row r="886" spans="7:8" x14ac:dyDescent="0.3">
      <c r="G886" s="15">
        <v>2.4472222222222224</v>
      </c>
      <c r="H886" s="3">
        <v>4.3805555555555278E-2</v>
      </c>
    </row>
    <row r="887" spans="7:8" x14ac:dyDescent="0.3">
      <c r="G887" s="15">
        <v>2.4500000000000002</v>
      </c>
      <c r="H887" s="3">
        <v>4.3799999999999721E-2</v>
      </c>
    </row>
    <row r="888" spans="7:8" x14ac:dyDescent="0.3">
      <c r="G888" s="15">
        <v>2.4527777777777779</v>
      </c>
      <c r="H888" s="3">
        <v>4.3794444444444164E-2</v>
      </c>
    </row>
    <row r="889" spans="7:8" x14ac:dyDescent="0.3">
      <c r="G889" s="15">
        <v>2.4555555555555557</v>
      </c>
      <c r="H889" s="3">
        <v>4.3788888888888607E-2</v>
      </c>
    </row>
    <row r="890" spans="7:8" x14ac:dyDescent="0.3">
      <c r="G890" s="15">
        <v>2.4583333333333335</v>
      </c>
      <c r="H890" s="3">
        <v>4.3783333333333049E-2</v>
      </c>
    </row>
    <row r="891" spans="7:8" x14ac:dyDescent="0.3">
      <c r="G891" s="15">
        <v>2.4611111111111112</v>
      </c>
      <c r="H891" s="3">
        <v>4.3777777777777492E-2</v>
      </c>
    </row>
    <row r="892" spans="7:8" x14ac:dyDescent="0.3">
      <c r="G892" s="15">
        <v>2.463888888888889</v>
      </c>
      <c r="H892" s="3">
        <v>4.3772222222221935E-2</v>
      </c>
    </row>
    <row r="893" spans="7:8" x14ac:dyDescent="0.3">
      <c r="G893" s="15">
        <v>2.4666666666666668</v>
      </c>
      <c r="H893" s="3">
        <v>4.3766666666666378E-2</v>
      </c>
    </row>
    <row r="894" spans="7:8" x14ac:dyDescent="0.3">
      <c r="G894" s="15">
        <v>2.4694444444444446</v>
      </c>
      <c r="H894" s="3">
        <v>4.376111111111082E-2</v>
      </c>
    </row>
    <row r="895" spans="7:8" x14ac:dyDescent="0.3">
      <c r="G895" s="15">
        <v>2.4722222222222223</v>
      </c>
      <c r="H895" s="3">
        <v>4.3755555555555263E-2</v>
      </c>
    </row>
    <row r="896" spans="7:8" x14ac:dyDescent="0.3">
      <c r="G896" s="15">
        <v>2.4750000000000001</v>
      </c>
      <c r="H896" s="3">
        <v>4.3749999999999706E-2</v>
      </c>
    </row>
    <row r="897" spans="7:8" x14ac:dyDescent="0.3">
      <c r="G897" s="15">
        <v>2.4777777777777779</v>
      </c>
      <c r="H897" s="3">
        <v>4.3744444444444149E-2</v>
      </c>
    </row>
    <row r="898" spans="7:8" x14ac:dyDescent="0.3">
      <c r="G898" s="15">
        <v>2.4805555555555556</v>
      </c>
      <c r="H898" s="3">
        <v>4.3738888888888591E-2</v>
      </c>
    </row>
    <row r="899" spans="7:8" x14ac:dyDescent="0.3">
      <c r="G899" s="15">
        <v>2.4833333333333334</v>
      </c>
      <c r="H899" s="3">
        <v>4.3733333333333034E-2</v>
      </c>
    </row>
    <row r="900" spans="7:8" x14ac:dyDescent="0.3">
      <c r="G900" s="15">
        <v>2.4861111111111112</v>
      </c>
      <c r="H900" s="3">
        <v>4.3727777777777477E-2</v>
      </c>
    </row>
    <row r="901" spans="7:8" x14ac:dyDescent="0.3">
      <c r="G901" s="15">
        <v>2.4888888888888889</v>
      </c>
      <c r="H901" s="3">
        <v>4.372222222222192E-2</v>
      </c>
    </row>
    <row r="902" spans="7:8" x14ac:dyDescent="0.3">
      <c r="G902" s="15">
        <v>2.4916666666666667</v>
      </c>
      <c r="H902" s="3">
        <v>4.3716666666666362E-2</v>
      </c>
    </row>
    <row r="903" spans="7:8" x14ac:dyDescent="0.3">
      <c r="G903" s="15">
        <v>2.4944444444444445</v>
      </c>
      <c r="H903" s="3">
        <v>4.3711111111110805E-2</v>
      </c>
    </row>
    <row r="904" spans="7:8" x14ac:dyDescent="0.3">
      <c r="G904" s="15">
        <v>2.4972222222222222</v>
      </c>
      <c r="H904" s="3">
        <v>4.3705555555555248E-2</v>
      </c>
    </row>
    <row r="905" spans="7:8" x14ac:dyDescent="0.3">
      <c r="G905" s="15">
        <v>2.5</v>
      </c>
      <c r="H905" s="3">
        <v>4.369999999999969E-2</v>
      </c>
    </row>
    <row r="906" spans="7:8" x14ac:dyDescent="0.3">
      <c r="G906" s="15">
        <v>2.5027777777777778</v>
      </c>
      <c r="H906" s="3">
        <v>4.3694444444444133E-2</v>
      </c>
    </row>
    <row r="907" spans="7:8" x14ac:dyDescent="0.3">
      <c r="G907" s="15">
        <v>2.5055555555555555</v>
      </c>
      <c r="H907" s="3">
        <v>4.3688888888888576E-2</v>
      </c>
    </row>
    <row r="908" spans="7:8" x14ac:dyDescent="0.3">
      <c r="G908" s="15">
        <v>2.5083333333333333</v>
      </c>
      <c r="H908" s="3">
        <v>4.3683333333333019E-2</v>
      </c>
    </row>
    <row r="909" spans="7:8" x14ac:dyDescent="0.3">
      <c r="G909" s="15">
        <v>2.5111111111111111</v>
      </c>
      <c r="H909" s="3">
        <v>4.3677777777777461E-2</v>
      </c>
    </row>
    <row r="910" spans="7:8" x14ac:dyDescent="0.3">
      <c r="G910" s="15">
        <v>2.5138888888888888</v>
      </c>
      <c r="H910" s="3">
        <v>4.3672222222221904E-2</v>
      </c>
    </row>
    <row r="911" spans="7:8" x14ac:dyDescent="0.3">
      <c r="G911" s="15">
        <v>2.5166666666666666</v>
      </c>
      <c r="H911" s="3">
        <v>4.3666666666666354E-2</v>
      </c>
    </row>
    <row r="912" spans="7:8" x14ac:dyDescent="0.3">
      <c r="G912" s="15">
        <v>2.5194444444444444</v>
      </c>
      <c r="H912" s="3">
        <v>4.3661111111110804E-2</v>
      </c>
    </row>
    <row r="913" spans="7:8" x14ac:dyDescent="0.3">
      <c r="G913" s="15">
        <v>2.5222222222222221</v>
      </c>
      <c r="H913" s="3">
        <v>4.3655555555555246E-2</v>
      </c>
    </row>
    <row r="914" spans="7:8" x14ac:dyDescent="0.3">
      <c r="G914" s="15">
        <v>2.5249999999999999</v>
      </c>
      <c r="H914" s="3">
        <v>4.3649999999999689E-2</v>
      </c>
    </row>
    <row r="915" spans="7:8" x14ac:dyDescent="0.3">
      <c r="G915" s="15">
        <v>2.5277777777777777</v>
      </c>
      <c r="H915" s="3">
        <v>4.3644444444444139E-2</v>
      </c>
    </row>
    <row r="916" spans="7:8" x14ac:dyDescent="0.3">
      <c r="G916" s="15">
        <v>2.5305555555555554</v>
      </c>
      <c r="H916" s="3">
        <v>4.3638888888888588E-2</v>
      </c>
    </row>
    <row r="917" spans="7:8" x14ac:dyDescent="0.3">
      <c r="G917" s="15">
        <v>2.5333333333333332</v>
      </c>
      <c r="H917" s="3">
        <v>4.3633333333333031E-2</v>
      </c>
    </row>
    <row r="918" spans="7:8" x14ac:dyDescent="0.3">
      <c r="G918" s="15">
        <v>2.536111111111111</v>
      </c>
      <c r="H918" s="3">
        <v>4.3627777777777474E-2</v>
      </c>
    </row>
    <row r="919" spans="7:8" x14ac:dyDescent="0.3">
      <c r="G919" s="15">
        <v>2.5388888888888888</v>
      </c>
      <c r="H919" s="3">
        <v>4.3622222222221924E-2</v>
      </c>
    </row>
    <row r="920" spans="7:8" x14ac:dyDescent="0.3">
      <c r="G920" s="15">
        <v>2.5416666666666665</v>
      </c>
      <c r="H920" s="3">
        <v>4.3616666666666373E-2</v>
      </c>
    </row>
    <row r="921" spans="7:8" x14ac:dyDescent="0.3">
      <c r="G921" s="15">
        <v>2.5444444444444443</v>
      </c>
      <c r="H921" s="3">
        <v>4.3611111111110816E-2</v>
      </c>
    </row>
    <row r="922" spans="7:8" x14ac:dyDescent="0.3">
      <c r="G922" s="15">
        <v>2.5472222222222221</v>
      </c>
      <c r="H922" s="3">
        <v>4.3605555555555259E-2</v>
      </c>
    </row>
    <row r="923" spans="7:8" x14ac:dyDescent="0.3">
      <c r="G923" s="15">
        <v>2.5499999999999998</v>
      </c>
      <c r="H923" s="3">
        <v>4.3599999999999708E-2</v>
      </c>
    </row>
    <row r="924" spans="7:8" x14ac:dyDescent="0.3">
      <c r="G924" s="15">
        <v>2.5527777777777776</v>
      </c>
      <c r="H924" s="3">
        <v>4.3594444444444158E-2</v>
      </c>
    </row>
    <row r="925" spans="7:8" x14ac:dyDescent="0.3">
      <c r="G925" s="15">
        <v>2.5555555555555554</v>
      </c>
      <c r="H925" s="3">
        <v>4.3588888888888601E-2</v>
      </c>
    </row>
    <row r="926" spans="7:8" x14ac:dyDescent="0.3">
      <c r="G926" s="15">
        <v>2.5583333333333331</v>
      </c>
      <c r="H926" s="3">
        <v>4.3583333333333044E-2</v>
      </c>
    </row>
    <row r="927" spans="7:8" x14ac:dyDescent="0.3">
      <c r="G927" s="15">
        <v>2.5611111111111109</v>
      </c>
      <c r="H927" s="3">
        <v>4.3577777777777493E-2</v>
      </c>
    </row>
    <row r="928" spans="7:8" x14ac:dyDescent="0.3">
      <c r="G928" s="15">
        <v>2.5638888888888891</v>
      </c>
      <c r="H928" s="3">
        <v>4.3572222222221943E-2</v>
      </c>
    </row>
    <row r="929" spans="7:8" x14ac:dyDescent="0.3">
      <c r="G929" s="15">
        <v>2.5666666666666669</v>
      </c>
      <c r="H929" s="3">
        <v>4.3566666666666386E-2</v>
      </c>
    </row>
    <row r="930" spans="7:8" x14ac:dyDescent="0.3">
      <c r="G930" s="15">
        <v>2.5694444444444446</v>
      </c>
      <c r="H930" s="3">
        <v>4.3561111111110828E-2</v>
      </c>
    </row>
    <row r="931" spans="7:8" x14ac:dyDescent="0.3">
      <c r="G931" s="15">
        <v>2.5722222222222224</v>
      </c>
      <c r="H931" s="3">
        <v>4.3555555555555278E-2</v>
      </c>
    </row>
    <row r="932" spans="7:8" x14ac:dyDescent="0.3">
      <c r="G932" s="15">
        <v>2.5750000000000002</v>
      </c>
      <c r="H932" s="3">
        <v>4.3549999999999728E-2</v>
      </c>
    </row>
    <row r="933" spans="7:8" x14ac:dyDescent="0.3">
      <c r="G933" s="15">
        <v>2.5777777777777779</v>
      </c>
      <c r="H933" s="3">
        <v>4.3544444444444171E-2</v>
      </c>
    </row>
    <row r="934" spans="7:8" x14ac:dyDescent="0.3">
      <c r="G934" s="15">
        <v>2.5805555555555557</v>
      </c>
      <c r="H934" s="3">
        <v>4.3538888888888613E-2</v>
      </c>
    </row>
    <row r="935" spans="7:8" x14ac:dyDescent="0.3">
      <c r="G935" s="15">
        <v>2.5833333333333335</v>
      </c>
      <c r="H935" s="3">
        <v>4.3533333333333063E-2</v>
      </c>
    </row>
    <row r="936" spans="7:8" x14ac:dyDescent="0.3">
      <c r="G936" s="15">
        <v>2.5861111111111112</v>
      </c>
      <c r="H936" s="3">
        <v>4.3527777777777513E-2</v>
      </c>
    </row>
    <row r="937" spans="7:8" x14ac:dyDescent="0.3">
      <c r="G937" s="15">
        <v>2.588888888888889</v>
      </c>
      <c r="H937" s="3">
        <v>4.3522222222221955E-2</v>
      </c>
    </row>
    <row r="938" spans="7:8" x14ac:dyDescent="0.3">
      <c r="G938" s="15">
        <v>2.5916666666666668</v>
      </c>
      <c r="H938" s="3">
        <v>4.3516666666666398E-2</v>
      </c>
    </row>
    <row r="939" spans="7:8" x14ac:dyDescent="0.3">
      <c r="G939" s="15">
        <v>2.5944444444444446</v>
      </c>
      <c r="H939" s="3">
        <v>4.3511111111110848E-2</v>
      </c>
    </row>
    <row r="940" spans="7:8" x14ac:dyDescent="0.3">
      <c r="G940" s="15">
        <v>2.5972222222222223</v>
      </c>
      <c r="H940" s="3">
        <v>4.3505555555555298E-2</v>
      </c>
    </row>
    <row r="941" spans="7:8" x14ac:dyDescent="0.3">
      <c r="G941" s="15">
        <v>2.6</v>
      </c>
      <c r="H941" s="3">
        <v>4.349999999999974E-2</v>
      </c>
    </row>
    <row r="942" spans="7:8" x14ac:dyDescent="0.3">
      <c r="G942" s="15">
        <v>2.6027777777777779</v>
      </c>
      <c r="H942" s="3">
        <v>4.3494444444444183E-2</v>
      </c>
    </row>
    <row r="943" spans="7:8" x14ac:dyDescent="0.3">
      <c r="G943" s="15">
        <v>2.6055555555555556</v>
      </c>
      <c r="H943" s="3">
        <v>4.3488888888888633E-2</v>
      </c>
    </row>
    <row r="944" spans="7:8" x14ac:dyDescent="0.3">
      <c r="G944" s="15">
        <v>2.6083333333333334</v>
      </c>
      <c r="H944" s="3">
        <v>4.3483333333333082E-2</v>
      </c>
    </row>
    <row r="945" spans="7:8" x14ac:dyDescent="0.3">
      <c r="G945" s="15">
        <v>2.6111111111111112</v>
      </c>
      <c r="H945" s="3">
        <v>4.3477777777777525E-2</v>
      </c>
    </row>
    <row r="946" spans="7:8" x14ac:dyDescent="0.3">
      <c r="G946" s="15">
        <v>2.6138888888888889</v>
      </c>
      <c r="H946" s="3">
        <v>4.3472222222221968E-2</v>
      </c>
    </row>
    <row r="947" spans="7:8" x14ac:dyDescent="0.3">
      <c r="G947" s="15">
        <v>2.6166666666666667</v>
      </c>
      <c r="H947" s="3">
        <v>4.3466666666666418E-2</v>
      </c>
    </row>
    <row r="948" spans="7:8" x14ac:dyDescent="0.3">
      <c r="G948" s="15">
        <v>2.6194444444444445</v>
      </c>
      <c r="H948" s="3">
        <v>4.3461111111110867E-2</v>
      </c>
    </row>
    <row r="949" spans="7:8" x14ac:dyDescent="0.3">
      <c r="G949" s="15">
        <v>2.6222222222222222</v>
      </c>
      <c r="H949" s="3">
        <v>4.345555555555531E-2</v>
      </c>
    </row>
    <row r="950" spans="7:8" x14ac:dyDescent="0.3">
      <c r="G950" s="15">
        <v>2.625</v>
      </c>
      <c r="H950" s="3">
        <v>4.3449999999999753E-2</v>
      </c>
    </row>
    <row r="951" spans="7:8" x14ac:dyDescent="0.3">
      <c r="G951" s="15">
        <v>2.6277777777777778</v>
      </c>
      <c r="H951" s="3">
        <v>4.3444444444444202E-2</v>
      </c>
    </row>
    <row r="952" spans="7:8" x14ac:dyDescent="0.3">
      <c r="G952" s="15">
        <v>2.6305555555555555</v>
      </c>
      <c r="H952" s="3">
        <v>4.3438888888888652E-2</v>
      </c>
    </row>
    <row r="953" spans="7:8" x14ac:dyDescent="0.3">
      <c r="G953" s="15">
        <v>2.6333333333333333</v>
      </c>
      <c r="H953" s="3">
        <v>4.3433333333333095E-2</v>
      </c>
    </row>
    <row r="954" spans="7:8" x14ac:dyDescent="0.3">
      <c r="G954" s="15">
        <v>2.6361111111111111</v>
      </c>
      <c r="H954" s="3">
        <v>4.3427777777777538E-2</v>
      </c>
    </row>
    <row r="955" spans="7:8" x14ac:dyDescent="0.3">
      <c r="G955" s="15">
        <v>2.6388888888888888</v>
      </c>
      <c r="H955" s="3">
        <v>4.3422222222221987E-2</v>
      </c>
    </row>
    <row r="956" spans="7:8" x14ac:dyDescent="0.3">
      <c r="G956" s="15">
        <v>2.6416666666666666</v>
      </c>
      <c r="H956" s="3">
        <v>4.3416666666666437E-2</v>
      </c>
    </row>
    <row r="957" spans="7:8" x14ac:dyDescent="0.3">
      <c r="G957" s="15">
        <v>2.6444444444444444</v>
      </c>
      <c r="H957" s="3">
        <v>4.341111111111088E-2</v>
      </c>
    </row>
    <row r="958" spans="7:8" x14ac:dyDescent="0.3">
      <c r="G958" s="15">
        <v>2.6472222222222221</v>
      </c>
      <c r="H958" s="3">
        <v>4.3405555555555322E-2</v>
      </c>
    </row>
    <row r="959" spans="7:8" x14ac:dyDescent="0.3">
      <c r="G959" s="15">
        <v>2.65</v>
      </c>
      <c r="H959" s="3">
        <v>4.3399999999999772E-2</v>
      </c>
    </row>
    <row r="960" spans="7:8" x14ac:dyDescent="0.3">
      <c r="G960" s="15">
        <v>2.6527777777777777</v>
      </c>
      <c r="H960" s="3">
        <v>4.3394444444444222E-2</v>
      </c>
    </row>
    <row r="961" spans="7:8" x14ac:dyDescent="0.3">
      <c r="G961" s="15">
        <v>2.6555555555555554</v>
      </c>
      <c r="H961" s="3">
        <v>4.3388888888888665E-2</v>
      </c>
    </row>
    <row r="962" spans="7:8" x14ac:dyDescent="0.3">
      <c r="G962" s="15">
        <v>2.6583333333333332</v>
      </c>
      <c r="H962" s="3">
        <v>4.3383333333333107E-2</v>
      </c>
    </row>
    <row r="963" spans="7:8" x14ac:dyDescent="0.3">
      <c r="G963" s="15">
        <v>2.661111111111111</v>
      </c>
      <c r="H963" s="3">
        <v>4.3377777777777557E-2</v>
      </c>
    </row>
    <row r="964" spans="7:8" x14ac:dyDescent="0.3">
      <c r="G964" s="15">
        <v>2.6638888888888888</v>
      </c>
      <c r="H964" s="3">
        <v>4.3372222222222007E-2</v>
      </c>
    </row>
    <row r="965" spans="7:8" x14ac:dyDescent="0.3">
      <c r="G965" s="15">
        <v>2.6666666666666665</v>
      </c>
      <c r="H965" s="3">
        <v>4.3366666666666449E-2</v>
      </c>
    </row>
    <row r="966" spans="7:8" x14ac:dyDescent="0.3">
      <c r="G966" s="15">
        <v>2.6694444444444443</v>
      </c>
      <c r="H966" s="3">
        <v>4.3361111111110892E-2</v>
      </c>
    </row>
    <row r="967" spans="7:8" x14ac:dyDescent="0.3">
      <c r="G967" s="15">
        <v>2.6722222222222221</v>
      </c>
      <c r="H967" s="3">
        <v>4.3355555555555342E-2</v>
      </c>
    </row>
    <row r="968" spans="7:8" x14ac:dyDescent="0.3">
      <c r="G968" s="15">
        <v>2.6749999999999998</v>
      </c>
      <c r="H968" s="3">
        <v>4.3349999999999791E-2</v>
      </c>
    </row>
    <row r="969" spans="7:8" x14ac:dyDescent="0.3">
      <c r="G969" s="15">
        <v>2.6777777777777776</v>
      </c>
      <c r="H969" s="3">
        <v>4.3344444444444234E-2</v>
      </c>
    </row>
    <row r="970" spans="7:8" x14ac:dyDescent="0.3">
      <c r="G970" s="15">
        <v>2.6805555555555554</v>
      </c>
      <c r="H970" s="3">
        <v>4.3338888888888677E-2</v>
      </c>
    </row>
    <row r="971" spans="7:8" x14ac:dyDescent="0.3">
      <c r="G971" s="15">
        <v>2.6833333333333331</v>
      </c>
      <c r="H971" s="3">
        <v>4.3333333333333127E-2</v>
      </c>
    </row>
    <row r="972" spans="7:8" x14ac:dyDescent="0.3">
      <c r="G972" s="15">
        <v>2.6861111111111109</v>
      </c>
      <c r="H972" s="3">
        <v>4.3327777777777576E-2</v>
      </c>
    </row>
    <row r="973" spans="7:8" x14ac:dyDescent="0.3">
      <c r="G973" s="15">
        <v>2.6888888888888891</v>
      </c>
      <c r="H973" s="3">
        <v>4.3322222222222019E-2</v>
      </c>
    </row>
    <row r="974" spans="7:8" x14ac:dyDescent="0.3">
      <c r="G974" s="15">
        <v>2.6916666666666669</v>
      </c>
      <c r="H974" s="3">
        <v>4.3316666666666462E-2</v>
      </c>
    </row>
    <row r="975" spans="7:8" x14ac:dyDescent="0.3">
      <c r="G975" s="15">
        <v>2.6944444444444446</v>
      </c>
      <c r="H975" s="3">
        <v>4.3311111111110911E-2</v>
      </c>
    </row>
    <row r="976" spans="7:8" x14ac:dyDescent="0.3">
      <c r="G976" s="15">
        <v>2.6972222222222224</v>
      </c>
      <c r="H976" s="3">
        <v>4.3305555555555361E-2</v>
      </c>
    </row>
    <row r="977" spans="7:8" x14ac:dyDescent="0.3">
      <c r="G977" s="15">
        <v>2.7</v>
      </c>
      <c r="H977" s="3">
        <v>4.3299999999999804E-2</v>
      </c>
    </row>
    <row r="978" spans="7:8" x14ac:dyDescent="0.3">
      <c r="G978" s="15">
        <v>2.7027777777777779</v>
      </c>
      <c r="H978" s="3">
        <v>4.3294444444444247E-2</v>
      </c>
    </row>
    <row r="979" spans="7:8" x14ac:dyDescent="0.3">
      <c r="G979" s="15">
        <v>2.7055555555555557</v>
      </c>
      <c r="H979" s="3">
        <v>4.3288888888888696E-2</v>
      </c>
    </row>
    <row r="980" spans="7:8" x14ac:dyDescent="0.3">
      <c r="G980" s="15">
        <v>2.7083333333333335</v>
      </c>
      <c r="H980" s="3">
        <v>4.3283333333333146E-2</v>
      </c>
    </row>
    <row r="981" spans="7:8" x14ac:dyDescent="0.3">
      <c r="G981" s="15">
        <v>2.7111111111111112</v>
      </c>
      <c r="H981" s="3">
        <v>4.3277777777777589E-2</v>
      </c>
    </row>
    <row r="982" spans="7:8" x14ac:dyDescent="0.3">
      <c r="G982" s="15">
        <v>2.713888888888889</v>
      </c>
      <c r="H982" s="3">
        <v>4.3272222222222032E-2</v>
      </c>
    </row>
    <row r="983" spans="7:8" x14ac:dyDescent="0.3">
      <c r="G983" s="15">
        <v>2.7166666666666668</v>
      </c>
      <c r="H983" s="3">
        <v>4.3266666666666481E-2</v>
      </c>
    </row>
    <row r="984" spans="7:8" x14ac:dyDescent="0.3">
      <c r="G984" s="15">
        <v>2.7194444444444446</v>
      </c>
      <c r="H984" s="3">
        <v>4.3261111111110931E-2</v>
      </c>
    </row>
    <row r="985" spans="7:8" x14ac:dyDescent="0.3">
      <c r="G985" s="15">
        <v>2.7222222222222223</v>
      </c>
      <c r="H985" s="3">
        <v>4.3255555555555374E-2</v>
      </c>
    </row>
    <row r="986" spans="7:8" x14ac:dyDescent="0.3">
      <c r="G986" s="15">
        <v>2.7250000000000001</v>
      </c>
      <c r="H986" s="3">
        <v>4.3249999999999816E-2</v>
      </c>
    </row>
    <row r="987" spans="7:8" x14ac:dyDescent="0.3">
      <c r="G987" s="15">
        <v>2.7277777777777779</v>
      </c>
      <c r="H987" s="3">
        <v>4.3244444444444266E-2</v>
      </c>
    </row>
    <row r="988" spans="7:8" x14ac:dyDescent="0.3">
      <c r="G988" s="15">
        <v>2.7305555555555556</v>
      </c>
      <c r="H988" s="3">
        <v>4.3238888888888716E-2</v>
      </c>
    </row>
    <row r="989" spans="7:8" x14ac:dyDescent="0.3">
      <c r="G989" s="15">
        <v>2.7333333333333334</v>
      </c>
      <c r="H989" s="3">
        <v>4.3233333333333158E-2</v>
      </c>
    </row>
    <row r="990" spans="7:8" x14ac:dyDescent="0.3">
      <c r="G990" s="15">
        <v>2.7361111111111112</v>
      </c>
      <c r="H990" s="3">
        <v>4.3227777777777601E-2</v>
      </c>
    </row>
    <row r="991" spans="7:8" x14ac:dyDescent="0.3">
      <c r="G991" s="15">
        <v>2.7388888888888889</v>
      </c>
      <c r="H991" s="3">
        <v>4.3222222222222051E-2</v>
      </c>
    </row>
    <row r="992" spans="7:8" x14ac:dyDescent="0.3">
      <c r="G992" s="15">
        <v>2.7416666666666667</v>
      </c>
      <c r="H992" s="3">
        <v>4.3216666666666501E-2</v>
      </c>
    </row>
    <row r="993" spans="7:8" x14ac:dyDescent="0.3">
      <c r="G993" s="15">
        <v>2.7444444444444445</v>
      </c>
      <c r="H993" s="3">
        <v>4.3211111111110943E-2</v>
      </c>
    </row>
    <row r="994" spans="7:8" x14ac:dyDescent="0.3">
      <c r="G994" s="15">
        <v>2.7472222222222222</v>
      </c>
      <c r="H994" s="3">
        <v>4.3205555555555386E-2</v>
      </c>
    </row>
    <row r="995" spans="7:8" x14ac:dyDescent="0.3">
      <c r="G995" s="15">
        <v>2.75</v>
      </c>
      <c r="H995" s="3">
        <v>4.3199999999999836E-2</v>
      </c>
    </row>
    <row r="996" spans="7:8" x14ac:dyDescent="0.3">
      <c r="G996" s="15">
        <v>2.7527777777777778</v>
      </c>
      <c r="H996" s="3">
        <v>4.3194444444444285E-2</v>
      </c>
    </row>
    <row r="997" spans="7:8" x14ac:dyDescent="0.3">
      <c r="G997" s="15">
        <v>2.7555555555555555</v>
      </c>
      <c r="H997" s="3">
        <v>4.3188888888888728E-2</v>
      </c>
    </row>
    <row r="998" spans="7:8" x14ac:dyDescent="0.3">
      <c r="G998" s="15">
        <v>2.7583333333333333</v>
      </c>
      <c r="H998" s="3">
        <v>4.3183333333333171E-2</v>
      </c>
    </row>
    <row r="999" spans="7:8" x14ac:dyDescent="0.3">
      <c r="G999" s="15">
        <v>2.7611111111111111</v>
      </c>
      <c r="H999" s="3">
        <v>4.3177777777777621E-2</v>
      </c>
    </row>
    <row r="1000" spans="7:8" x14ac:dyDescent="0.3">
      <c r="G1000" s="15">
        <v>2.7638888888888888</v>
      </c>
      <c r="H1000" s="3">
        <v>4.317222222222207E-2</v>
      </c>
    </row>
    <row r="1001" spans="7:8" x14ac:dyDescent="0.3">
      <c r="G1001" s="15">
        <v>2.7666666666666666</v>
      </c>
      <c r="H1001" s="3">
        <v>4.3166666666666513E-2</v>
      </c>
    </row>
    <row r="1002" spans="7:8" x14ac:dyDescent="0.3">
      <c r="G1002" s="15">
        <v>2.7694444444444444</v>
      </c>
      <c r="H1002" s="3">
        <v>4.3161111111110956E-2</v>
      </c>
    </row>
    <row r="1003" spans="7:8" x14ac:dyDescent="0.3">
      <c r="G1003" s="15">
        <v>2.7722222222222221</v>
      </c>
      <c r="H1003" s="3">
        <v>4.3155555555555405E-2</v>
      </c>
    </row>
    <row r="1004" spans="7:8" x14ac:dyDescent="0.3">
      <c r="G1004" s="15">
        <v>2.7749999999999999</v>
      </c>
      <c r="H1004" s="3">
        <v>4.3149999999999855E-2</v>
      </c>
    </row>
    <row r="1005" spans="7:8" x14ac:dyDescent="0.3">
      <c r="G1005" s="15">
        <v>2.7777777777777777</v>
      </c>
      <c r="H1005" s="3">
        <v>4.3144444444444298E-2</v>
      </c>
    </row>
    <row r="1006" spans="7:8" x14ac:dyDescent="0.3">
      <c r="G1006" s="15">
        <v>2.7805555555555554</v>
      </c>
      <c r="H1006" s="3">
        <v>4.3138888888888741E-2</v>
      </c>
    </row>
    <row r="1007" spans="7:8" x14ac:dyDescent="0.3">
      <c r="G1007" s="15">
        <v>2.7833333333333332</v>
      </c>
      <c r="H1007" s="3">
        <v>4.313333333333319E-2</v>
      </c>
    </row>
    <row r="1008" spans="7:8" x14ac:dyDescent="0.3">
      <c r="G1008" s="15">
        <v>2.786111111111111</v>
      </c>
      <c r="H1008" s="3">
        <v>4.312777777777764E-2</v>
      </c>
    </row>
    <row r="1009" spans="7:8" x14ac:dyDescent="0.3">
      <c r="G1009" s="15">
        <v>2.7888888888888888</v>
      </c>
      <c r="H1009" s="3">
        <v>4.3122222222222083E-2</v>
      </c>
    </row>
    <row r="1010" spans="7:8" x14ac:dyDescent="0.3">
      <c r="G1010" s="15">
        <v>2.7916666666666665</v>
      </c>
      <c r="H1010" s="3">
        <v>4.3116666666666525E-2</v>
      </c>
    </row>
    <row r="1011" spans="7:8" x14ac:dyDescent="0.3">
      <c r="G1011" s="15">
        <v>2.7944444444444443</v>
      </c>
      <c r="H1011" s="3">
        <v>4.3111111111110975E-2</v>
      </c>
    </row>
    <row r="1012" spans="7:8" x14ac:dyDescent="0.3">
      <c r="G1012" s="15">
        <v>2.7972222222222221</v>
      </c>
      <c r="H1012" s="3">
        <v>4.3105555555555425E-2</v>
      </c>
    </row>
    <row r="1013" spans="7:8" x14ac:dyDescent="0.3">
      <c r="G1013" s="15">
        <v>2.8</v>
      </c>
      <c r="H1013" s="3">
        <v>4.3099999999999868E-2</v>
      </c>
    </row>
    <row r="1014" spans="7:8" x14ac:dyDescent="0.3">
      <c r="G1014" s="15">
        <v>2.8027777777777776</v>
      </c>
      <c r="H1014" s="3">
        <v>4.309444444444431E-2</v>
      </c>
    </row>
    <row r="1015" spans="7:8" x14ac:dyDescent="0.3">
      <c r="G1015" s="15">
        <v>2.8055555555555554</v>
      </c>
      <c r="H1015" s="3">
        <v>4.308888888888876E-2</v>
      </c>
    </row>
    <row r="1016" spans="7:8" x14ac:dyDescent="0.3">
      <c r="G1016" s="15">
        <v>2.8083333333333331</v>
      </c>
      <c r="H1016" s="3">
        <v>4.308333333333321E-2</v>
      </c>
    </row>
    <row r="1017" spans="7:8" x14ac:dyDescent="0.3">
      <c r="G1017" s="15">
        <v>2.8111111111111109</v>
      </c>
      <c r="H1017" s="3">
        <v>4.3077777777777652E-2</v>
      </c>
    </row>
    <row r="1018" spans="7:8" x14ac:dyDescent="0.3">
      <c r="G1018" s="15">
        <v>2.8138888888888891</v>
      </c>
      <c r="H1018" s="3">
        <v>4.3072222222222095E-2</v>
      </c>
    </row>
    <row r="1019" spans="7:8" x14ac:dyDescent="0.3">
      <c r="G1019" s="15">
        <v>2.8166666666666669</v>
      </c>
      <c r="H1019" s="3">
        <v>4.3066666666666545E-2</v>
      </c>
    </row>
    <row r="1020" spans="7:8" x14ac:dyDescent="0.3">
      <c r="G1020" s="15">
        <v>2.8194444444444446</v>
      </c>
      <c r="H1020" s="3">
        <v>4.3061111111110995E-2</v>
      </c>
    </row>
    <row r="1021" spans="7:8" x14ac:dyDescent="0.3">
      <c r="G1021" s="15">
        <v>2.8222222222222224</v>
      </c>
      <c r="H1021" s="3">
        <v>4.3055555555555437E-2</v>
      </c>
    </row>
    <row r="1022" spans="7:8" x14ac:dyDescent="0.3">
      <c r="G1022" s="15">
        <v>2.8250000000000002</v>
      </c>
      <c r="H1022" s="3">
        <v>4.304999999999988E-2</v>
      </c>
    </row>
    <row r="1023" spans="7:8" x14ac:dyDescent="0.3">
      <c r="G1023" s="15">
        <v>2.8277777777777779</v>
      </c>
      <c r="H1023" s="3">
        <v>4.304444444444433E-2</v>
      </c>
    </row>
    <row r="1024" spans="7:8" x14ac:dyDescent="0.3">
      <c r="G1024" s="15">
        <v>2.8305555555555557</v>
      </c>
      <c r="H1024" s="3">
        <v>4.3038888888888779E-2</v>
      </c>
    </row>
    <row r="1025" spans="7:8" x14ac:dyDescent="0.3">
      <c r="G1025" s="15">
        <v>2.8333333333333335</v>
      </c>
      <c r="H1025" s="3">
        <v>4.3033333333333222E-2</v>
      </c>
    </row>
    <row r="1026" spans="7:8" x14ac:dyDescent="0.3">
      <c r="G1026" s="15">
        <v>2.8361111111111112</v>
      </c>
      <c r="H1026" s="3">
        <v>4.3027777777777665E-2</v>
      </c>
    </row>
    <row r="1027" spans="7:8" x14ac:dyDescent="0.3">
      <c r="G1027" s="15">
        <v>2.838888888888889</v>
      </c>
      <c r="H1027" s="3">
        <v>4.3022222222222115E-2</v>
      </c>
    </row>
    <row r="1028" spans="7:8" x14ac:dyDescent="0.3">
      <c r="G1028" s="15">
        <v>2.8416666666666668</v>
      </c>
      <c r="H1028" s="3">
        <v>4.3016666666666564E-2</v>
      </c>
    </row>
    <row r="1029" spans="7:8" x14ac:dyDescent="0.3">
      <c r="G1029" s="15">
        <v>2.8444444444444446</v>
      </c>
      <c r="H1029" s="3">
        <v>4.3011111111111007E-2</v>
      </c>
    </row>
    <row r="1030" spans="7:8" x14ac:dyDescent="0.3">
      <c r="G1030" s="15">
        <v>2.8472222222222223</v>
      </c>
      <c r="H1030" s="3">
        <v>4.300555555555545E-2</v>
      </c>
    </row>
    <row r="1031" spans="7:8" x14ac:dyDescent="0.3">
      <c r="G1031" s="15">
        <v>2.85</v>
      </c>
      <c r="H1031" s="3">
        <v>4.2999999999999899E-2</v>
      </c>
    </row>
    <row r="1032" spans="7:8" x14ac:dyDescent="0.3">
      <c r="G1032" s="15">
        <v>2.8527777777777779</v>
      </c>
      <c r="H1032" s="3">
        <v>4.2994444444444349E-2</v>
      </c>
    </row>
    <row r="1033" spans="7:8" x14ac:dyDescent="0.3">
      <c r="G1033" s="15">
        <v>2.8555555555555556</v>
      </c>
      <c r="H1033" s="3">
        <v>4.2988888888888792E-2</v>
      </c>
    </row>
    <row r="1034" spans="7:8" x14ac:dyDescent="0.3">
      <c r="G1034" s="15">
        <v>2.8583333333333334</v>
      </c>
      <c r="H1034" s="3">
        <v>4.2983333333333235E-2</v>
      </c>
    </row>
    <row r="1035" spans="7:8" x14ac:dyDescent="0.3">
      <c r="G1035" s="15">
        <v>2.8611111111111112</v>
      </c>
      <c r="H1035" s="3">
        <v>4.2977777777777684E-2</v>
      </c>
    </row>
    <row r="1036" spans="7:8" x14ac:dyDescent="0.3">
      <c r="G1036" s="15">
        <v>2.8638888888888889</v>
      </c>
      <c r="H1036" s="3">
        <v>4.2972222222222134E-2</v>
      </c>
    </row>
    <row r="1037" spans="7:8" x14ac:dyDescent="0.3">
      <c r="G1037" s="15">
        <v>2.8666666666666667</v>
      </c>
      <c r="H1037" s="3">
        <v>4.2966666666666577E-2</v>
      </c>
    </row>
    <row r="1038" spans="7:8" x14ac:dyDescent="0.3">
      <c r="G1038" s="15">
        <v>2.8694444444444445</v>
      </c>
      <c r="H1038" s="3">
        <v>4.2961111111111019E-2</v>
      </c>
    </row>
    <row r="1039" spans="7:8" x14ac:dyDescent="0.3">
      <c r="G1039" s="15">
        <v>2.8722222222222222</v>
      </c>
      <c r="H1039" s="3">
        <v>4.2955555555555469E-2</v>
      </c>
    </row>
    <row r="1040" spans="7:8" x14ac:dyDescent="0.3">
      <c r="G1040" s="15">
        <v>2.875</v>
      </c>
      <c r="H1040" s="3">
        <v>4.2949999999999919E-2</v>
      </c>
    </row>
    <row r="1041" spans="7:8" x14ac:dyDescent="0.3">
      <c r="G1041" s="15">
        <v>2.8777777777777778</v>
      </c>
      <c r="H1041" s="3">
        <v>4.2944444444444362E-2</v>
      </c>
    </row>
    <row r="1042" spans="7:8" x14ac:dyDescent="0.3">
      <c r="G1042" s="15">
        <v>2.8805555555555555</v>
      </c>
      <c r="H1042" s="3">
        <v>4.2938888888888804E-2</v>
      </c>
    </row>
    <row r="1043" spans="7:8" x14ac:dyDescent="0.3">
      <c r="G1043" s="15">
        <v>2.8833333333333333</v>
      </c>
      <c r="H1043" s="3">
        <v>4.2933333333333254E-2</v>
      </c>
    </row>
    <row r="1044" spans="7:8" x14ac:dyDescent="0.3">
      <c r="G1044" s="15">
        <v>2.8861111111111111</v>
      </c>
      <c r="H1044" s="3">
        <v>4.2927777777777704E-2</v>
      </c>
    </row>
    <row r="1045" spans="7:8" x14ac:dyDescent="0.3">
      <c r="G1045" s="15">
        <v>2.8888888888888888</v>
      </c>
      <c r="H1045" s="3">
        <v>4.2922222222222146E-2</v>
      </c>
    </row>
    <row r="1046" spans="7:8" x14ac:dyDescent="0.3">
      <c r="G1046" s="15">
        <v>2.8916666666666666</v>
      </c>
      <c r="H1046" s="3">
        <v>4.2916666666666589E-2</v>
      </c>
    </row>
    <row r="1047" spans="7:8" x14ac:dyDescent="0.3">
      <c r="G1047" s="15">
        <v>2.8944444444444444</v>
      </c>
      <c r="H1047" s="3">
        <v>4.2911111111111039E-2</v>
      </c>
    </row>
    <row r="1048" spans="7:8" x14ac:dyDescent="0.3">
      <c r="G1048" s="15">
        <v>2.8972222222222221</v>
      </c>
      <c r="H1048" s="3">
        <v>4.2905555555555489E-2</v>
      </c>
    </row>
    <row r="1049" spans="7:8" x14ac:dyDescent="0.3">
      <c r="G1049" s="15">
        <v>2.9</v>
      </c>
      <c r="H1049" s="3">
        <v>4.2899999999999931E-2</v>
      </c>
    </row>
    <row r="1050" spans="7:8" x14ac:dyDescent="0.3">
      <c r="G1050" s="15">
        <v>2.9027777777777777</v>
      </c>
      <c r="H1050" s="3">
        <v>4.2894444444444374E-2</v>
      </c>
    </row>
    <row r="1051" spans="7:8" x14ac:dyDescent="0.3">
      <c r="G1051" s="15">
        <v>2.9055555555555554</v>
      </c>
      <c r="H1051" s="3">
        <v>4.2888888888888824E-2</v>
      </c>
    </row>
    <row r="1052" spans="7:8" x14ac:dyDescent="0.3">
      <c r="G1052" s="15">
        <v>2.9083333333333332</v>
      </c>
      <c r="H1052" s="3">
        <v>4.2883333333333273E-2</v>
      </c>
    </row>
    <row r="1053" spans="7:8" x14ac:dyDescent="0.3">
      <c r="G1053" s="15">
        <v>2.911111111111111</v>
      </c>
      <c r="H1053" s="3">
        <v>4.2877777777777716E-2</v>
      </c>
    </row>
    <row r="1054" spans="7:8" x14ac:dyDescent="0.3">
      <c r="G1054" s="15">
        <v>2.9138888888888888</v>
      </c>
      <c r="H1054" s="3">
        <v>4.2872222222222159E-2</v>
      </c>
    </row>
    <row r="1055" spans="7:8" x14ac:dyDescent="0.3">
      <c r="G1055" s="15">
        <v>2.9166666666666665</v>
      </c>
      <c r="H1055" s="3">
        <v>4.2866666666666609E-2</v>
      </c>
    </row>
    <row r="1056" spans="7:8" x14ac:dyDescent="0.3">
      <c r="G1056" s="15">
        <v>2.9194444444444443</v>
      </c>
      <c r="H1056" s="3">
        <v>4.2861111111111058E-2</v>
      </c>
    </row>
    <row r="1057" spans="7:8" x14ac:dyDescent="0.3">
      <c r="G1057" s="15">
        <v>2.9222222222222221</v>
      </c>
      <c r="H1057" s="3">
        <v>4.2855555555555501E-2</v>
      </c>
    </row>
    <row r="1058" spans="7:8" x14ac:dyDescent="0.3">
      <c r="G1058" s="15">
        <v>2.9249999999999998</v>
      </c>
      <c r="H1058" s="3">
        <v>4.2849999999999944E-2</v>
      </c>
    </row>
    <row r="1059" spans="7:8" x14ac:dyDescent="0.3">
      <c r="G1059" s="15">
        <v>2.9277777777777776</v>
      </c>
      <c r="H1059" s="3">
        <v>4.2844444444444393E-2</v>
      </c>
    </row>
    <row r="1060" spans="7:8" x14ac:dyDescent="0.3">
      <c r="G1060" s="15">
        <v>2.9305555555555554</v>
      </c>
      <c r="H1060" s="3">
        <v>4.2838888888888843E-2</v>
      </c>
    </row>
    <row r="1061" spans="7:8" x14ac:dyDescent="0.3">
      <c r="G1061" s="15">
        <v>2.9333333333333331</v>
      </c>
      <c r="H1061" s="3">
        <v>4.2833333333333286E-2</v>
      </c>
    </row>
    <row r="1062" spans="7:8" x14ac:dyDescent="0.3">
      <c r="G1062" s="15">
        <v>2.9361111111111109</v>
      </c>
      <c r="H1062" s="3">
        <v>4.2827777777777729E-2</v>
      </c>
    </row>
    <row r="1063" spans="7:8" x14ac:dyDescent="0.3">
      <c r="G1063" s="15">
        <v>2.9388888888888891</v>
      </c>
      <c r="H1063" s="3">
        <v>4.2822222222222178E-2</v>
      </c>
    </row>
    <row r="1064" spans="7:8" x14ac:dyDescent="0.3">
      <c r="G1064" s="15">
        <v>2.9416666666666669</v>
      </c>
      <c r="H1064" s="3">
        <v>4.2816666666666628E-2</v>
      </c>
    </row>
    <row r="1065" spans="7:8" x14ac:dyDescent="0.3">
      <c r="G1065" s="15">
        <v>2.9444444444444446</v>
      </c>
      <c r="H1065" s="3">
        <v>4.2811111111111071E-2</v>
      </c>
    </row>
    <row r="1066" spans="7:8" x14ac:dyDescent="0.3">
      <c r="G1066" s="15">
        <v>2.9472222222222224</v>
      </c>
      <c r="H1066" s="3">
        <v>4.2805555555555513E-2</v>
      </c>
    </row>
    <row r="1067" spans="7:8" x14ac:dyDescent="0.3">
      <c r="G1067" s="15">
        <v>2.95</v>
      </c>
      <c r="H1067" s="3">
        <v>4.2799999999999963E-2</v>
      </c>
    </row>
    <row r="1068" spans="7:8" x14ac:dyDescent="0.3">
      <c r="G1068" s="15">
        <v>2.9527777777777779</v>
      </c>
      <c r="H1068" s="3">
        <v>4.2794444444444413E-2</v>
      </c>
    </row>
    <row r="1069" spans="7:8" x14ac:dyDescent="0.3">
      <c r="G1069" s="15">
        <v>2.9555555555555557</v>
      </c>
      <c r="H1069" s="3">
        <v>4.2788888888888855E-2</v>
      </c>
    </row>
    <row r="1070" spans="7:8" x14ac:dyDescent="0.3">
      <c r="G1070" s="15">
        <v>2.9583333333333335</v>
      </c>
      <c r="H1070" s="3">
        <v>4.2783333333333298E-2</v>
      </c>
    </row>
    <row r="1071" spans="7:8" x14ac:dyDescent="0.3">
      <c r="G1071" s="15">
        <v>2.9611111111111112</v>
      </c>
      <c r="H1071" s="3">
        <v>4.2777777777777748E-2</v>
      </c>
    </row>
    <row r="1072" spans="7:8" x14ac:dyDescent="0.3">
      <c r="G1072" s="15">
        <v>2.963888888888889</v>
      </c>
      <c r="H1072" s="3">
        <v>4.2772222222222198E-2</v>
      </c>
    </row>
    <row r="1073" spans="7:8" x14ac:dyDescent="0.3">
      <c r="G1073" s="15">
        <v>2.9666666666666668</v>
      </c>
      <c r="H1073" s="3">
        <v>4.276666666666664E-2</v>
      </c>
    </row>
    <row r="1074" spans="7:8" x14ac:dyDescent="0.3">
      <c r="G1074" s="15">
        <v>2.9694444444444446</v>
      </c>
      <c r="H1074" s="3">
        <v>4.2761111111111083E-2</v>
      </c>
    </row>
    <row r="1075" spans="7:8" x14ac:dyDescent="0.3">
      <c r="G1075" s="15">
        <v>2.9722222222222223</v>
      </c>
      <c r="H1075" s="3">
        <v>4.2755555555555533E-2</v>
      </c>
    </row>
    <row r="1076" spans="7:8" x14ac:dyDescent="0.3">
      <c r="G1076" s="15">
        <v>2.9750000000000001</v>
      </c>
      <c r="H1076" s="3">
        <v>4.2749999999999982E-2</v>
      </c>
    </row>
    <row r="1077" spans="7:8" x14ac:dyDescent="0.3">
      <c r="G1077" s="15">
        <v>2.9777777777777779</v>
      </c>
      <c r="H1077" s="3">
        <v>4.2744444444444425E-2</v>
      </c>
    </row>
    <row r="1078" spans="7:8" x14ac:dyDescent="0.3">
      <c r="G1078" s="15">
        <v>2.9805555555555556</v>
      </c>
      <c r="H1078" s="3">
        <v>4.2738888888888868E-2</v>
      </c>
    </row>
    <row r="1079" spans="7:8" x14ac:dyDescent="0.3">
      <c r="G1079" s="15">
        <v>2.9833333333333334</v>
      </c>
      <c r="H1079" s="3">
        <v>4.2733333333333318E-2</v>
      </c>
    </row>
    <row r="1080" spans="7:8" x14ac:dyDescent="0.3">
      <c r="G1080" s="15">
        <v>2.9861111111111112</v>
      </c>
      <c r="H1080" s="3">
        <v>4.2727777777777767E-2</v>
      </c>
    </row>
    <row r="1081" spans="7:8" x14ac:dyDescent="0.3">
      <c r="G1081" s="15">
        <v>2.9888888888888889</v>
      </c>
      <c r="H1081" s="3">
        <v>4.272222222222221E-2</v>
      </c>
    </row>
    <row r="1082" spans="7:8" x14ac:dyDescent="0.3">
      <c r="G1082" s="15">
        <v>2.9916666666666667</v>
      </c>
      <c r="H1082" s="3">
        <v>4.2716666666666653E-2</v>
      </c>
    </row>
    <row r="1083" spans="7:8" x14ac:dyDescent="0.3">
      <c r="G1083" s="15">
        <v>2.9944444444444445</v>
      </c>
      <c r="H1083" s="3">
        <v>4.2711111111111102E-2</v>
      </c>
    </row>
    <row r="1084" spans="7:8" x14ac:dyDescent="0.3">
      <c r="G1084" s="15">
        <v>2.9972222222222222</v>
      </c>
      <c r="H1084" s="3">
        <v>4.2705555555555552E-2</v>
      </c>
    </row>
    <row r="1085" spans="7:8" x14ac:dyDescent="0.3">
      <c r="G1085" s="15">
        <v>3</v>
      </c>
      <c r="H1085" s="3">
        <v>4.2699999999999995E-2</v>
      </c>
    </row>
    <row r="1086" spans="7:8" x14ac:dyDescent="0.3">
      <c r="G1086" s="15">
        <v>3.0027777777777778</v>
      </c>
      <c r="H1086" s="3">
        <v>4.269527777777777E-2</v>
      </c>
    </row>
    <row r="1087" spans="7:8" x14ac:dyDescent="0.3">
      <c r="G1087" s="15">
        <v>3.0055555555555555</v>
      </c>
      <c r="H1087" s="3">
        <v>4.2690555555555544E-2</v>
      </c>
    </row>
    <row r="1088" spans="7:8" x14ac:dyDescent="0.3">
      <c r="G1088" s="15">
        <v>3.0083333333333333</v>
      </c>
      <c r="H1088" s="3">
        <v>4.2685833333333319E-2</v>
      </c>
    </row>
    <row r="1089" spans="7:8" x14ac:dyDescent="0.3">
      <c r="G1089" s="15">
        <v>3.0111111111111111</v>
      </c>
      <c r="H1089" s="3">
        <v>4.2681111111111093E-2</v>
      </c>
    </row>
    <row r="1090" spans="7:8" x14ac:dyDescent="0.3">
      <c r="G1090" s="15">
        <v>3.0138888888888888</v>
      </c>
      <c r="H1090" s="3">
        <v>4.2676388888888868E-2</v>
      </c>
    </row>
    <row r="1091" spans="7:8" x14ac:dyDescent="0.3">
      <c r="G1091" s="15">
        <v>3.0166666666666666</v>
      </c>
      <c r="H1091" s="3">
        <v>4.2671666666666642E-2</v>
      </c>
    </row>
    <row r="1092" spans="7:8" x14ac:dyDescent="0.3">
      <c r="G1092" s="15">
        <v>3.0194444444444444</v>
      </c>
      <c r="H1092" s="3">
        <v>4.2666944444444417E-2</v>
      </c>
    </row>
    <row r="1093" spans="7:8" x14ac:dyDescent="0.3">
      <c r="G1093" s="15">
        <v>3.0222222222222221</v>
      </c>
      <c r="H1093" s="3">
        <v>4.2662222222222192E-2</v>
      </c>
    </row>
    <row r="1094" spans="7:8" x14ac:dyDescent="0.3">
      <c r="G1094" s="15">
        <v>3.0249999999999999</v>
      </c>
      <c r="H1094" s="3">
        <v>4.2657499999999966E-2</v>
      </c>
    </row>
    <row r="1095" spans="7:8" x14ac:dyDescent="0.3">
      <c r="G1095" s="15">
        <v>3.0277777777777777</v>
      </c>
      <c r="H1095" s="3">
        <v>4.2652777777777741E-2</v>
      </c>
    </row>
    <row r="1096" spans="7:8" x14ac:dyDescent="0.3">
      <c r="G1096" s="15">
        <v>3.0305555555555554</v>
      </c>
      <c r="H1096" s="3">
        <v>4.2648055555555515E-2</v>
      </c>
    </row>
    <row r="1097" spans="7:8" x14ac:dyDescent="0.3">
      <c r="G1097" s="15">
        <v>3.0333333333333332</v>
      </c>
      <c r="H1097" s="3">
        <v>4.264333333333329E-2</v>
      </c>
    </row>
    <row r="1098" spans="7:8" x14ac:dyDescent="0.3">
      <c r="G1098" s="15">
        <v>3.036111111111111</v>
      </c>
      <c r="H1098" s="3">
        <v>4.2638611111111065E-2</v>
      </c>
    </row>
    <row r="1099" spans="7:8" x14ac:dyDescent="0.3">
      <c r="G1099" s="15">
        <v>3.0388888888888888</v>
      </c>
      <c r="H1099" s="3">
        <v>4.2633888888888839E-2</v>
      </c>
    </row>
    <row r="1100" spans="7:8" x14ac:dyDescent="0.3">
      <c r="G1100" s="15">
        <v>3.0416666666666665</v>
      </c>
      <c r="H1100" s="3">
        <v>4.2629166666666614E-2</v>
      </c>
    </row>
    <row r="1101" spans="7:8" x14ac:dyDescent="0.3">
      <c r="G1101" s="15">
        <v>3.0444444444444443</v>
      </c>
      <c r="H1101" s="3">
        <v>4.2624444444444388E-2</v>
      </c>
    </row>
    <row r="1102" spans="7:8" x14ac:dyDescent="0.3">
      <c r="G1102" s="15">
        <v>3.0472222222222221</v>
      </c>
      <c r="H1102" s="3">
        <v>4.2619722222222163E-2</v>
      </c>
    </row>
    <row r="1103" spans="7:8" x14ac:dyDescent="0.3">
      <c r="G1103" s="15">
        <v>3.05</v>
      </c>
      <c r="H1103" s="3">
        <v>4.2614999999999938E-2</v>
      </c>
    </row>
    <row r="1104" spans="7:8" x14ac:dyDescent="0.3">
      <c r="G1104" s="15">
        <v>3.0527777777777776</v>
      </c>
      <c r="H1104" s="3">
        <v>4.2610277777777712E-2</v>
      </c>
    </row>
    <row r="1105" spans="7:8" x14ac:dyDescent="0.3">
      <c r="G1105" s="15">
        <v>3.0555555555555554</v>
      </c>
      <c r="H1105" s="3">
        <v>4.2605555555555487E-2</v>
      </c>
    </row>
    <row r="1106" spans="7:8" x14ac:dyDescent="0.3">
      <c r="G1106" s="15">
        <v>3.0583333333333331</v>
      </c>
      <c r="H1106" s="3">
        <v>4.2600833333333261E-2</v>
      </c>
    </row>
    <row r="1107" spans="7:8" x14ac:dyDescent="0.3">
      <c r="G1107" s="15">
        <v>3.0611111111111109</v>
      </c>
      <c r="H1107" s="3">
        <v>4.2596111111111036E-2</v>
      </c>
    </row>
    <row r="1108" spans="7:8" x14ac:dyDescent="0.3">
      <c r="G1108" s="15">
        <v>3.0638888888888891</v>
      </c>
      <c r="H1108" s="3">
        <v>4.2591388888888811E-2</v>
      </c>
    </row>
    <row r="1109" spans="7:8" x14ac:dyDescent="0.3">
      <c r="G1109" s="15">
        <v>3.0666666666666669</v>
      </c>
      <c r="H1109" s="3">
        <v>4.2586666666666585E-2</v>
      </c>
    </row>
    <row r="1110" spans="7:8" x14ac:dyDescent="0.3">
      <c r="G1110" s="15">
        <v>3.0694444444444446</v>
      </c>
      <c r="H1110" s="3">
        <v>4.258194444444436E-2</v>
      </c>
    </row>
    <row r="1111" spans="7:8" x14ac:dyDescent="0.3">
      <c r="G1111" s="15">
        <v>3.0722222222222224</v>
      </c>
      <c r="H1111" s="3">
        <v>4.2577222222222134E-2</v>
      </c>
    </row>
    <row r="1112" spans="7:8" x14ac:dyDescent="0.3">
      <c r="G1112" s="15">
        <v>3.0750000000000002</v>
      </c>
      <c r="H1112" s="3">
        <v>4.2572499999999909E-2</v>
      </c>
    </row>
    <row r="1113" spans="7:8" x14ac:dyDescent="0.3">
      <c r="G1113" s="15">
        <v>3.0777777777777779</v>
      </c>
      <c r="H1113" s="3">
        <v>4.2567777777777684E-2</v>
      </c>
    </row>
    <row r="1114" spans="7:8" x14ac:dyDescent="0.3">
      <c r="G1114" s="15">
        <v>3.0805555555555557</v>
      </c>
      <c r="H1114" s="3">
        <v>4.2563055555555458E-2</v>
      </c>
    </row>
    <row r="1115" spans="7:8" x14ac:dyDescent="0.3">
      <c r="G1115" s="15">
        <v>3.0833333333333335</v>
      </c>
      <c r="H1115" s="3">
        <v>4.2558333333333233E-2</v>
      </c>
    </row>
    <row r="1116" spans="7:8" x14ac:dyDescent="0.3">
      <c r="G1116" s="15">
        <v>3.0861111111111112</v>
      </c>
      <c r="H1116" s="3">
        <v>4.2553611111111007E-2</v>
      </c>
    </row>
    <row r="1117" spans="7:8" x14ac:dyDescent="0.3">
      <c r="G1117" s="15">
        <v>3.088888888888889</v>
      </c>
      <c r="H1117" s="3">
        <v>4.2548888888888782E-2</v>
      </c>
    </row>
    <row r="1118" spans="7:8" x14ac:dyDescent="0.3">
      <c r="G1118" s="15">
        <v>3.0916666666666668</v>
      </c>
      <c r="H1118" s="3">
        <v>4.2544166666666557E-2</v>
      </c>
    </row>
    <row r="1119" spans="7:8" x14ac:dyDescent="0.3">
      <c r="G1119" s="15">
        <v>3.0944444444444446</v>
      </c>
      <c r="H1119" s="3">
        <v>4.2539444444444331E-2</v>
      </c>
    </row>
    <row r="1120" spans="7:8" x14ac:dyDescent="0.3">
      <c r="G1120" s="15">
        <v>3.0972222222222223</v>
      </c>
      <c r="H1120" s="3">
        <v>4.2534722222222106E-2</v>
      </c>
    </row>
    <row r="1121" spans="7:8" x14ac:dyDescent="0.3">
      <c r="G1121" s="15">
        <v>3.1</v>
      </c>
      <c r="H1121" s="3">
        <v>4.252999999999988E-2</v>
      </c>
    </row>
    <row r="1122" spans="7:8" x14ac:dyDescent="0.3">
      <c r="G1122" s="15">
        <v>3.1027777777777779</v>
      </c>
      <c r="H1122" s="3">
        <v>4.2525277777777655E-2</v>
      </c>
    </row>
    <row r="1123" spans="7:8" x14ac:dyDescent="0.3">
      <c r="G1123" s="15">
        <v>3.1055555555555556</v>
      </c>
      <c r="H1123" s="3">
        <v>4.252055555555543E-2</v>
      </c>
    </row>
    <row r="1124" spans="7:8" x14ac:dyDescent="0.3">
      <c r="G1124" s="15">
        <v>3.1083333333333334</v>
      </c>
      <c r="H1124" s="3">
        <v>4.2515833333333204E-2</v>
      </c>
    </row>
    <row r="1125" spans="7:8" x14ac:dyDescent="0.3">
      <c r="G1125" s="15">
        <v>3.1111111111111112</v>
      </c>
      <c r="H1125" s="3">
        <v>4.2511111111110979E-2</v>
      </c>
    </row>
    <row r="1126" spans="7:8" x14ac:dyDescent="0.3">
      <c r="G1126" s="15">
        <v>3.1138888888888889</v>
      </c>
      <c r="H1126" s="3">
        <v>4.2506388888888753E-2</v>
      </c>
    </row>
    <row r="1127" spans="7:8" x14ac:dyDescent="0.3">
      <c r="G1127" s="15">
        <v>3.1166666666666667</v>
      </c>
      <c r="H1127" s="3">
        <v>4.2501666666666528E-2</v>
      </c>
    </row>
    <row r="1128" spans="7:8" x14ac:dyDescent="0.3">
      <c r="G1128" s="15">
        <v>3.1194444444444445</v>
      </c>
      <c r="H1128" s="3">
        <v>4.2496944444444303E-2</v>
      </c>
    </row>
    <row r="1129" spans="7:8" x14ac:dyDescent="0.3">
      <c r="G1129" s="15">
        <v>3.1222222222222222</v>
      </c>
      <c r="H1129" s="3">
        <v>4.2492222222222077E-2</v>
      </c>
    </row>
    <row r="1130" spans="7:8" x14ac:dyDescent="0.3">
      <c r="G1130" s="15">
        <v>3.125</v>
      </c>
      <c r="H1130" s="3">
        <v>4.2487499999999852E-2</v>
      </c>
    </row>
    <row r="1131" spans="7:8" x14ac:dyDescent="0.3">
      <c r="G1131" s="15">
        <v>3.1277777777777778</v>
      </c>
      <c r="H1131" s="3">
        <v>4.2482777777777626E-2</v>
      </c>
    </row>
    <row r="1132" spans="7:8" x14ac:dyDescent="0.3">
      <c r="G1132" s="15">
        <v>3.1305555555555555</v>
      </c>
      <c r="H1132" s="3">
        <v>4.2478055555555401E-2</v>
      </c>
    </row>
    <row r="1133" spans="7:8" x14ac:dyDescent="0.3">
      <c r="G1133" s="15">
        <v>3.1333333333333333</v>
      </c>
      <c r="H1133" s="3">
        <v>4.2473333333333176E-2</v>
      </c>
    </row>
    <row r="1134" spans="7:8" x14ac:dyDescent="0.3">
      <c r="G1134" s="15">
        <v>3.1361111111111111</v>
      </c>
      <c r="H1134" s="3">
        <v>4.246861111111095E-2</v>
      </c>
    </row>
    <row r="1135" spans="7:8" x14ac:dyDescent="0.3">
      <c r="G1135" s="15">
        <v>3.1388888888888888</v>
      </c>
      <c r="H1135" s="3">
        <v>4.2463888888888725E-2</v>
      </c>
    </row>
    <row r="1136" spans="7:8" x14ac:dyDescent="0.3">
      <c r="G1136" s="15">
        <v>3.1416666666666666</v>
      </c>
      <c r="H1136" s="3">
        <v>4.2459166666666499E-2</v>
      </c>
    </row>
    <row r="1137" spans="7:8" x14ac:dyDescent="0.3">
      <c r="G1137" s="15">
        <v>3.1444444444444444</v>
      </c>
      <c r="H1137" s="3">
        <v>4.2454444444444274E-2</v>
      </c>
    </row>
    <row r="1138" spans="7:8" x14ac:dyDescent="0.3">
      <c r="G1138" s="15">
        <v>3.1472222222222221</v>
      </c>
      <c r="H1138" s="3">
        <v>4.2449722222222049E-2</v>
      </c>
    </row>
    <row r="1139" spans="7:8" x14ac:dyDescent="0.3">
      <c r="G1139" s="15">
        <v>3.15</v>
      </c>
      <c r="H1139" s="3">
        <v>4.2444999999999823E-2</v>
      </c>
    </row>
    <row r="1140" spans="7:8" x14ac:dyDescent="0.3">
      <c r="G1140" s="15">
        <v>3.1527777777777777</v>
      </c>
      <c r="H1140" s="3">
        <v>4.2440277777777598E-2</v>
      </c>
    </row>
    <row r="1141" spans="7:8" x14ac:dyDescent="0.3">
      <c r="G1141" s="15">
        <v>3.1555555555555554</v>
      </c>
      <c r="H1141" s="3">
        <v>4.2435555555555372E-2</v>
      </c>
    </row>
    <row r="1142" spans="7:8" x14ac:dyDescent="0.3">
      <c r="G1142" s="15">
        <v>3.1583333333333332</v>
      </c>
      <c r="H1142" s="3">
        <v>4.2430833333333147E-2</v>
      </c>
    </row>
    <row r="1143" spans="7:8" x14ac:dyDescent="0.3">
      <c r="G1143" s="15">
        <v>3.161111111111111</v>
      </c>
      <c r="H1143" s="3">
        <v>4.2426111111110922E-2</v>
      </c>
    </row>
    <row r="1144" spans="7:8" x14ac:dyDescent="0.3">
      <c r="G1144" s="15">
        <v>3.1638888888888888</v>
      </c>
      <c r="H1144" s="3">
        <v>4.2421388888888703E-2</v>
      </c>
    </row>
    <row r="1145" spans="7:8" x14ac:dyDescent="0.3">
      <c r="G1145" s="15">
        <v>3.1666666666666665</v>
      </c>
      <c r="H1145" s="3">
        <v>4.2416666666666478E-2</v>
      </c>
    </row>
    <row r="1146" spans="7:8" x14ac:dyDescent="0.3">
      <c r="G1146" s="15">
        <v>3.1694444444444443</v>
      </c>
      <c r="H1146" s="3">
        <v>4.2411944444444252E-2</v>
      </c>
    </row>
    <row r="1147" spans="7:8" x14ac:dyDescent="0.3">
      <c r="G1147" s="15">
        <v>3.1722222222222221</v>
      </c>
      <c r="H1147" s="3">
        <v>4.2407222222222034E-2</v>
      </c>
    </row>
    <row r="1148" spans="7:8" x14ac:dyDescent="0.3">
      <c r="G1148" s="15">
        <v>3.1749999999999998</v>
      </c>
      <c r="H1148" s="3">
        <v>4.2402499999999815E-2</v>
      </c>
    </row>
    <row r="1149" spans="7:8" x14ac:dyDescent="0.3">
      <c r="G1149" s="15">
        <v>3.1777777777777776</v>
      </c>
      <c r="H1149" s="3">
        <v>4.239777777777759E-2</v>
      </c>
    </row>
    <row r="1150" spans="7:8" x14ac:dyDescent="0.3">
      <c r="G1150" s="15">
        <v>3.1805555555555554</v>
      </c>
      <c r="H1150" s="3">
        <v>4.2393055555555365E-2</v>
      </c>
    </row>
    <row r="1151" spans="7:8" x14ac:dyDescent="0.3">
      <c r="G1151" s="15">
        <v>3.1833333333333331</v>
      </c>
      <c r="H1151" s="3">
        <v>4.2388333333333146E-2</v>
      </c>
    </row>
    <row r="1152" spans="7:8" x14ac:dyDescent="0.3">
      <c r="G1152" s="15">
        <v>3.1861111111111109</v>
      </c>
      <c r="H1152" s="3">
        <v>4.2383611111110928E-2</v>
      </c>
    </row>
    <row r="1153" spans="7:8" x14ac:dyDescent="0.3">
      <c r="G1153" s="15">
        <v>3.1888888888888891</v>
      </c>
      <c r="H1153" s="3">
        <v>4.2378888888888702E-2</v>
      </c>
    </row>
    <row r="1154" spans="7:8" x14ac:dyDescent="0.3">
      <c r="G1154" s="15">
        <v>3.1916666666666669</v>
      </c>
      <c r="H1154" s="3">
        <v>4.2374166666666477E-2</v>
      </c>
    </row>
    <row r="1155" spans="7:8" x14ac:dyDescent="0.3">
      <c r="G1155" s="15">
        <v>3.1944444444444446</v>
      </c>
      <c r="H1155" s="3">
        <v>4.2369444444444258E-2</v>
      </c>
    </row>
    <row r="1156" spans="7:8" x14ac:dyDescent="0.3">
      <c r="G1156" s="15">
        <v>3.1972222222222224</v>
      </c>
      <c r="H1156" s="3">
        <v>4.236472222222204E-2</v>
      </c>
    </row>
    <row r="1157" spans="7:8" x14ac:dyDescent="0.3">
      <c r="G1157" s="15">
        <v>3.2</v>
      </c>
      <c r="H1157" s="3">
        <v>4.2359999999999814E-2</v>
      </c>
    </row>
    <row r="1158" spans="7:8" x14ac:dyDescent="0.3">
      <c r="G1158" s="15">
        <v>3.2027777777777779</v>
      </c>
      <c r="H1158" s="3">
        <v>4.2355277777777589E-2</v>
      </c>
    </row>
    <row r="1159" spans="7:8" x14ac:dyDescent="0.3">
      <c r="G1159" s="15">
        <v>3.2055555555555557</v>
      </c>
      <c r="H1159" s="3">
        <v>4.2350555555555371E-2</v>
      </c>
    </row>
    <row r="1160" spans="7:8" x14ac:dyDescent="0.3">
      <c r="G1160" s="15">
        <v>3.2083333333333335</v>
      </c>
      <c r="H1160" s="3">
        <v>4.2345833333333152E-2</v>
      </c>
    </row>
    <row r="1161" spans="7:8" x14ac:dyDescent="0.3">
      <c r="G1161" s="15">
        <v>3.2111111111111112</v>
      </c>
      <c r="H1161" s="3">
        <v>4.2341111111110927E-2</v>
      </c>
    </row>
    <row r="1162" spans="7:8" x14ac:dyDescent="0.3">
      <c r="G1162" s="15">
        <v>3.213888888888889</v>
      </c>
      <c r="H1162" s="3">
        <v>4.2336388888888701E-2</v>
      </c>
    </row>
    <row r="1163" spans="7:8" x14ac:dyDescent="0.3">
      <c r="G1163" s="15">
        <v>3.2166666666666668</v>
      </c>
      <c r="H1163" s="3">
        <v>4.2331666666666483E-2</v>
      </c>
    </row>
    <row r="1164" spans="7:8" x14ac:dyDescent="0.3">
      <c r="G1164" s="15">
        <v>3.2194444444444446</v>
      </c>
      <c r="H1164" s="3">
        <v>4.2326944444444264E-2</v>
      </c>
    </row>
    <row r="1165" spans="7:8" x14ac:dyDescent="0.3">
      <c r="G1165" s="15">
        <v>3.2222222222222223</v>
      </c>
      <c r="H1165" s="3">
        <v>4.2322222222222039E-2</v>
      </c>
    </row>
    <row r="1166" spans="7:8" x14ac:dyDescent="0.3">
      <c r="G1166" s="15">
        <v>3.2250000000000001</v>
      </c>
      <c r="H1166" s="3">
        <v>4.2317499999999814E-2</v>
      </c>
    </row>
    <row r="1167" spans="7:8" x14ac:dyDescent="0.3">
      <c r="G1167" s="15">
        <v>3.2277777777777779</v>
      </c>
      <c r="H1167" s="3">
        <v>4.2312777777777595E-2</v>
      </c>
    </row>
    <row r="1168" spans="7:8" x14ac:dyDescent="0.3">
      <c r="G1168" s="15">
        <v>3.2305555555555556</v>
      </c>
      <c r="H1168" s="3">
        <v>4.2308055555555377E-2</v>
      </c>
    </row>
    <row r="1169" spans="7:8" x14ac:dyDescent="0.3">
      <c r="G1169" s="15">
        <v>3.2333333333333334</v>
      </c>
      <c r="H1169" s="3">
        <v>4.2303333333333151E-2</v>
      </c>
    </row>
    <row r="1170" spans="7:8" x14ac:dyDescent="0.3">
      <c r="G1170" s="15">
        <v>3.2361111111111112</v>
      </c>
      <c r="H1170" s="3">
        <v>4.2298611111110926E-2</v>
      </c>
    </row>
    <row r="1171" spans="7:8" x14ac:dyDescent="0.3">
      <c r="G1171" s="15">
        <v>3.2388888888888889</v>
      </c>
      <c r="H1171" s="3">
        <v>4.2293888888888707E-2</v>
      </c>
    </row>
    <row r="1172" spans="7:8" x14ac:dyDescent="0.3">
      <c r="G1172" s="15">
        <v>3.2416666666666667</v>
      </c>
      <c r="H1172" s="3">
        <v>4.2289166666666489E-2</v>
      </c>
    </row>
    <row r="1173" spans="7:8" x14ac:dyDescent="0.3">
      <c r="G1173" s="15">
        <v>3.2444444444444445</v>
      </c>
      <c r="H1173" s="3">
        <v>4.2284444444444264E-2</v>
      </c>
    </row>
    <row r="1174" spans="7:8" x14ac:dyDescent="0.3">
      <c r="G1174" s="15">
        <v>3.2472222222222222</v>
      </c>
      <c r="H1174" s="3">
        <v>4.2279722222222038E-2</v>
      </c>
    </row>
    <row r="1175" spans="7:8" x14ac:dyDescent="0.3">
      <c r="G1175" s="15">
        <v>3.25</v>
      </c>
      <c r="H1175" s="3">
        <v>4.227499999999982E-2</v>
      </c>
    </row>
    <row r="1176" spans="7:8" x14ac:dyDescent="0.3">
      <c r="G1176" s="15">
        <v>3.2527777777777778</v>
      </c>
      <c r="H1176" s="3">
        <v>4.2270277777777601E-2</v>
      </c>
    </row>
    <row r="1177" spans="7:8" x14ac:dyDescent="0.3">
      <c r="G1177" s="15">
        <v>3.2555555555555555</v>
      </c>
      <c r="H1177" s="3">
        <v>4.2265555555555376E-2</v>
      </c>
    </row>
    <row r="1178" spans="7:8" x14ac:dyDescent="0.3">
      <c r="G1178" s="15">
        <v>3.2583333333333333</v>
      </c>
      <c r="H1178" s="3">
        <v>4.226083333333315E-2</v>
      </c>
    </row>
    <row r="1179" spans="7:8" x14ac:dyDescent="0.3">
      <c r="G1179" s="15">
        <v>3.2611111111111111</v>
      </c>
      <c r="H1179" s="3">
        <v>4.2256111111110932E-2</v>
      </c>
    </row>
    <row r="1180" spans="7:8" x14ac:dyDescent="0.3">
      <c r="G1180" s="15">
        <v>3.2638888888888888</v>
      </c>
      <c r="H1180" s="3">
        <v>4.2251388888888713E-2</v>
      </c>
    </row>
    <row r="1181" spans="7:8" x14ac:dyDescent="0.3">
      <c r="G1181" s="15">
        <v>3.2666666666666666</v>
      </c>
      <c r="H1181" s="3">
        <v>4.2246666666666488E-2</v>
      </c>
    </row>
    <row r="1182" spans="7:8" x14ac:dyDescent="0.3">
      <c r="G1182" s="15">
        <v>3.2694444444444444</v>
      </c>
      <c r="H1182" s="3">
        <v>4.2241944444444263E-2</v>
      </c>
    </row>
    <row r="1183" spans="7:8" x14ac:dyDescent="0.3">
      <c r="G1183" s="15">
        <v>3.2722222222222221</v>
      </c>
      <c r="H1183" s="3">
        <v>4.2237222222222044E-2</v>
      </c>
    </row>
    <row r="1184" spans="7:8" x14ac:dyDescent="0.3">
      <c r="G1184" s="15">
        <v>3.2749999999999999</v>
      </c>
      <c r="H1184" s="3">
        <v>4.2232499999999826E-2</v>
      </c>
    </row>
    <row r="1185" spans="7:8" x14ac:dyDescent="0.3">
      <c r="G1185" s="15">
        <v>3.2777777777777777</v>
      </c>
      <c r="H1185" s="3">
        <v>4.22277777777776E-2</v>
      </c>
    </row>
    <row r="1186" spans="7:8" x14ac:dyDescent="0.3">
      <c r="G1186" s="15">
        <v>3.2805555555555554</v>
      </c>
      <c r="H1186" s="3">
        <v>4.2223055555555375E-2</v>
      </c>
    </row>
    <row r="1187" spans="7:8" x14ac:dyDescent="0.3">
      <c r="G1187" s="15">
        <v>3.2833333333333332</v>
      </c>
      <c r="H1187" s="3">
        <v>4.2218333333333156E-2</v>
      </c>
    </row>
    <row r="1188" spans="7:8" x14ac:dyDescent="0.3">
      <c r="G1188" s="15">
        <v>3.286111111111111</v>
      </c>
      <c r="H1188" s="3">
        <v>4.2213611111110938E-2</v>
      </c>
    </row>
    <row r="1189" spans="7:8" x14ac:dyDescent="0.3">
      <c r="G1189" s="15">
        <v>3.2888888888888888</v>
      </c>
      <c r="H1189" s="3">
        <v>4.2208888888888713E-2</v>
      </c>
    </row>
    <row r="1190" spans="7:8" x14ac:dyDescent="0.3">
      <c r="G1190" s="15">
        <v>3.2916666666666665</v>
      </c>
      <c r="H1190" s="3">
        <v>4.2204166666666487E-2</v>
      </c>
    </row>
    <row r="1191" spans="7:8" x14ac:dyDescent="0.3">
      <c r="G1191" s="15">
        <v>3.2944444444444443</v>
      </c>
      <c r="H1191" s="3">
        <v>4.2199444444444269E-2</v>
      </c>
    </row>
    <row r="1192" spans="7:8" x14ac:dyDescent="0.3">
      <c r="G1192" s="15">
        <v>3.2972222222222221</v>
      </c>
      <c r="H1192" s="3">
        <v>4.219472222222205E-2</v>
      </c>
    </row>
    <row r="1193" spans="7:8" x14ac:dyDescent="0.3">
      <c r="G1193" s="15">
        <v>3.3</v>
      </c>
      <c r="H1193" s="3">
        <v>4.2189999999999825E-2</v>
      </c>
    </row>
    <row r="1194" spans="7:8" x14ac:dyDescent="0.3">
      <c r="G1194" s="15">
        <v>3.3027777777777776</v>
      </c>
      <c r="H1194" s="3">
        <v>4.2185277777777599E-2</v>
      </c>
    </row>
    <row r="1195" spans="7:8" x14ac:dyDescent="0.3">
      <c r="G1195" s="15">
        <v>3.3055555555555554</v>
      </c>
      <c r="H1195" s="3">
        <v>4.2180555555555381E-2</v>
      </c>
    </row>
    <row r="1196" spans="7:8" x14ac:dyDescent="0.3">
      <c r="G1196" s="15">
        <v>3.3083333333333331</v>
      </c>
      <c r="H1196" s="3">
        <v>4.2175833333333163E-2</v>
      </c>
    </row>
    <row r="1197" spans="7:8" x14ac:dyDescent="0.3">
      <c r="G1197" s="15">
        <v>3.3111111111111109</v>
      </c>
      <c r="H1197" s="3">
        <v>4.2171111111110937E-2</v>
      </c>
    </row>
    <row r="1198" spans="7:8" x14ac:dyDescent="0.3">
      <c r="G1198" s="15">
        <v>3.3138888888888891</v>
      </c>
      <c r="H1198" s="3">
        <v>4.2166388888888712E-2</v>
      </c>
    </row>
    <row r="1199" spans="7:8" x14ac:dyDescent="0.3">
      <c r="G1199" s="15">
        <v>3.3166666666666669</v>
      </c>
      <c r="H1199" s="3">
        <v>4.2161666666666493E-2</v>
      </c>
    </row>
    <row r="1200" spans="7:8" x14ac:dyDescent="0.3">
      <c r="G1200" s="15">
        <v>3.3194444444444446</v>
      </c>
      <c r="H1200" s="3">
        <v>4.2156944444444275E-2</v>
      </c>
    </row>
    <row r="1201" spans="7:8" x14ac:dyDescent="0.3">
      <c r="G1201" s="15">
        <v>3.3222222222222224</v>
      </c>
      <c r="H1201" s="3">
        <v>4.2152222222222049E-2</v>
      </c>
    </row>
    <row r="1202" spans="7:8" x14ac:dyDescent="0.3">
      <c r="G1202" s="15">
        <v>3.3250000000000002</v>
      </c>
      <c r="H1202" s="3">
        <v>4.2147499999999824E-2</v>
      </c>
    </row>
    <row r="1203" spans="7:8" x14ac:dyDescent="0.3">
      <c r="G1203" s="15">
        <v>3.3277777777777779</v>
      </c>
      <c r="H1203" s="3">
        <v>4.2142777777777606E-2</v>
      </c>
    </row>
    <row r="1204" spans="7:8" x14ac:dyDescent="0.3">
      <c r="G1204" s="15">
        <v>3.3305555555555557</v>
      </c>
      <c r="H1204" s="3">
        <v>4.2138055555555387E-2</v>
      </c>
    </row>
    <row r="1205" spans="7:8" x14ac:dyDescent="0.3">
      <c r="G1205" s="15">
        <v>3.3333333333333335</v>
      </c>
      <c r="H1205" s="3">
        <v>4.2133333333333162E-2</v>
      </c>
    </row>
    <row r="1206" spans="7:8" x14ac:dyDescent="0.3">
      <c r="G1206" s="15">
        <v>3.3361111111111112</v>
      </c>
      <c r="H1206" s="3">
        <v>4.2128611111110936E-2</v>
      </c>
    </row>
    <row r="1207" spans="7:8" x14ac:dyDescent="0.3">
      <c r="G1207" s="15">
        <v>3.338888888888889</v>
      </c>
      <c r="H1207" s="3">
        <v>4.2123888888888718E-2</v>
      </c>
    </row>
    <row r="1208" spans="7:8" x14ac:dyDescent="0.3">
      <c r="G1208" s="15">
        <v>3.3416666666666668</v>
      </c>
      <c r="H1208" s="3">
        <v>4.2119166666666499E-2</v>
      </c>
    </row>
    <row r="1209" spans="7:8" x14ac:dyDescent="0.3">
      <c r="G1209" s="15">
        <v>3.3444444444444446</v>
      </c>
      <c r="H1209" s="3">
        <v>4.2114444444444274E-2</v>
      </c>
    </row>
    <row r="1210" spans="7:8" x14ac:dyDescent="0.3">
      <c r="G1210" s="15">
        <v>3.3472222222222223</v>
      </c>
      <c r="H1210" s="3">
        <v>4.2109722222222049E-2</v>
      </c>
    </row>
    <row r="1211" spans="7:8" x14ac:dyDescent="0.3">
      <c r="G1211" s="15">
        <v>3.35</v>
      </c>
      <c r="H1211" s="3">
        <v>4.210499999999983E-2</v>
      </c>
    </row>
    <row r="1212" spans="7:8" x14ac:dyDescent="0.3">
      <c r="G1212" s="15">
        <v>3.3527777777777779</v>
      </c>
      <c r="H1212" s="3">
        <v>4.2100277777777612E-2</v>
      </c>
    </row>
    <row r="1213" spans="7:8" x14ac:dyDescent="0.3">
      <c r="G1213" s="15">
        <v>3.3555555555555556</v>
      </c>
      <c r="H1213" s="3">
        <v>4.2095555555555386E-2</v>
      </c>
    </row>
    <row r="1214" spans="7:8" x14ac:dyDescent="0.3">
      <c r="G1214" s="15">
        <v>3.3583333333333334</v>
      </c>
      <c r="H1214" s="3">
        <v>4.2090833333333161E-2</v>
      </c>
    </row>
    <row r="1215" spans="7:8" x14ac:dyDescent="0.3">
      <c r="G1215" s="15">
        <v>3.3611111111111112</v>
      </c>
      <c r="H1215" s="3">
        <v>4.2086111111110942E-2</v>
      </c>
    </row>
    <row r="1216" spans="7:8" x14ac:dyDescent="0.3">
      <c r="G1216" s="15">
        <v>3.3638888888888889</v>
      </c>
      <c r="H1216" s="3">
        <v>4.2081388888888724E-2</v>
      </c>
    </row>
    <row r="1217" spans="7:8" x14ac:dyDescent="0.3">
      <c r="G1217" s="15">
        <v>3.3666666666666667</v>
      </c>
      <c r="H1217" s="3">
        <v>4.2076666666666498E-2</v>
      </c>
    </row>
    <row r="1218" spans="7:8" x14ac:dyDescent="0.3">
      <c r="G1218" s="15">
        <v>3.3694444444444445</v>
      </c>
      <c r="H1218" s="3">
        <v>4.2071944444444273E-2</v>
      </c>
    </row>
    <row r="1219" spans="7:8" x14ac:dyDescent="0.3">
      <c r="G1219" s="15">
        <v>3.3722222222222222</v>
      </c>
      <c r="H1219" s="3">
        <v>4.2067222222222055E-2</v>
      </c>
    </row>
    <row r="1220" spans="7:8" x14ac:dyDescent="0.3">
      <c r="G1220" s="15">
        <v>3.375</v>
      </c>
      <c r="H1220" s="3">
        <v>4.2062499999999836E-2</v>
      </c>
    </row>
    <row r="1221" spans="7:8" x14ac:dyDescent="0.3">
      <c r="G1221" s="15">
        <v>3.3777777777777778</v>
      </c>
      <c r="H1221" s="3">
        <v>4.2057777777777611E-2</v>
      </c>
    </row>
    <row r="1222" spans="7:8" x14ac:dyDescent="0.3">
      <c r="G1222" s="15">
        <v>3.3805555555555555</v>
      </c>
      <c r="H1222" s="3">
        <v>4.2053055555555385E-2</v>
      </c>
    </row>
    <row r="1223" spans="7:8" x14ac:dyDescent="0.3">
      <c r="G1223" s="15">
        <v>3.3833333333333333</v>
      </c>
      <c r="H1223" s="3">
        <v>4.2048333333333167E-2</v>
      </c>
    </row>
    <row r="1224" spans="7:8" x14ac:dyDescent="0.3">
      <c r="G1224" s="15">
        <v>3.3861111111111111</v>
      </c>
      <c r="H1224" s="3">
        <v>4.2043611111110948E-2</v>
      </c>
    </row>
    <row r="1225" spans="7:8" x14ac:dyDescent="0.3">
      <c r="G1225" s="15">
        <v>3.3888888888888888</v>
      </c>
      <c r="H1225" s="3">
        <v>4.2038888888888723E-2</v>
      </c>
    </row>
    <row r="1226" spans="7:8" x14ac:dyDescent="0.3">
      <c r="G1226" s="15">
        <v>3.3916666666666666</v>
      </c>
      <c r="H1226" s="3">
        <v>4.2034166666666498E-2</v>
      </c>
    </row>
    <row r="1227" spans="7:8" x14ac:dyDescent="0.3">
      <c r="G1227" s="15">
        <v>3.3944444444444444</v>
      </c>
      <c r="H1227" s="3">
        <v>4.2029444444444279E-2</v>
      </c>
    </row>
    <row r="1228" spans="7:8" x14ac:dyDescent="0.3">
      <c r="G1228" s="15">
        <v>3.3972222222222221</v>
      </c>
      <c r="H1228" s="3">
        <v>4.2024722222222061E-2</v>
      </c>
    </row>
    <row r="1229" spans="7:8" x14ac:dyDescent="0.3">
      <c r="G1229" s="15">
        <v>3.4</v>
      </c>
      <c r="H1229" s="3">
        <v>4.2019999999999835E-2</v>
      </c>
    </row>
    <row r="1230" spans="7:8" x14ac:dyDescent="0.3">
      <c r="G1230" s="15">
        <v>3.4027777777777777</v>
      </c>
      <c r="H1230" s="3">
        <v>4.201527777777761E-2</v>
      </c>
    </row>
    <row r="1231" spans="7:8" x14ac:dyDescent="0.3">
      <c r="G1231" s="15">
        <v>3.4055555555555554</v>
      </c>
      <c r="H1231" s="3">
        <v>4.2010555555555391E-2</v>
      </c>
    </row>
    <row r="1232" spans="7:8" x14ac:dyDescent="0.3">
      <c r="G1232" s="15">
        <v>3.4083333333333332</v>
      </c>
      <c r="H1232" s="3">
        <v>4.2005833333333173E-2</v>
      </c>
    </row>
    <row r="1233" spans="7:8" x14ac:dyDescent="0.3">
      <c r="G1233" s="15">
        <v>3.411111111111111</v>
      </c>
      <c r="H1233" s="3">
        <v>4.2001111111110948E-2</v>
      </c>
    </row>
    <row r="1234" spans="7:8" x14ac:dyDescent="0.3">
      <c r="G1234" s="15">
        <v>3.4138888888888888</v>
      </c>
      <c r="H1234" s="3">
        <v>4.1996388888888722E-2</v>
      </c>
    </row>
    <row r="1235" spans="7:8" x14ac:dyDescent="0.3">
      <c r="G1235" s="15">
        <v>3.4166666666666665</v>
      </c>
      <c r="H1235" s="3">
        <v>4.1991666666666504E-2</v>
      </c>
    </row>
    <row r="1236" spans="7:8" x14ac:dyDescent="0.3">
      <c r="G1236" s="15">
        <v>3.4194444444444443</v>
      </c>
      <c r="H1236" s="3">
        <v>4.1986944444444285E-2</v>
      </c>
    </row>
    <row r="1237" spans="7:8" x14ac:dyDescent="0.3">
      <c r="G1237" s="15">
        <v>3.4222222222222221</v>
      </c>
      <c r="H1237" s="3">
        <v>4.198222222222206E-2</v>
      </c>
    </row>
    <row r="1238" spans="7:8" x14ac:dyDescent="0.3">
      <c r="G1238" s="15">
        <v>3.4249999999999998</v>
      </c>
      <c r="H1238" s="3">
        <v>4.1977499999999834E-2</v>
      </c>
    </row>
    <row r="1239" spans="7:8" x14ac:dyDescent="0.3">
      <c r="G1239" s="15">
        <v>3.4277777777777776</v>
      </c>
      <c r="H1239" s="3">
        <v>4.1972777777777616E-2</v>
      </c>
    </row>
    <row r="1240" spans="7:8" x14ac:dyDescent="0.3">
      <c r="G1240" s="15">
        <v>3.4305555555555554</v>
      </c>
      <c r="H1240" s="3">
        <v>4.1968055555555397E-2</v>
      </c>
    </row>
    <row r="1241" spans="7:8" x14ac:dyDescent="0.3">
      <c r="G1241" s="15">
        <v>3.4333333333333331</v>
      </c>
      <c r="H1241" s="3">
        <v>4.1963333333333172E-2</v>
      </c>
    </row>
    <row r="1242" spans="7:8" x14ac:dyDescent="0.3">
      <c r="G1242" s="15">
        <v>3.4361111111111109</v>
      </c>
      <c r="H1242" s="3">
        <v>4.1958611111110947E-2</v>
      </c>
    </row>
    <row r="1243" spans="7:8" x14ac:dyDescent="0.3">
      <c r="G1243" s="15">
        <v>3.4388888888888891</v>
      </c>
      <c r="H1243" s="3">
        <v>4.1953888888888728E-2</v>
      </c>
    </row>
    <row r="1244" spans="7:8" x14ac:dyDescent="0.3">
      <c r="G1244" s="15">
        <v>3.4416666666666669</v>
      </c>
      <c r="H1244" s="3">
        <v>4.194916666666651E-2</v>
      </c>
    </row>
    <row r="1245" spans="7:8" x14ac:dyDescent="0.3">
      <c r="G1245" s="15">
        <v>3.4444444444444446</v>
      </c>
      <c r="H1245" s="3">
        <v>4.1944444444444284E-2</v>
      </c>
    </row>
    <row r="1246" spans="7:8" x14ac:dyDescent="0.3">
      <c r="G1246" s="15">
        <v>3.4472222222222224</v>
      </c>
      <c r="H1246" s="3">
        <v>4.1939722222222059E-2</v>
      </c>
    </row>
    <row r="1247" spans="7:8" x14ac:dyDescent="0.3">
      <c r="G1247" s="15">
        <v>3.45</v>
      </c>
      <c r="H1247" s="3">
        <v>4.193499999999984E-2</v>
      </c>
    </row>
    <row r="1248" spans="7:8" x14ac:dyDescent="0.3">
      <c r="G1248" s="15">
        <v>3.4527777777777779</v>
      </c>
      <c r="H1248" s="3">
        <v>4.1930277777777622E-2</v>
      </c>
    </row>
    <row r="1249" spans="7:8" x14ac:dyDescent="0.3">
      <c r="G1249" s="15">
        <v>3.4555555555555557</v>
      </c>
      <c r="H1249" s="3">
        <v>4.1925555555555397E-2</v>
      </c>
    </row>
    <row r="1250" spans="7:8" x14ac:dyDescent="0.3">
      <c r="G1250" s="15">
        <v>3.4583333333333335</v>
      </c>
      <c r="H1250" s="3">
        <v>4.1920833333333171E-2</v>
      </c>
    </row>
    <row r="1251" spans="7:8" x14ac:dyDescent="0.3">
      <c r="G1251" s="15">
        <v>3.4611111111111112</v>
      </c>
      <c r="H1251" s="3">
        <v>4.1916111111110953E-2</v>
      </c>
    </row>
    <row r="1252" spans="7:8" x14ac:dyDescent="0.3">
      <c r="G1252" s="15">
        <v>3.463888888888889</v>
      </c>
      <c r="H1252" s="3">
        <v>4.1911388888888734E-2</v>
      </c>
    </row>
    <row r="1253" spans="7:8" x14ac:dyDescent="0.3">
      <c r="G1253" s="15">
        <v>3.4666666666666668</v>
      </c>
      <c r="H1253" s="3">
        <v>4.1906666666666509E-2</v>
      </c>
    </row>
    <row r="1254" spans="7:8" x14ac:dyDescent="0.3">
      <c r="G1254" s="15">
        <v>3.4694444444444446</v>
      </c>
      <c r="H1254" s="3">
        <v>4.1901944444444283E-2</v>
      </c>
    </row>
    <row r="1255" spans="7:8" x14ac:dyDescent="0.3">
      <c r="G1255" s="15">
        <v>3.4722222222222223</v>
      </c>
      <c r="H1255" s="3">
        <v>4.1897222222222065E-2</v>
      </c>
    </row>
    <row r="1256" spans="7:8" x14ac:dyDescent="0.3">
      <c r="G1256" s="15">
        <v>3.4750000000000001</v>
      </c>
      <c r="H1256" s="3">
        <v>4.1892499999999847E-2</v>
      </c>
    </row>
    <row r="1257" spans="7:8" x14ac:dyDescent="0.3">
      <c r="G1257" s="15">
        <v>3.4777777777777779</v>
      </c>
      <c r="H1257" s="3">
        <v>4.1887777777777621E-2</v>
      </c>
    </row>
    <row r="1258" spans="7:8" x14ac:dyDescent="0.3">
      <c r="G1258" s="15">
        <v>3.4805555555555556</v>
      </c>
      <c r="H1258" s="3">
        <v>4.1883055555555396E-2</v>
      </c>
    </row>
    <row r="1259" spans="7:8" x14ac:dyDescent="0.3">
      <c r="G1259" s="15">
        <v>3.4833333333333334</v>
      </c>
      <c r="H1259" s="3">
        <v>4.1878333333333177E-2</v>
      </c>
    </row>
    <row r="1260" spans="7:8" x14ac:dyDescent="0.3">
      <c r="G1260" s="15">
        <v>3.4861111111111112</v>
      </c>
      <c r="H1260" s="3">
        <v>4.1873611111110959E-2</v>
      </c>
    </row>
    <row r="1261" spans="7:8" x14ac:dyDescent="0.3">
      <c r="G1261" s="15">
        <v>3.4888888888888889</v>
      </c>
      <c r="H1261" s="3">
        <v>4.1868888888888733E-2</v>
      </c>
    </row>
    <row r="1262" spans="7:8" x14ac:dyDescent="0.3">
      <c r="G1262" s="15">
        <v>3.4916666666666667</v>
      </c>
      <c r="H1262" s="3">
        <v>4.1864166666666508E-2</v>
      </c>
    </row>
    <row r="1263" spans="7:8" x14ac:dyDescent="0.3">
      <c r="G1263" s="15">
        <v>3.4944444444444445</v>
      </c>
      <c r="H1263" s="3">
        <v>4.185944444444429E-2</v>
      </c>
    </row>
    <row r="1264" spans="7:8" x14ac:dyDescent="0.3">
      <c r="G1264" s="15">
        <v>3.4972222222222222</v>
      </c>
      <c r="H1264" s="3">
        <v>4.1854722222222071E-2</v>
      </c>
    </row>
    <row r="1265" spans="7:8" x14ac:dyDescent="0.3">
      <c r="G1265" s="15">
        <v>3.5</v>
      </c>
      <c r="H1265" s="3">
        <v>4.1849999999999846E-2</v>
      </c>
    </row>
    <row r="1266" spans="7:8" x14ac:dyDescent="0.3">
      <c r="G1266" s="15">
        <v>3.5027777777777778</v>
      </c>
      <c r="H1266" s="3">
        <v>4.184527777777762E-2</v>
      </c>
    </row>
    <row r="1267" spans="7:8" x14ac:dyDescent="0.3">
      <c r="G1267" s="15">
        <v>3.5055555555555555</v>
      </c>
      <c r="H1267" s="3">
        <v>4.1840555555555402E-2</v>
      </c>
    </row>
    <row r="1268" spans="7:8" x14ac:dyDescent="0.3">
      <c r="G1268" s="15">
        <v>3.5083333333333333</v>
      </c>
      <c r="H1268" s="3">
        <v>4.1835833333333183E-2</v>
      </c>
    </row>
    <row r="1269" spans="7:8" x14ac:dyDescent="0.3">
      <c r="G1269" s="15">
        <v>3.5111111111111111</v>
      </c>
      <c r="H1269" s="3">
        <v>4.1831111111110958E-2</v>
      </c>
    </row>
    <row r="1270" spans="7:8" x14ac:dyDescent="0.3">
      <c r="G1270" s="15">
        <v>3.5138888888888888</v>
      </c>
      <c r="H1270" s="3">
        <v>4.1826388888888733E-2</v>
      </c>
    </row>
    <row r="1271" spans="7:8" x14ac:dyDescent="0.3">
      <c r="G1271" s="15">
        <v>3.5166666666666666</v>
      </c>
      <c r="H1271" s="3">
        <v>4.1821666666666514E-2</v>
      </c>
    </row>
    <row r="1272" spans="7:8" x14ac:dyDescent="0.3">
      <c r="G1272" s="15">
        <v>3.5194444444444444</v>
      </c>
      <c r="H1272" s="3">
        <v>4.1816944444444296E-2</v>
      </c>
    </row>
    <row r="1273" spans="7:8" x14ac:dyDescent="0.3">
      <c r="G1273" s="15">
        <v>3.5222222222222221</v>
      </c>
      <c r="H1273" s="3">
        <v>4.181222222222207E-2</v>
      </c>
    </row>
    <row r="1274" spans="7:8" x14ac:dyDescent="0.3">
      <c r="G1274" s="15">
        <v>3.5249999999999999</v>
      </c>
      <c r="H1274" s="3">
        <v>4.1807499999999845E-2</v>
      </c>
    </row>
    <row r="1275" spans="7:8" x14ac:dyDescent="0.3">
      <c r="G1275" s="15">
        <v>3.5277777777777777</v>
      </c>
      <c r="H1275" s="3">
        <v>4.1802777777777626E-2</v>
      </c>
    </row>
    <row r="1276" spans="7:8" x14ac:dyDescent="0.3">
      <c r="G1276" s="15">
        <v>3.5305555555555554</v>
      </c>
      <c r="H1276" s="3">
        <v>4.1798055555555408E-2</v>
      </c>
    </row>
    <row r="1277" spans="7:8" x14ac:dyDescent="0.3">
      <c r="G1277" s="15">
        <v>3.5333333333333332</v>
      </c>
      <c r="H1277" s="3">
        <v>4.1793333333333182E-2</v>
      </c>
    </row>
    <row r="1278" spans="7:8" x14ac:dyDescent="0.3">
      <c r="G1278" s="15">
        <v>3.536111111111111</v>
      </c>
      <c r="H1278" s="3">
        <v>4.1788611111110957E-2</v>
      </c>
    </row>
    <row r="1279" spans="7:8" x14ac:dyDescent="0.3">
      <c r="G1279" s="15">
        <v>3.5388888888888888</v>
      </c>
      <c r="H1279" s="3">
        <v>4.1783888888888739E-2</v>
      </c>
    </row>
    <row r="1280" spans="7:8" x14ac:dyDescent="0.3">
      <c r="G1280" s="15">
        <v>3.5416666666666665</v>
      </c>
      <c r="H1280" s="3">
        <v>4.177916666666652E-2</v>
      </c>
    </row>
    <row r="1281" spans="7:8" x14ac:dyDescent="0.3">
      <c r="G1281" s="15">
        <v>3.5444444444444443</v>
      </c>
      <c r="H1281" s="3">
        <v>4.1774444444444295E-2</v>
      </c>
    </row>
    <row r="1282" spans="7:8" x14ac:dyDescent="0.3">
      <c r="G1282" s="15">
        <v>3.5472222222222221</v>
      </c>
      <c r="H1282" s="3">
        <v>4.1769722222222069E-2</v>
      </c>
    </row>
    <row r="1283" spans="7:8" x14ac:dyDescent="0.3">
      <c r="G1283" s="15">
        <v>3.55</v>
      </c>
      <c r="H1283" s="3">
        <v>4.1764999999999851E-2</v>
      </c>
    </row>
    <row r="1284" spans="7:8" x14ac:dyDescent="0.3">
      <c r="G1284" s="15">
        <v>3.5527777777777776</v>
      </c>
      <c r="H1284" s="3">
        <v>4.1760277777777632E-2</v>
      </c>
    </row>
    <row r="1285" spans="7:8" x14ac:dyDescent="0.3">
      <c r="G1285" s="15">
        <v>3.5555555555555554</v>
      </c>
      <c r="H1285" s="3">
        <v>4.1755555555555407E-2</v>
      </c>
    </row>
    <row r="1286" spans="7:8" x14ac:dyDescent="0.3">
      <c r="G1286" s="15">
        <v>3.5583333333333331</v>
      </c>
      <c r="H1286" s="3">
        <v>4.1750833333333182E-2</v>
      </c>
    </row>
    <row r="1287" spans="7:8" x14ac:dyDescent="0.3">
      <c r="G1287" s="15">
        <v>3.5611111111111109</v>
      </c>
      <c r="H1287" s="3">
        <v>4.1746111111110963E-2</v>
      </c>
    </row>
    <row r="1288" spans="7:8" x14ac:dyDescent="0.3">
      <c r="G1288" s="15">
        <v>3.5638888888888891</v>
      </c>
      <c r="H1288" s="3">
        <v>4.1741388888888745E-2</v>
      </c>
    </row>
    <row r="1289" spans="7:8" x14ac:dyDescent="0.3">
      <c r="G1289" s="15">
        <v>3.5666666666666669</v>
      </c>
      <c r="H1289" s="3">
        <v>4.1736666666666519E-2</v>
      </c>
    </row>
    <row r="1290" spans="7:8" x14ac:dyDescent="0.3">
      <c r="G1290" s="15">
        <v>3.5694444444444446</v>
      </c>
      <c r="H1290" s="3">
        <v>4.1731944444444294E-2</v>
      </c>
    </row>
    <row r="1291" spans="7:8" x14ac:dyDescent="0.3">
      <c r="G1291" s="15">
        <v>3.5722222222222224</v>
      </c>
      <c r="H1291" s="3">
        <v>4.1727222222222075E-2</v>
      </c>
    </row>
    <row r="1292" spans="7:8" x14ac:dyDescent="0.3">
      <c r="G1292" s="15">
        <v>3.5750000000000002</v>
      </c>
      <c r="H1292" s="3">
        <v>4.1722499999999857E-2</v>
      </c>
    </row>
    <row r="1293" spans="7:8" x14ac:dyDescent="0.3">
      <c r="G1293" s="15">
        <v>3.5777777777777779</v>
      </c>
      <c r="H1293" s="3">
        <v>4.1717777777777632E-2</v>
      </c>
    </row>
    <row r="1294" spans="7:8" x14ac:dyDescent="0.3">
      <c r="G1294" s="15">
        <v>3.5805555555555557</v>
      </c>
      <c r="H1294" s="3">
        <v>4.1713055555555406E-2</v>
      </c>
    </row>
    <row r="1295" spans="7:8" x14ac:dyDescent="0.3">
      <c r="G1295" s="15">
        <v>3.5833333333333335</v>
      </c>
      <c r="H1295" s="3">
        <v>4.1708333333333188E-2</v>
      </c>
    </row>
    <row r="1296" spans="7:8" x14ac:dyDescent="0.3">
      <c r="G1296" s="15">
        <v>3.5861111111111112</v>
      </c>
      <c r="H1296" s="3">
        <v>4.1703611111110969E-2</v>
      </c>
    </row>
    <row r="1297" spans="7:8" x14ac:dyDescent="0.3">
      <c r="G1297" s="15">
        <v>3.588888888888889</v>
      </c>
      <c r="H1297" s="3">
        <v>4.1698888888888744E-2</v>
      </c>
    </row>
    <row r="1298" spans="7:8" x14ac:dyDescent="0.3">
      <c r="G1298" s="15">
        <v>3.5916666666666668</v>
      </c>
      <c r="H1298" s="3">
        <v>4.1694166666666518E-2</v>
      </c>
    </row>
    <row r="1299" spans="7:8" x14ac:dyDescent="0.3">
      <c r="G1299" s="15">
        <v>3.5944444444444446</v>
      </c>
      <c r="H1299" s="3">
        <v>4.16894444444443E-2</v>
      </c>
    </row>
    <row r="1300" spans="7:8" x14ac:dyDescent="0.3">
      <c r="G1300" s="15">
        <v>3.5972222222222223</v>
      </c>
      <c r="H1300" s="3">
        <v>4.1684722222222081E-2</v>
      </c>
    </row>
    <row r="1301" spans="7:8" x14ac:dyDescent="0.3">
      <c r="G1301" s="15">
        <v>3.6</v>
      </c>
      <c r="H1301" s="3">
        <v>4.1679999999999856E-2</v>
      </c>
    </row>
    <row r="1302" spans="7:8" x14ac:dyDescent="0.3">
      <c r="G1302" s="15">
        <v>3.6027777777777779</v>
      </c>
      <c r="H1302" s="3">
        <v>4.1675277777777631E-2</v>
      </c>
    </row>
    <row r="1303" spans="7:8" x14ac:dyDescent="0.3">
      <c r="G1303" s="15">
        <v>3.6055555555555556</v>
      </c>
      <c r="H1303" s="3">
        <v>4.1670555555555412E-2</v>
      </c>
    </row>
    <row r="1304" spans="7:8" x14ac:dyDescent="0.3">
      <c r="G1304" s="15">
        <v>3.6083333333333334</v>
      </c>
      <c r="H1304" s="3">
        <v>4.1665833333333194E-2</v>
      </c>
    </row>
    <row r="1305" spans="7:8" x14ac:dyDescent="0.3">
      <c r="G1305" s="15">
        <v>3.6111111111111112</v>
      </c>
      <c r="H1305" s="3">
        <v>4.1661111111110968E-2</v>
      </c>
    </row>
    <row r="1306" spans="7:8" x14ac:dyDescent="0.3">
      <c r="G1306" s="15">
        <v>3.6138888888888889</v>
      </c>
      <c r="H1306" s="3">
        <v>4.1656388888888743E-2</v>
      </c>
    </row>
    <row r="1307" spans="7:8" x14ac:dyDescent="0.3">
      <c r="G1307" s="15">
        <v>3.6166666666666667</v>
      </c>
      <c r="H1307" s="3">
        <v>4.1651666666666524E-2</v>
      </c>
    </row>
    <row r="1308" spans="7:8" x14ac:dyDescent="0.3">
      <c r="G1308" s="15">
        <v>3.6194444444444445</v>
      </c>
      <c r="H1308" s="3">
        <v>4.1646944444444306E-2</v>
      </c>
    </row>
    <row r="1309" spans="7:8" x14ac:dyDescent="0.3">
      <c r="G1309" s="15">
        <v>3.6222222222222222</v>
      </c>
      <c r="H1309" s="3">
        <v>4.1642222222222081E-2</v>
      </c>
    </row>
    <row r="1310" spans="7:8" x14ac:dyDescent="0.3">
      <c r="G1310" s="15">
        <v>3.625</v>
      </c>
      <c r="H1310" s="3">
        <v>4.1637499999999855E-2</v>
      </c>
    </row>
    <row r="1311" spans="7:8" x14ac:dyDescent="0.3">
      <c r="G1311" s="15">
        <v>3.6277777777777778</v>
      </c>
      <c r="H1311" s="3">
        <v>4.1632777777777637E-2</v>
      </c>
    </row>
    <row r="1312" spans="7:8" x14ac:dyDescent="0.3">
      <c r="G1312" s="15">
        <v>3.6305555555555555</v>
      </c>
      <c r="H1312" s="3">
        <v>4.1628055555555418E-2</v>
      </c>
    </row>
    <row r="1313" spans="7:8" x14ac:dyDescent="0.3">
      <c r="G1313" s="15">
        <v>3.6333333333333333</v>
      </c>
      <c r="H1313" s="3">
        <v>4.1623333333333193E-2</v>
      </c>
    </row>
    <row r="1314" spans="7:8" x14ac:dyDescent="0.3">
      <c r="G1314" s="15">
        <v>3.6361111111111111</v>
      </c>
      <c r="H1314" s="3">
        <v>4.1618611111110967E-2</v>
      </c>
    </row>
    <row r="1315" spans="7:8" x14ac:dyDescent="0.3">
      <c r="G1315" s="15">
        <v>3.6388888888888888</v>
      </c>
      <c r="H1315" s="3">
        <v>4.1613888888888749E-2</v>
      </c>
    </row>
    <row r="1316" spans="7:8" x14ac:dyDescent="0.3">
      <c r="G1316" s="15">
        <v>3.6416666666666666</v>
      </c>
      <c r="H1316" s="3">
        <v>4.1609166666666531E-2</v>
      </c>
    </row>
    <row r="1317" spans="7:8" x14ac:dyDescent="0.3">
      <c r="G1317" s="15">
        <v>3.6444444444444444</v>
      </c>
      <c r="H1317" s="3">
        <v>4.1604444444444305E-2</v>
      </c>
    </row>
    <row r="1318" spans="7:8" x14ac:dyDescent="0.3">
      <c r="G1318" s="15">
        <v>3.6472222222222221</v>
      </c>
      <c r="H1318" s="3">
        <v>4.159972222222208E-2</v>
      </c>
    </row>
    <row r="1319" spans="7:8" x14ac:dyDescent="0.3">
      <c r="G1319" s="15">
        <v>3.65</v>
      </c>
      <c r="H1319" s="3">
        <v>4.1594999999999861E-2</v>
      </c>
    </row>
    <row r="1320" spans="7:8" x14ac:dyDescent="0.3">
      <c r="G1320" s="15">
        <v>3.6527777777777777</v>
      </c>
      <c r="H1320" s="3">
        <v>4.1590277777777643E-2</v>
      </c>
    </row>
    <row r="1321" spans="7:8" x14ac:dyDescent="0.3">
      <c r="G1321" s="15">
        <v>3.6555555555555554</v>
      </c>
      <c r="H1321" s="3">
        <v>4.1585555555555417E-2</v>
      </c>
    </row>
    <row r="1322" spans="7:8" x14ac:dyDescent="0.3">
      <c r="G1322" s="15">
        <v>3.6583333333333332</v>
      </c>
      <c r="H1322" s="3">
        <v>4.1580833333333192E-2</v>
      </c>
    </row>
    <row r="1323" spans="7:8" x14ac:dyDescent="0.3">
      <c r="G1323" s="15">
        <v>3.661111111111111</v>
      </c>
      <c r="H1323" s="3">
        <v>4.1576111111110974E-2</v>
      </c>
    </row>
    <row r="1324" spans="7:8" x14ac:dyDescent="0.3">
      <c r="G1324" s="15">
        <v>3.6638888888888888</v>
      </c>
      <c r="H1324" s="3">
        <v>4.1571388888888755E-2</v>
      </c>
    </row>
    <row r="1325" spans="7:8" x14ac:dyDescent="0.3">
      <c r="G1325" s="15">
        <v>3.6666666666666665</v>
      </c>
      <c r="H1325" s="3">
        <v>4.156666666666653E-2</v>
      </c>
    </row>
    <row r="1326" spans="7:8" x14ac:dyDescent="0.3">
      <c r="G1326" s="15">
        <v>3.6694444444444443</v>
      </c>
      <c r="H1326" s="3">
        <v>4.1561944444444304E-2</v>
      </c>
    </row>
    <row r="1327" spans="7:8" x14ac:dyDescent="0.3">
      <c r="G1327" s="15">
        <v>3.6722222222222221</v>
      </c>
      <c r="H1327" s="3">
        <v>4.1557222222222086E-2</v>
      </c>
    </row>
    <row r="1328" spans="7:8" x14ac:dyDescent="0.3">
      <c r="G1328" s="15">
        <v>3.6749999999999998</v>
      </c>
      <c r="H1328" s="3">
        <v>4.1552499999999867E-2</v>
      </c>
    </row>
    <row r="1329" spans="7:8" x14ac:dyDescent="0.3">
      <c r="G1329" s="15">
        <v>3.6777777777777776</v>
      </c>
      <c r="H1329" s="3">
        <v>4.1547777777777642E-2</v>
      </c>
    </row>
    <row r="1330" spans="7:8" x14ac:dyDescent="0.3">
      <c r="G1330" s="15">
        <v>3.6805555555555554</v>
      </c>
      <c r="H1330" s="3">
        <v>4.1543055555555417E-2</v>
      </c>
    </row>
    <row r="1331" spans="7:8" x14ac:dyDescent="0.3">
      <c r="G1331" s="15">
        <v>3.6833333333333331</v>
      </c>
      <c r="H1331" s="3">
        <v>4.1538333333333198E-2</v>
      </c>
    </row>
    <row r="1332" spans="7:8" x14ac:dyDescent="0.3">
      <c r="G1332" s="15">
        <v>3.6861111111111109</v>
      </c>
      <c r="H1332" s="3">
        <v>4.153361111111098E-2</v>
      </c>
    </row>
    <row r="1333" spans="7:8" x14ac:dyDescent="0.3">
      <c r="G1333" s="15">
        <v>3.6888888888888891</v>
      </c>
      <c r="H1333" s="3">
        <v>4.1528888888888754E-2</v>
      </c>
    </row>
    <row r="1334" spans="7:8" x14ac:dyDescent="0.3">
      <c r="G1334" s="15">
        <v>3.6916666666666669</v>
      </c>
      <c r="H1334" s="3">
        <v>4.1524166666666529E-2</v>
      </c>
    </row>
    <row r="1335" spans="7:8" x14ac:dyDescent="0.3">
      <c r="G1335" s="15">
        <v>3.6944444444444446</v>
      </c>
      <c r="H1335" s="3">
        <v>4.151944444444431E-2</v>
      </c>
    </row>
    <row r="1336" spans="7:8" x14ac:dyDescent="0.3">
      <c r="G1336" s="15">
        <v>3.6972222222222224</v>
      </c>
      <c r="H1336" s="3">
        <v>4.1514722222222092E-2</v>
      </c>
    </row>
    <row r="1337" spans="7:8" x14ac:dyDescent="0.3">
      <c r="G1337" s="15">
        <v>3.7</v>
      </c>
      <c r="H1337" s="3">
        <v>4.1509999999999866E-2</v>
      </c>
    </row>
    <row r="1338" spans="7:8" x14ac:dyDescent="0.3">
      <c r="G1338" s="15">
        <v>3.7027777777777779</v>
      </c>
      <c r="H1338" s="3">
        <v>4.1505277777777641E-2</v>
      </c>
    </row>
    <row r="1339" spans="7:8" x14ac:dyDescent="0.3">
      <c r="G1339" s="15">
        <v>3.7055555555555557</v>
      </c>
      <c r="H1339" s="3">
        <v>4.1500555555555423E-2</v>
      </c>
    </row>
    <row r="1340" spans="7:8" x14ac:dyDescent="0.3">
      <c r="G1340" s="15">
        <v>3.7083333333333335</v>
      </c>
      <c r="H1340" s="3">
        <v>4.1495833333333204E-2</v>
      </c>
    </row>
    <row r="1341" spans="7:8" x14ac:dyDescent="0.3">
      <c r="G1341" s="15">
        <v>3.7111111111111112</v>
      </c>
      <c r="H1341" s="3">
        <v>4.1491111111110979E-2</v>
      </c>
    </row>
    <row r="1342" spans="7:8" x14ac:dyDescent="0.3">
      <c r="G1342" s="15">
        <v>3.713888888888889</v>
      </c>
      <c r="H1342" s="3">
        <v>4.1486388888888753E-2</v>
      </c>
    </row>
    <row r="1343" spans="7:8" x14ac:dyDescent="0.3">
      <c r="G1343" s="15">
        <v>3.7166666666666668</v>
      </c>
      <c r="H1343" s="3">
        <v>4.1481666666666535E-2</v>
      </c>
    </row>
    <row r="1344" spans="7:8" x14ac:dyDescent="0.3">
      <c r="G1344" s="15">
        <v>3.7194444444444446</v>
      </c>
      <c r="H1344" s="3">
        <v>4.1476944444444316E-2</v>
      </c>
    </row>
    <row r="1345" spans="7:8" x14ac:dyDescent="0.3">
      <c r="G1345" s="15">
        <v>3.7222222222222223</v>
      </c>
      <c r="H1345" s="3">
        <v>4.1472222222222091E-2</v>
      </c>
    </row>
    <row r="1346" spans="7:8" x14ac:dyDescent="0.3">
      <c r="G1346" s="15">
        <v>3.7250000000000001</v>
      </c>
      <c r="H1346" s="3">
        <v>4.1467499999999866E-2</v>
      </c>
    </row>
    <row r="1347" spans="7:8" x14ac:dyDescent="0.3">
      <c r="G1347" s="15">
        <v>3.7277777777777779</v>
      </c>
      <c r="H1347" s="3">
        <v>4.1462777777777647E-2</v>
      </c>
    </row>
    <row r="1348" spans="7:8" x14ac:dyDescent="0.3">
      <c r="G1348" s="15">
        <v>3.7305555555555556</v>
      </c>
      <c r="H1348" s="3">
        <v>4.1458055555555429E-2</v>
      </c>
    </row>
    <row r="1349" spans="7:8" x14ac:dyDescent="0.3">
      <c r="G1349" s="15">
        <v>3.7333333333333334</v>
      </c>
      <c r="H1349" s="3">
        <v>4.1453333333333203E-2</v>
      </c>
    </row>
    <row r="1350" spans="7:8" x14ac:dyDescent="0.3">
      <c r="G1350" s="15">
        <v>3.7361111111111112</v>
      </c>
      <c r="H1350" s="3">
        <v>4.1448611111110978E-2</v>
      </c>
    </row>
    <row r="1351" spans="7:8" x14ac:dyDescent="0.3">
      <c r="G1351" s="15">
        <v>3.7388888888888889</v>
      </c>
      <c r="H1351" s="3">
        <v>4.1443888888888759E-2</v>
      </c>
    </row>
    <row r="1352" spans="7:8" x14ac:dyDescent="0.3">
      <c r="G1352" s="15">
        <v>3.7416666666666667</v>
      </c>
      <c r="H1352" s="3">
        <v>4.1439166666666541E-2</v>
      </c>
    </row>
    <row r="1353" spans="7:8" x14ac:dyDescent="0.3">
      <c r="G1353" s="15">
        <v>3.7444444444444445</v>
      </c>
      <c r="H1353" s="3">
        <v>4.1434444444444316E-2</v>
      </c>
    </row>
    <row r="1354" spans="7:8" x14ac:dyDescent="0.3">
      <c r="G1354" s="15">
        <v>3.7472222222222222</v>
      </c>
      <c r="H1354" s="3">
        <v>4.142972222222209E-2</v>
      </c>
    </row>
    <row r="1355" spans="7:8" x14ac:dyDescent="0.3">
      <c r="G1355" s="15">
        <v>3.75</v>
      </c>
      <c r="H1355" s="3">
        <v>4.1424999999999872E-2</v>
      </c>
    </row>
    <row r="1356" spans="7:8" x14ac:dyDescent="0.3">
      <c r="G1356" s="15">
        <v>3.7527777777777778</v>
      </c>
      <c r="H1356" s="3">
        <v>4.1420277777777653E-2</v>
      </c>
    </row>
    <row r="1357" spans="7:8" x14ac:dyDescent="0.3">
      <c r="G1357" s="15">
        <v>3.7555555555555555</v>
      </c>
      <c r="H1357" s="3">
        <v>4.1415555555555428E-2</v>
      </c>
    </row>
    <row r="1358" spans="7:8" x14ac:dyDescent="0.3">
      <c r="G1358" s="15">
        <v>3.7583333333333333</v>
      </c>
      <c r="H1358" s="3">
        <v>4.1410833333333202E-2</v>
      </c>
    </row>
    <row r="1359" spans="7:8" x14ac:dyDescent="0.3">
      <c r="G1359" s="15">
        <v>3.7611111111111111</v>
      </c>
      <c r="H1359" s="3">
        <v>4.1406111111110984E-2</v>
      </c>
    </row>
    <row r="1360" spans="7:8" x14ac:dyDescent="0.3">
      <c r="G1360" s="15">
        <v>3.7638888888888888</v>
      </c>
      <c r="H1360" s="3">
        <v>4.1401388888888765E-2</v>
      </c>
    </row>
    <row r="1361" spans="7:8" x14ac:dyDescent="0.3">
      <c r="G1361" s="15">
        <v>3.7666666666666666</v>
      </c>
      <c r="H1361" s="3">
        <v>4.139666666666654E-2</v>
      </c>
    </row>
    <row r="1362" spans="7:8" x14ac:dyDescent="0.3">
      <c r="G1362" s="15">
        <v>3.7694444444444444</v>
      </c>
      <c r="H1362" s="3">
        <v>4.1391944444444315E-2</v>
      </c>
    </row>
    <row r="1363" spans="7:8" x14ac:dyDescent="0.3">
      <c r="G1363" s="15">
        <v>3.7722222222222221</v>
      </c>
      <c r="H1363" s="3">
        <v>4.1387222222222096E-2</v>
      </c>
    </row>
    <row r="1364" spans="7:8" x14ac:dyDescent="0.3">
      <c r="G1364" s="15">
        <v>3.7749999999999999</v>
      </c>
      <c r="H1364" s="3">
        <v>4.1382499999999878E-2</v>
      </c>
    </row>
    <row r="1365" spans="7:8" x14ac:dyDescent="0.3">
      <c r="G1365" s="15">
        <v>3.7777777777777777</v>
      </c>
      <c r="H1365" s="3">
        <v>4.1377777777777652E-2</v>
      </c>
    </row>
    <row r="1366" spans="7:8" x14ac:dyDescent="0.3">
      <c r="G1366" s="15">
        <v>3.7805555555555554</v>
      </c>
      <c r="H1366" s="3">
        <v>4.1373055555555427E-2</v>
      </c>
    </row>
    <row r="1367" spans="7:8" x14ac:dyDescent="0.3">
      <c r="G1367" s="15">
        <v>3.7833333333333332</v>
      </c>
      <c r="H1367" s="3">
        <v>4.1368333333333208E-2</v>
      </c>
    </row>
    <row r="1368" spans="7:8" x14ac:dyDescent="0.3">
      <c r="G1368" s="15">
        <v>3.786111111111111</v>
      </c>
      <c r="H1368" s="3">
        <v>4.136361111111099E-2</v>
      </c>
    </row>
    <row r="1369" spans="7:8" x14ac:dyDescent="0.3">
      <c r="G1369" s="15">
        <v>3.7888888888888888</v>
      </c>
      <c r="H1369" s="3">
        <v>4.1358888888888765E-2</v>
      </c>
    </row>
    <row r="1370" spans="7:8" x14ac:dyDescent="0.3">
      <c r="G1370" s="15">
        <v>3.7916666666666665</v>
      </c>
      <c r="H1370" s="3">
        <v>4.1354166666666539E-2</v>
      </c>
    </row>
    <row r="1371" spans="7:8" x14ac:dyDescent="0.3">
      <c r="G1371" s="15">
        <v>3.7944444444444443</v>
      </c>
      <c r="H1371" s="3">
        <v>4.1349444444444321E-2</v>
      </c>
    </row>
    <row r="1372" spans="7:8" x14ac:dyDescent="0.3">
      <c r="G1372" s="15">
        <v>3.7972222222222221</v>
      </c>
      <c r="H1372" s="3">
        <v>4.1344722222222102E-2</v>
      </c>
    </row>
    <row r="1373" spans="7:8" x14ac:dyDescent="0.3">
      <c r="G1373" s="15">
        <v>3.8</v>
      </c>
      <c r="H1373" s="3">
        <v>4.1339999999999877E-2</v>
      </c>
    </row>
    <row r="1374" spans="7:8" x14ac:dyDescent="0.3">
      <c r="G1374" s="15">
        <v>3.8027777777777776</v>
      </c>
      <c r="H1374" s="3">
        <v>4.1335277777777651E-2</v>
      </c>
    </row>
    <row r="1375" spans="7:8" x14ac:dyDescent="0.3">
      <c r="G1375" s="15">
        <v>3.8055555555555554</v>
      </c>
      <c r="H1375" s="3">
        <v>4.1330555555555433E-2</v>
      </c>
    </row>
    <row r="1376" spans="7:8" x14ac:dyDescent="0.3">
      <c r="G1376" s="15">
        <v>3.8083333333333331</v>
      </c>
      <c r="H1376" s="3">
        <v>4.1325833333333215E-2</v>
      </c>
    </row>
    <row r="1377" spans="7:8" x14ac:dyDescent="0.3">
      <c r="G1377" s="15">
        <v>3.8111111111111109</v>
      </c>
      <c r="H1377" s="3">
        <v>4.1321111111110989E-2</v>
      </c>
    </row>
    <row r="1378" spans="7:8" x14ac:dyDescent="0.3">
      <c r="G1378" s="15">
        <v>3.8138888888888891</v>
      </c>
      <c r="H1378" s="3">
        <v>4.1316388888888764E-2</v>
      </c>
    </row>
    <row r="1379" spans="7:8" x14ac:dyDescent="0.3">
      <c r="G1379" s="15">
        <v>3.8166666666666669</v>
      </c>
      <c r="H1379" s="3">
        <v>4.1311666666666545E-2</v>
      </c>
    </row>
    <row r="1380" spans="7:8" x14ac:dyDescent="0.3">
      <c r="G1380" s="15">
        <v>3.8194444444444446</v>
      </c>
      <c r="H1380" s="3">
        <v>4.1306944444444327E-2</v>
      </c>
    </row>
    <row r="1381" spans="7:8" x14ac:dyDescent="0.3">
      <c r="G1381" s="15">
        <v>3.8222222222222224</v>
      </c>
      <c r="H1381" s="3">
        <v>4.1302222222222101E-2</v>
      </c>
    </row>
    <row r="1382" spans="7:8" x14ac:dyDescent="0.3">
      <c r="G1382" s="15">
        <v>3.8250000000000002</v>
      </c>
      <c r="H1382" s="3">
        <v>4.1297499999999876E-2</v>
      </c>
    </row>
    <row r="1383" spans="7:8" x14ac:dyDescent="0.3">
      <c r="G1383" s="15">
        <v>3.8277777777777779</v>
      </c>
      <c r="H1383" s="3">
        <v>4.1292777777777658E-2</v>
      </c>
    </row>
    <row r="1384" spans="7:8" x14ac:dyDescent="0.3">
      <c r="G1384" s="15">
        <v>3.8305555555555557</v>
      </c>
      <c r="H1384" s="3">
        <v>4.1288055555555439E-2</v>
      </c>
    </row>
    <row r="1385" spans="7:8" x14ac:dyDescent="0.3">
      <c r="G1385" s="15">
        <v>3.8333333333333335</v>
      </c>
      <c r="H1385" s="3">
        <v>4.1283333333333214E-2</v>
      </c>
    </row>
    <row r="1386" spans="7:8" x14ac:dyDescent="0.3">
      <c r="G1386" s="15">
        <v>3.8361111111111112</v>
      </c>
      <c r="H1386" s="3">
        <v>4.1278611111110988E-2</v>
      </c>
    </row>
    <row r="1387" spans="7:8" x14ac:dyDescent="0.3">
      <c r="G1387" s="15">
        <v>3.838888888888889</v>
      </c>
      <c r="H1387" s="3">
        <v>4.127388888888877E-2</v>
      </c>
    </row>
    <row r="1388" spans="7:8" x14ac:dyDescent="0.3">
      <c r="G1388" s="15">
        <v>3.8416666666666668</v>
      </c>
      <c r="H1388" s="3">
        <v>4.1269166666666551E-2</v>
      </c>
    </row>
    <row r="1389" spans="7:8" x14ac:dyDescent="0.3">
      <c r="G1389" s="15">
        <v>3.8444444444444446</v>
      </c>
      <c r="H1389" s="3">
        <v>4.1264444444444326E-2</v>
      </c>
    </row>
    <row r="1390" spans="7:8" x14ac:dyDescent="0.3">
      <c r="G1390" s="15">
        <v>3.8472222222222223</v>
      </c>
      <c r="H1390" s="3">
        <v>4.1259722222222101E-2</v>
      </c>
    </row>
    <row r="1391" spans="7:8" x14ac:dyDescent="0.3">
      <c r="G1391" s="15">
        <v>3.85</v>
      </c>
      <c r="H1391" s="3">
        <v>4.1254999999999882E-2</v>
      </c>
    </row>
    <row r="1392" spans="7:8" x14ac:dyDescent="0.3">
      <c r="G1392" s="15">
        <v>3.8527777777777779</v>
      </c>
      <c r="H1392" s="3">
        <v>4.1250277777777664E-2</v>
      </c>
    </row>
    <row r="1393" spans="7:8" x14ac:dyDescent="0.3">
      <c r="G1393" s="15">
        <v>3.8555555555555556</v>
      </c>
      <c r="H1393" s="3">
        <v>4.1245555555555438E-2</v>
      </c>
    </row>
    <row r="1394" spans="7:8" x14ac:dyDescent="0.3">
      <c r="G1394" s="15">
        <v>3.8583333333333334</v>
      </c>
      <c r="H1394" s="3">
        <v>4.1240833333333213E-2</v>
      </c>
    </row>
    <row r="1395" spans="7:8" x14ac:dyDescent="0.3">
      <c r="G1395" s="15">
        <v>3.8611111111111112</v>
      </c>
      <c r="H1395" s="3">
        <v>4.1236111111110994E-2</v>
      </c>
    </row>
    <row r="1396" spans="7:8" x14ac:dyDescent="0.3">
      <c r="G1396" s="15">
        <v>3.8638888888888889</v>
      </c>
      <c r="H1396" s="3">
        <v>4.1231388888888776E-2</v>
      </c>
    </row>
    <row r="1397" spans="7:8" x14ac:dyDescent="0.3">
      <c r="G1397" s="15">
        <v>3.8666666666666667</v>
      </c>
      <c r="H1397" s="3">
        <v>4.122666666666655E-2</v>
      </c>
    </row>
    <row r="1398" spans="7:8" x14ac:dyDescent="0.3">
      <c r="G1398" s="15">
        <v>3.8694444444444445</v>
      </c>
      <c r="H1398" s="3">
        <v>4.1221944444444325E-2</v>
      </c>
    </row>
    <row r="1399" spans="7:8" x14ac:dyDescent="0.3">
      <c r="G1399" s="15">
        <v>3.8722222222222222</v>
      </c>
      <c r="H1399" s="3">
        <v>4.1217222222222107E-2</v>
      </c>
    </row>
    <row r="1400" spans="7:8" x14ac:dyDescent="0.3">
      <c r="G1400" s="15">
        <v>3.875</v>
      </c>
      <c r="H1400" s="3">
        <v>4.1212499999999888E-2</v>
      </c>
    </row>
    <row r="1401" spans="7:8" x14ac:dyDescent="0.3">
      <c r="G1401" s="15">
        <v>3.8777777777777778</v>
      </c>
      <c r="H1401" s="3">
        <v>4.1207777777777663E-2</v>
      </c>
    </row>
    <row r="1402" spans="7:8" x14ac:dyDescent="0.3">
      <c r="G1402" s="15">
        <v>3.8805555555555555</v>
      </c>
      <c r="H1402" s="3">
        <v>4.1203055555555437E-2</v>
      </c>
    </row>
    <row r="1403" spans="7:8" x14ac:dyDescent="0.3">
      <c r="G1403" s="15">
        <v>3.8833333333333333</v>
      </c>
      <c r="H1403" s="3">
        <v>4.1198333333333219E-2</v>
      </c>
    </row>
    <row r="1404" spans="7:8" x14ac:dyDescent="0.3">
      <c r="G1404" s="15">
        <v>3.8861111111111111</v>
      </c>
      <c r="H1404" s="3">
        <v>4.1193611111111E-2</v>
      </c>
    </row>
    <row r="1405" spans="7:8" x14ac:dyDescent="0.3">
      <c r="G1405" s="15">
        <v>3.8888888888888888</v>
      </c>
      <c r="H1405" s="3">
        <v>4.1188888888888775E-2</v>
      </c>
    </row>
    <row r="1406" spans="7:8" x14ac:dyDescent="0.3">
      <c r="G1406" s="15">
        <v>3.8916666666666666</v>
      </c>
      <c r="H1406" s="3">
        <v>4.118416666666655E-2</v>
      </c>
    </row>
    <row r="1407" spans="7:8" x14ac:dyDescent="0.3">
      <c r="G1407" s="15">
        <v>3.8944444444444444</v>
      </c>
      <c r="H1407" s="3">
        <v>4.1179444444444331E-2</v>
      </c>
    </row>
    <row r="1408" spans="7:8" x14ac:dyDescent="0.3">
      <c r="G1408" s="15">
        <v>3.8972222222222221</v>
      </c>
      <c r="H1408" s="3">
        <v>4.1174722222222113E-2</v>
      </c>
    </row>
    <row r="1409" spans="7:8" x14ac:dyDescent="0.3">
      <c r="G1409" s="15">
        <v>3.9</v>
      </c>
      <c r="H1409" s="3">
        <v>4.1169999999999887E-2</v>
      </c>
    </row>
    <row r="1410" spans="7:8" x14ac:dyDescent="0.3">
      <c r="G1410" s="15">
        <v>3.9027777777777777</v>
      </c>
      <c r="H1410" s="3">
        <v>4.1165277777777662E-2</v>
      </c>
    </row>
    <row r="1411" spans="7:8" x14ac:dyDescent="0.3">
      <c r="G1411" s="15">
        <v>3.9055555555555554</v>
      </c>
      <c r="H1411" s="3">
        <v>4.1160555555555443E-2</v>
      </c>
    </row>
    <row r="1412" spans="7:8" x14ac:dyDescent="0.3">
      <c r="G1412" s="15">
        <v>3.9083333333333332</v>
      </c>
      <c r="H1412" s="3">
        <v>4.1155833333333225E-2</v>
      </c>
    </row>
    <row r="1413" spans="7:8" x14ac:dyDescent="0.3">
      <c r="G1413" s="15">
        <v>3.911111111111111</v>
      </c>
      <c r="H1413" s="3">
        <v>4.1151111111111E-2</v>
      </c>
    </row>
    <row r="1414" spans="7:8" x14ac:dyDescent="0.3">
      <c r="G1414" s="15">
        <v>3.9138888888888888</v>
      </c>
      <c r="H1414" s="3">
        <v>4.1146388888888774E-2</v>
      </c>
    </row>
    <row r="1415" spans="7:8" x14ac:dyDescent="0.3">
      <c r="G1415" s="15">
        <v>3.9166666666666665</v>
      </c>
      <c r="H1415" s="3">
        <v>4.1141666666666556E-2</v>
      </c>
    </row>
    <row r="1416" spans="7:8" x14ac:dyDescent="0.3">
      <c r="G1416" s="15">
        <v>3.9194444444444443</v>
      </c>
      <c r="H1416" s="3">
        <v>4.1136944444444337E-2</v>
      </c>
    </row>
    <row r="1417" spans="7:8" x14ac:dyDescent="0.3">
      <c r="G1417" s="15">
        <v>3.9222222222222221</v>
      </c>
      <c r="H1417" s="3">
        <v>4.1132222222222112E-2</v>
      </c>
    </row>
    <row r="1418" spans="7:8" x14ac:dyDescent="0.3">
      <c r="G1418" s="15">
        <v>3.9249999999999998</v>
      </c>
      <c r="H1418" s="3">
        <v>4.1127499999999886E-2</v>
      </c>
    </row>
    <row r="1419" spans="7:8" x14ac:dyDescent="0.3">
      <c r="G1419" s="15">
        <v>3.9277777777777776</v>
      </c>
      <c r="H1419" s="3">
        <v>4.1122777777777668E-2</v>
      </c>
    </row>
    <row r="1420" spans="7:8" x14ac:dyDescent="0.3">
      <c r="G1420" s="15">
        <v>3.9305555555555554</v>
      </c>
      <c r="H1420" s="3">
        <v>4.1118055555555449E-2</v>
      </c>
    </row>
    <row r="1421" spans="7:8" x14ac:dyDescent="0.3">
      <c r="G1421" s="15">
        <v>3.9333333333333331</v>
      </c>
      <c r="H1421" s="3">
        <v>4.1113333333333224E-2</v>
      </c>
    </row>
    <row r="1422" spans="7:8" x14ac:dyDescent="0.3">
      <c r="G1422" s="15">
        <v>3.9361111111111109</v>
      </c>
      <c r="H1422" s="3">
        <v>4.1108611111110999E-2</v>
      </c>
    </row>
    <row r="1423" spans="7:8" x14ac:dyDescent="0.3">
      <c r="G1423" s="15">
        <v>3.9388888888888891</v>
      </c>
      <c r="H1423" s="3">
        <v>4.110388888888878E-2</v>
      </c>
    </row>
    <row r="1424" spans="7:8" x14ac:dyDescent="0.3">
      <c r="G1424" s="15">
        <v>3.9416666666666669</v>
      </c>
      <c r="H1424" s="3">
        <v>4.1099166666666562E-2</v>
      </c>
    </row>
    <row r="1425" spans="7:8" x14ac:dyDescent="0.3">
      <c r="G1425" s="15">
        <v>3.9444444444444446</v>
      </c>
      <c r="H1425" s="3">
        <v>4.1094444444444336E-2</v>
      </c>
    </row>
    <row r="1426" spans="7:8" x14ac:dyDescent="0.3">
      <c r="G1426" s="15">
        <v>3.9472222222222224</v>
      </c>
      <c r="H1426" s="3">
        <v>4.1089722222222111E-2</v>
      </c>
    </row>
    <row r="1427" spans="7:8" x14ac:dyDescent="0.3">
      <c r="G1427" s="15">
        <v>3.95</v>
      </c>
      <c r="H1427" s="3">
        <v>4.1084999999999892E-2</v>
      </c>
    </row>
    <row r="1428" spans="7:8" x14ac:dyDescent="0.3">
      <c r="G1428" s="15">
        <v>3.9527777777777779</v>
      </c>
      <c r="H1428" s="3">
        <v>4.1080277777777674E-2</v>
      </c>
    </row>
    <row r="1429" spans="7:8" x14ac:dyDescent="0.3">
      <c r="G1429" s="15">
        <v>3.9555555555555557</v>
      </c>
      <c r="H1429" s="3">
        <v>4.1075555555555449E-2</v>
      </c>
    </row>
    <row r="1430" spans="7:8" x14ac:dyDescent="0.3">
      <c r="G1430" s="15">
        <v>3.9583333333333335</v>
      </c>
      <c r="H1430" s="3">
        <v>4.1070833333333223E-2</v>
      </c>
    </row>
    <row r="1431" spans="7:8" x14ac:dyDescent="0.3">
      <c r="G1431" s="15">
        <v>3.9611111111111112</v>
      </c>
      <c r="H1431" s="3">
        <v>4.1066111111111005E-2</v>
      </c>
    </row>
    <row r="1432" spans="7:8" x14ac:dyDescent="0.3">
      <c r="G1432" s="15">
        <v>3.963888888888889</v>
      </c>
      <c r="H1432" s="3">
        <v>4.1061388888888786E-2</v>
      </c>
    </row>
    <row r="1433" spans="7:8" x14ac:dyDescent="0.3">
      <c r="G1433" s="15">
        <v>3.9666666666666668</v>
      </c>
      <c r="H1433" s="3">
        <v>4.1056666666666561E-2</v>
      </c>
    </row>
    <row r="1434" spans="7:8" x14ac:dyDescent="0.3">
      <c r="G1434" s="15">
        <v>3.9694444444444446</v>
      </c>
      <c r="H1434" s="3">
        <v>4.1051944444444335E-2</v>
      </c>
    </row>
    <row r="1435" spans="7:8" x14ac:dyDescent="0.3">
      <c r="G1435" s="15">
        <v>3.9722222222222223</v>
      </c>
      <c r="H1435" s="3">
        <v>4.1047222222222117E-2</v>
      </c>
    </row>
    <row r="1436" spans="7:8" x14ac:dyDescent="0.3">
      <c r="G1436" s="15">
        <v>3.9750000000000001</v>
      </c>
      <c r="H1436" s="3">
        <v>4.1042499999999899E-2</v>
      </c>
    </row>
    <row r="1437" spans="7:8" x14ac:dyDescent="0.3">
      <c r="G1437" s="15">
        <v>3.9777777777777779</v>
      </c>
      <c r="H1437" s="3">
        <v>4.1037777777777673E-2</v>
      </c>
    </row>
    <row r="1438" spans="7:8" x14ac:dyDescent="0.3">
      <c r="G1438" s="15">
        <v>3.9805555555555556</v>
      </c>
      <c r="H1438" s="3">
        <v>4.1033055555555448E-2</v>
      </c>
    </row>
    <row r="1439" spans="7:8" x14ac:dyDescent="0.3">
      <c r="G1439" s="15">
        <v>3.9833333333333334</v>
      </c>
      <c r="H1439" s="3">
        <v>4.1028333333333229E-2</v>
      </c>
    </row>
    <row r="1440" spans="7:8" x14ac:dyDescent="0.3">
      <c r="G1440" s="15">
        <v>3.9861111111111112</v>
      </c>
      <c r="H1440" s="3">
        <v>4.1023611111111011E-2</v>
      </c>
    </row>
    <row r="1441" spans="7:8" x14ac:dyDescent="0.3">
      <c r="G1441" s="15">
        <v>3.9888888888888889</v>
      </c>
      <c r="H1441" s="3">
        <v>4.1018888888888785E-2</v>
      </c>
    </row>
    <row r="1442" spans="7:8" x14ac:dyDescent="0.3">
      <c r="G1442" s="15">
        <v>3.9916666666666667</v>
      </c>
      <c r="H1442" s="3">
        <v>4.101416666666656E-2</v>
      </c>
    </row>
    <row r="1443" spans="7:8" x14ac:dyDescent="0.3">
      <c r="G1443" s="15">
        <v>3.9944444444444445</v>
      </c>
      <c r="H1443" s="3">
        <v>4.1009444444444342E-2</v>
      </c>
    </row>
    <row r="1444" spans="7:8" x14ac:dyDescent="0.3">
      <c r="G1444" s="15">
        <v>3.9972222222222222</v>
      </c>
      <c r="H1444" s="3">
        <v>4.1004722222222123E-2</v>
      </c>
    </row>
    <row r="1445" spans="7:8" x14ac:dyDescent="0.3">
      <c r="G1445" s="15">
        <v>4</v>
      </c>
      <c r="H1445" s="3">
        <v>4.0999999999999898E-2</v>
      </c>
    </row>
    <row r="1446" spans="7:8" x14ac:dyDescent="0.3">
      <c r="G1446" s="15">
        <v>4.0027777777777782</v>
      </c>
      <c r="H1446" s="3">
        <v>4.0995277777777672E-2</v>
      </c>
    </row>
    <row r="1447" spans="7:8" x14ac:dyDescent="0.3">
      <c r="G1447" s="15">
        <v>4.0055555555555555</v>
      </c>
      <c r="H1447" s="3">
        <v>4.0990555555555454E-2</v>
      </c>
    </row>
    <row r="1448" spans="7:8" x14ac:dyDescent="0.3">
      <c r="G1448" s="15">
        <v>4.0083333333333337</v>
      </c>
      <c r="H1448" s="3">
        <v>4.0985833333333235E-2</v>
      </c>
    </row>
    <row r="1449" spans="7:8" x14ac:dyDescent="0.3">
      <c r="G1449" s="15">
        <v>4.0111111111111111</v>
      </c>
      <c r="H1449" s="3">
        <v>4.098111111111101E-2</v>
      </c>
    </row>
    <row r="1450" spans="7:8" x14ac:dyDescent="0.3">
      <c r="G1450" s="15">
        <v>4.0138888888888893</v>
      </c>
      <c r="H1450" s="3">
        <v>4.0976388888888785E-2</v>
      </c>
    </row>
    <row r="1451" spans="7:8" x14ac:dyDescent="0.3">
      <c r="G1451" s="15">
        <v>4.0166666666666666</v>
      </c>
      <c r="H1451" s="3">
        <v>4.0971666666666566E-2</v>
      </c>
    </row>
    <row r="1452" spans="7:8" x14ac:dyDescent="0.3">
      <c r="G1452" s="15">
        <v>4.0194444444444448</v>
      </c>
      <c r="H1452" s="3">
        <v>4.0966944444444348E-2</v>
      </c>
    </row>
    <row r="1453" spans="7:8" x14ac:dyDescent="0.3">
      <c r="G1453" s="15">
        <v>4.0222222222222221</v>
      </c>
      <c r="H1453" s="3">
        <v>4.0962222222222122E-2</v>
      </c>
    </row>
    <row r="1454" spans="7:8" x14ac:dyDescent="0.3">
      <c r="G1454" s="15">
        <v>4.0250000000000004</v>
      </c>
      <c r="H1454" s="3">
        <v>4.0957499999999897E-2</v>
      </c>
    </row>
    <row r="1455" spans="7:8" x14ac:dyDescent="0.3">
      <c r="G1455" s="15">
        <v>4.0277777777777777</v>
      </c>
      <c r="H1455" s="3">
        <v>4.0952777777777678E-2</v>
      </c>
    </row>
    <row r="1456" spans="7:8" x14ac:dyDescent="0.3">
      <c r="G1456" s="15">
        <v>4.0305555555555559</v>
      </c>
      <c r="H1456" s="3">
        <v>4.094805555555546E-2</v>
      </c>
    </row>
    <row r="1457" spans="7:8" x14ac:dyDescent="0.3">
      <c r="G1457" s="15">
        <v>4.0333333333333332</v>
      </c>
      <c r="H1457" s="3">
        <v>4.0943333333333234E-2</v>
      </c>
    </row>
    <row r="1458" spans="7:8" x14ac:dyDescent="0.3">
      <c r="G1458" s="15">
        <v>4.0361111111111114</v>
      </c>
      <c r="H1458" s="3">
        <v>4.0938611111111009E-2</v>
      </c>
    </row>
    <row r="1459" spans="7:8" x14ac:dyDescent="0.3">
      <c r="G1459" s="15">
        <v>4.0388888888888888</v>
      </c>
      <c r="H1459" s="3">
        <v>4.0933888888888791E-2</v>
      </c>
    </row>
    <row r="1460" spans="7:8" x14ac:dyDescent="0.3">
      <c r="G1460" s="15">
        <v>4.041666666666667</v>
      </c>
      <c r="H1460" s="3">
        <v>4.0929166666666572E-2</v>
      </c>
    </row>
    <row r="1461" spans="7:8" x14ac:dyDescent="0.3">
      <c r="G1461" s="15">
        <v>4.0444444444444443</v>
      </c>
      <c r="H1461" s="3">
        <v>4.0924444444444347E-2</v>
      </c>
    </row>
    <row r="1462" spans="7:8" x14ac:dyDescent="0.3">
      <c r="G1462" s="15">
        <v>4.0472222222222225</v>
      </c>
      <c r="H1462" s="3">
        <v>4.0919722222222121E-2</v>
      </c>
    </row>
    <row r="1463" spans="7:8" x14ac:dyDescent="0.3">
      <c r="G1463" s="15">
        <v>4.05</v>
      </c>
      <c r="H1463" s="3">
        <v>4.0914999999999903E-2</v>
      </c>
    </row>
    <row r="1464" spans="7:8" x14ac:dyDescent="0.3">
      <c r="G1464" s="15">
        <v>4.052777777777778</v>
      </c>
      <c r="H1464" s="3">
        <v>4.0910277777777684E-2</v>
      </c>
    </row>
    <row r="1465" spans="7:8" x14ac:dyDescent="0.3">
      <c r="G1465" s="15">
        <v>4.0555555555555554</v>
      </c>
      <c r="H1465" s="3">
        <v>4.0905555555555459E-2</v>
      </c>
    </row>
    <row r="1466" spans="7:8" x14ac:dyDescent="0.3">
      <c r="G1466" s="15">
        <v>4.0583333333333336</v>
      </c>
      <c r="H1466" s="3">
        <v>4.0900833333333234E-2</v>
      </c>
    </row>
    <row r="1467" spans="7:8" x14ac:dyDescent="0.3">
      <c r="G1467" s="15">
        <v>4.0611111111111109</v>
      </c>
      <c r="H1467" s="3">
        <v>4.0896111111111015E-2</v>
      </c>
    </row>
    <row r="1468" spans="7:8" x14ac:dyDescent="0.3">
      <c r="G1468" s="15">
        <v>4.0638888888888891</v>
      </c>
      <c r="H1468" s="3">
        <v>4.0891388888888797E-2</v>
      </c>
    </row>
    <row r="1469" spans="7:8" x14ac:dyDescent="0.3">
      <c r="G1469" s="15">
        <v>4.0666666666666664</v>
      </c>
      <c r="H1469" s="3">
        <v>4.0886666666666571E-2</v>
      </c>
    </row>
    <row r="1470" spans="7:8" x14ac:dyDescent="0.3">
      <c r="G1470" s="15">
        <v>4.0694444444444446</v>
      </c>
      <c r="H1470" s="3">
        <v>4.0881944444444346E-2</v>
      </c>
    </row>
    <row r="1471" spans="7:8" x14ac:dyDescent="0.3">
      <c r="G1471" s="15">
        <v>4.072222222222222</v>
      </c>
      <c r="H1471" s="3">
        <v>4.0877222222222127E-2</v>
      </c>
    </row>
    <row r="1472" spans="7:8" x14ac:dyDescent="0.3">
      <c r="G1472" s="15">
        <v>4.0750000000000002</v>
      </c>
      <c r="H1472" s="3">
        <v>4.0872499999999909E-2</v>
      </c>
    </row>
    <row r="1473" spans="7:8" x14ac:dyDescent="0.3">
      <c r="G1473" s="15">
        <v>4.0777777777777775</v>
      </c>
      <c r="H1473" s="3">
        <v>4.0867777777777684E-2</v>
      </c>
    </row>
    <row r="1474" spans="7:8" x14ac:dyDescent="0.3">
      <c r="G1474" s="15">
        <v>4.0805555555555557</v>
      </c>
      <c r="H1474" s="3">
        <v>4.0863055555555458E-2</v>
      </c>
    </row>
    <row r="1475" spans="7:8" x14ac:dyDescent="0.3">
      <c r="G1475" s="15">
        <v>4.083333333333333</v>
      </c>
      <c r="H1475" s="3">
        <v>4.085833333333324E-2</v>
      </c>
    </row>
    <row r="1476" spans="7:8" x14ac:dyDescent="0.3">
      <c r="G1476" s="15">
        <v>4.0861111111111112</v>
      </c>
      <c r="H1476" s="3">
        <v>4.0853611111111021E-2</v>
      </c>
    </row>
    <row r="1477" spans="7:8" x14ac:dyDescent="0.3">
      <c r="G1477" s="15">
        <v>4.0888888888888886</v>
      </c>
      <c r="H1477" s="3">
        <v>4.0848888888888796E-2</v>
      </c>
    </row>
    <row r="1478" spans="7:8" x14ac:dyDescent="0.3">
      <c r="G1478" s="15">
        <v>4.0916666666666668</v>
      </c>
      <c r="H1478" s="3">
        <v>4.084416666666657E-2</v>
      </c>
    </row>
    <row r="1479" spans="7:8" x14ac:dyDescent="0.3">
      <c r="G1479" s="15">
        <v>4.0944444444444441</v>
      </c>
      <c r="H1479" s="3">
        <v>4.0839444444444352E-2</v>
      </c>
    </row>
    <row r="1480" spans="7:8" x14ac:dyDescent="0.3">
      <c r="G1480" s="15">
        <v>4.0972222222222223</v>
      </c>
      <c r="H1480" s="3">
        <v>4.0834722222222133E-2</v>
      </c>
    </row>
    <row r="1481" spans="7:8" x14ac:dyDescent="0.3">
      <c r="G1481" s="15">
        <v>4.0999999999999996</v>
      </c>
      <c r="H1481" s="3">
        <v>4.0829999999999908E-2</v>
      </c>
    </row>
    <row r="1482" spans="7:8" x14ac:dyDescent="0.3">
      <c r="G1482" s="15">
        <v>4.1027777777777779</v>
      </c>
      <c r="H1482" s="3">
        <v>4.0825277777777683E-2</v>
      </c>
    </row>
    <row r="1483" spans="7:8" x14ac:dyDescent="0.3">
      <c r="G1483" s="15">
        <v>4.1055555555555552</v>
      </c>
      <c r="H1483" s="3">
        <v>4.0820555555555464E-2</v>
      </c>
    </row>
    <row r="1484" spans="7:8" x14ac:dyDescent="0.3">
      <c r="G1484" s="15">
        <v>4.1083333333333334</v>
      </c>
      <c r="H1484" s="3">
        <v>4.0815833333333246E-2</v>
      </c>
    </row>
    <row r="1485" spans="7:8" x14ac:dyDescent="0.3">
      <c r="G1485" s="15">
        <v>4.1111111111111107</v>
      </c>
      <c r="H1485" s="3">
        <v>4.081111111111102E-2</v>
      </c>
    </row>
    <row r="1486" spans="7:8" x14ac:dyDescent="0.3">
      <c r="G1486" s="15">
        <v>4.1138888888888889</v>
      </c>
      <c r="H1486" s="3">
        <v>4.0806388888888795E-2</v>
      </c>
    </row>
    <row r="1487" spans="7:8" x14ac:dyDescent="0.3">
      <c r="G1487" s="15">
        <v>4.1166666666666663</v>
      </c>
      <c r="H1487" s="3">
        <v>4.0801666666666576E-2</v>
      </c>
    </row>
    <row r="1488" spans="7:8" x14ac:dyDescent="0.3">
      <c r="G1488" s="15">
        <v>4.1194444444444445</v>
      </c>
      <c r="H1488" s="3">
        <v>4.0796944444444358E-2</v>
      </c>
    </row>
    <row r="1489" spans="7:8" x14ac:dyDescent="0.3">
      <c r="G1489" s="15">
        <v>4.1222222222222218</v>
      </c>
      <c r="H1489" s="3">
        <v>4.0792222222222133E-2</v>
      </c>
    </row>
    <row r="1490" spans="7:8" x14ac:dyDescent="0.3">
      <c r="G1490" s="15">
        <v>4.125</v>
      </c>
      <c r="H1490" s="3">
        <v>4.0787499999999907E-2</v>
      </c>
    </row>
    <row r="1491" spans="7:8" x14ac:dyDescent="0.3">
      <c r="G1491" s="15">
        <v>4.1277777777777782</v>
      </c>
      <c r="H1491" s="3">
        <v>4.0782777777777689E-2</v>
      </c>
    </row>
    <row r="1492" spans="7:8" x14ac:dyDescent="0.3">
      <c r="G1492" s="15">
        <v>4.1305555555555555</v>
      </c>
      <c r="H1492" s="3">
        <v>4.077805555555547E-2</v>
      </c>
    </row>
    <row r="1493" spans="7:8" x14ac:dyDescent="0.3">
      <c r="G1493" s="15">
        <v>4.1333333333333337</v>
      </c>
      <c r="H1493" s="3">
        <v>4.0773333333333245E-2</v>
      </c>
    </row>
    <row r="1494" spans="7:8" x14ac:dyDescent="0.3">
      <c r="G1494" s="15">
        <v>4.1361111111111111</v>
      </c>
      <c r="H1494" s="3">
        <v>4.0768611111111019E-2</v>
      </c>
    </row>
    <row r="1495" spans="7:8" x14ac:dyDescent="0.3">
      <c r="G1495" s="15">
        <v>4.1388888888888893</v>
      </c>
      <c r="H1495" s="3">
        <v>4.0763888888888801E-2</v>
      </c>
    </row>
    <row r="1496" spans="7:8" x14ac:dyDescent="0.3">
      <c r="G1496" s="15">
        <v>4.1416666666666666</v>
      </c>
      <c r="H1496" s="3">
        <v>4.0759166666666583E-2</v>
      </c>
    </row>
    <row r="1497" spans="7:8" x14ac:dyDescent="0.3">
      <c r="G1497" s="15">
        <v>4.1444444444444448</v>
      </c>
      <c r="H1497" s="3">
        <v>4.0754444444444357E-2</v>
      </c>
    </row>
    <row r="1498" spans="7:8" x14ac:dyDescent="0.3">
      <c r="G1498" s="15">
        <v>4.1472222222222221</v>
      </c>
      <c r="H1498" s="3">
        <v>4.0749722222222132E-2</v>
      </c>
    </row>
    <row r="1499" spans="7:8" x14ac:dyDescent="0.3">
      <c r="G1499" s="15">
        <v>4.1500000000000004</v>
      </c>
      <c r="H1499" s="3">
        <v>4.0744999999999913E-2</v>
      </c>
    </row>
    <row r="1500" spans="7:8" x14ac:dyDescent="0.3">
      <c r="G1500" s="15">
        <v>4.1527777777777777</v>
      </c>
      <c r="H1500" s="3">
        <v>4.0740277777777695E-2</v>
      </c>
    </row>
    <row r="1501" spans="7:8" x14ac:dyDescent="0.3">
      <c r="G1501" s="15">
        <v>4.1555555555555559</v>
      </c>
      <c r="H1501" s="3">
        <v>4.0735555555555469E-2</v>
      </c>
    </row>
    <row r="1502" spans="7:8" x14ac:dyDescent="0.3">
      <c r="G1502" s="15">
        <v>4.1583333333333332</v>
      </c>
      <c r="H1502" s="3">
        <v>4.0730833333333244E-2</v>
      </c>
    </row>
    <row r="1503" spans="7:8" x14ac:dyDescent="0.3">
      <c r="G1503" s="15">
        <v>4.1611111111111114</v>
      </c>
      <c r="H1503" s="3">
        <v>4.0726111111111025E-2</v>
      </c>
    </row>
    <row r="1504" spans="7:8" x14ac:dyDescent="0.3">
      <c r="G1504" s="15">
        <v>4.1638888888888888</v>
      </c>
      <c r="H1504" s="3">
        <v>4.0721388888888807E-2</v>
      </c>
    </row>
    <row r="1505" spans="7:8" x14ac:dyDescent="0.3">
      <c r="G1505" s="15">
        <v>4.166666666666667</v>
      </c>
      <c r="H1505" s="3">
        <v>4.0716666666666582E-2</v>
      </c>
    </row>
    <row r="1506" spans="7:8" x14ac:dyDescent="0.3">
      <c r="G1506" s="15">
        <v>4.1694444444444443</v>
      </c>
      <c r="H1506" s="3">
        <v>4.0711944444444356E-2</v>
      </c>
    </row>
    <row r="1507" spans="7:8" x14ac:dyDescent="0.3">
      <c r="G1507" s="15">
        <v>4.1722222222222225</v>
      </c>
      <c r="H1507" s="3">
        <v>4.0707222222222138E-2</v>
      </c>
    </row>
    <row r="1508" spans="7:8" x14ac:dyDescent="0.3">
      <c r="G1508" s="15">
        <v>4.1749999999999998</v>
      </c>
      <c r="H1508" s="3">
        <v>4.0702499999999919E-2</v>
      </c>
    </row>
    <row r="1509" spans="7:8" x14ac:dyDescent="0.3">
      <c r="G1509" s="15">
        <v>4.177777777777778</v>
      </c>
      <c r="H1509" s="3">
        <v>4.0697777777777694E-2</v>
      </c>
    </row>
    <row r="1510" spans="7:8" x14ac:dyDescent="0.3">
      <c r="G1510" s="15">
        <v>4.1805555555555554</v>
      </c>
      <c r="H1510" s="3">
        <v>4.0693055555555468E-2</v>
      </c>
    </row>
    <row r="1511" spans="7:8" x14ac:dyDescent="0.3">
      <c r="G1511" s="15">
        <v>4.1833333333333336</v>
      </c>
      <c r="H1511" s="3">
        <v>4.068833333333325E-2</v>
      </c>
    </row>
    <row r="1512" spans="7:8" x14ac:dyDescent="0.3">
      <c r="G1512" s="15">
        <v>4.1861111111111109</v>
      </c>
      <c r="H1512" s="3">
        <v>4.0683611111111032E-2</v>
      </c>
    </row>
    <row r="1513" spans="7:8" x14ac:dyDescent="0.3">
      <c r="G1513" s="15">
        <v>4.1888888888888891</v>
      </c>
      <c r="H1513" s="3">
        <v>4.0678888888888806E-2</v>
      </c>
    </row>
    <row r="1514" spans="7:8" x14ac:dyDescent="0.3">
      <c r="G1514" s="15">
        <v>4.1916666666666664</v>
      </c>
      <c r="H1514" s="3">
        <v>4.0674166666666581E-2</v>
      </c>
    </row>
    <row r="1515" spans="7:8" x14ac:dyDescent="0.3">
      <c r="G1515" s="15">
        <v>4.1944444444444446</v>
      </c>
      <c r="H1515" s="3">
        <v>4.0669444444444362E-2</v>
      </c>
    </row>
    <row r="1516" spans="7:8" x14ac:dyDescent="0.3">
      <c r="G1516" s="15">
        <v>4.197222222222222</v>
      </c>
      <c r="H1516" s="3">
        <v>4.0664722222222144E-2</v>
      </c>
    </row>
    <row r="1517" spans="7:8" x14ac:dyDescent="0.3">
      <c r="G1517" s="15">
        <v>4.2</v>
      </c>
      <c r="H1517" s="3">
        <v>4.0659999999999918E-2</v>
      </c>
    </row>
    <row r="1518" spans="7:8" x14ac:dyDescent="0.3">
      <c r="G1518" s="15">
        <v>4.2027777777777775</v>
      </c>
      <c r="H1518" s="3">
        <v>4.0655277777777693E-2</v>
      </c>
    </row>
    <row r="1519" spans="7:8" x14ac:dyDescent="0.3">
      <c r="G1519" s="15">
        <v>4.2055555555555557</v>
      </c>
      <c r="H1519" s="3">
        <v>4.0650555555555475E-2</v>
      </c>
    </row>
    <row r="1520" spans="7:8" x14ac:dyDescent="0.3">
      <c r="G1520" s="15">
        <v>4.208333333333333</v>
      </c>
      <c r="H1520" s="3">
        <v>4.0645833333333256E-2</v>
      </c>
    </row>
    <row r="1521" spans="7:8" x14ac:dyDescent="0.3">
      <c r="G1521" s="15">
        <v>4.2111111111111112</v>
      </c>
      <c r="H1521" s="3">
        <v>4.0641111111111031E-2</v>
      </c>
    </row>
    <row r="1522" spans="7:8" x14ac:dyDescent="0.3">
      <c r="G1522" s="15">
        <v>4.2138888888888886</v>
      </c>
      <c r="H1522" s="3">
        <v>4.0636388888888805E-2</v>
      </c>
    </row>
    <row r="1523" spans="7:8" x14ac:dyDescent="0.3">
      <c r="G1523" s="15">
        <v>4.2166666666666668</v>
      </c>
      <c r="H1523" s="3">
        <v>4.0631666666666587E-2</v>
      </c>
    </row>
    <row r="1524" spans="7:8" x14ac:dyDescent="0.3">
      <c r="G1524" s="15">
        <v>4.2194444444444441</v>
      </c>
      <c r="H1524" s="3">
        <v>4.0626944444444368E-2</v>
      </c>
    </row>
    <row r="1525" spans="7:8" x14ac:dyDescent="0.3">
      <c r="G1525" s="15">
        <v>4.2222222222222223</v>
      </c>
      <c r="H1525" s="3">
        <v>4.0622222222222143E-2</v>
      </c>
    </row>
    <row r="1526" spans="7:8" x14ac:dyDescent="0.3">
      <c r="G1526" s="15">
        <v>4.2249999999999996</v>
      </c>
      <c r="H1526" s="3">
        <v>4.0617499999999918E-2</v>
      </c>
    </row>
    <row r="1527" spans="7:8" x14ac:dyDescent="0.3">
      <c r="G1527" s="15">
        <v>4.2277777777777779</v>
      </c>
      <c r="H1527" s="3">
        <v>4.0612777777777699E-2</v>
      </c>
    </row>
    <row r="1528" spans="7:8" x14ac:dyDescent="0.3">
      <c r="G1528" s="15">
        <v>4.2305555555555552</v>
      </c>
      <c r="H1528" s="3">
        <v>4.0608055555555481E-2</v>
      </c>
    </row>
    <row r="1529" spans="7:8" x14ac:dyDescent="0.3">
      <c r="G1529" s="15">
        <v>4.2333333333333334</v>
      </c>
      <c r="H1529" s="3">
        <v>4.0603333333333255E-2</v>
      </c>
    </row>
    <row r="1530" spans="7:8" x14ac:dyDescent="0.3">
      <c r="G1530" s="15">
        <v>4.2361111111111107</v>
      </c>
      <c r="H1530" s="3">
        <v>4.059861111111103E-2</v>
      </c>
    </row>
    <row r="1531" spans="7:8" x14ac:dyDescent="0.3">
      <c r="G1531" s="15">
        <v>4.2388888888888889</v>
      </c>
      <c r="H1531" s="3">
        <v>4.0593888888888811E-2</v>
      </c>
    </row>
    <row r="1532" spans="7:8" x14ac:dyDescent="0.3">
      <c r="G1532" s="15">
        <v>4.2416666666666663</v>
      </c>
      <c r="H1532" s="3">
        <v>4.0589166666666593E-2</v>
      </c>
    </row>
    <row r="1533" spans="7:8" x14ac:dyDescent="0.3">
      <c r="G1533" s="15">
        <v>4.2444444444444445</v>
      </c>
      <c r="H1533" s="3">
        <v>4.0584444444444367E-2</v>
      </c>
    </row>
    <row r="1534" spans="7:8" x14ac:dyDescent="0.3">
      <c r="G1534" s="15">
        <v>4.2472222222222218</v>
      </c>
      <c r="H1534" s="3">
        <v>4.0579722222222142E-2</v>
      </c>
    </row>
    <row r="1535" spans="7:8" x14ac:dyDescent="0.3">
      <c r="G1535" s="15">
        <v>4.25</v>
      </c>
      <c r="H1535" s="3">
        <v>4.0574999999999924E-2</v>
      </c>
    </row>
    <row r="1536" spans="7:8" x14ac:dyDescent="0.3">
      <c r="G1536" s="15">
        <v>4.2527777777777782</v>
      </c>
      <c r="H1536" s="3">
        <v>4.0570277777777705E-2</v>
      </c>
    </row>
    <row r="1537" spans="7:8" x14ac:dyDescent="0.3">
      <c r="G1537" s="15">
        <v>4.2555555555555555</v>
      </c>
      <c r="H1537" s="3">
        <v>4.056555555555548E-2</v>
      </c>
    </row>
    <row r="1538" spans="7:8" x14ac:dyDescent="0.3">
      <c r="G1538" s="15">
        <v>4.2583333333333337</v>
      </c>
      <c r="H1538" s="3">
        <v>4.0560833333333254E-2</v>
      </c>
    </row>
    <row r="1539" spans="7:8" x14ac:dyDescent="0.3">
      <c r="G1539" s="15">
        <v>4.2611111111111111</v>
      </c>
      <c r="H1539" s="3">
        <v>4.0556111111111036E-2</v>
      </c>
    </row>
    <row r="1540" spans="7:8" x14ac:dyDescent="0.3">
      <c r="G1540" s="15">
        <v>4.2638888888888893</v>
      </c>
      <c r="H1540" s="3">
        <v>4.0551388888888817E-2</v>
      </c>
    </row>
    <row r="1541" spans="7:8" x14ac:dyDescent="0.3">
      <c r="G1541" s="15">
        <v>4.2666666666666666</v>
      </c>
      <c r="H1541" s="3">
        <v>4.0546666666666592E-2</v>
      </c>
    </row>
    <row r="1542" spans="7:8" x14ac:dyDescent="0.3">
      <c r="G1542" s="15">
        <v>4.2694444444444448</v>
      </c>
      <c r="H1542" s="3">
        <v>4.0541944444444367E-2</v>
      </c>
    </row>
    <row r="1543" spans="7:8" x14ac:dyDescent="0.3">
      <c r="G1543" s="15">
        <v>4.2722222222222221</v>
      </c>
      <c r="H1543" s="3">
        <v>4.0537222222222148E-2</v>
      </c>
    </row>
    <row r="1544" spans="7:8" x14ac:dyDescent="0.3">
      <c r="G1544" s="15">
        <v>4.2750000000000004</v>
      </c>
      <c r="H1544" s="3">
        <v>4.053249999999993E-2</v>
      </c>
    </row>
    <row r="1545" spans="7:8" x14ac:dyDescent="0.3">
      <c r="G1545" s="15">
        <v>4.2777777777777777</v>
      </c>
      <c r="H1545" s="3">
        <v>4.0527777777777704E-2</v>
      </c>
    </row>
    <row r="1546" spans="7:8" x14ac:dyDescent="0.3">
      <c r="G1546" s="15">
        <v>4.2805555555555559</v>
      </c>
      <c r="H1546" s="3">
        <v>4.0523055555555479E-2</v>
      </c>
    </row>
    <row r="1547" spans="7:8" x14ac:dyDescent="0.3">
      <c r="G1547" s="15">
        <v>4.2833333333333332</v>
      </c>
      <c r="H1547" s="3">
        <v>4.051833333333326E-2</v>
      </c>
    </row>
    <row r="1548" spans="7:8" x14ac:dyDescent="0.3">
      <c r="G1548" s="15">
        <v>4.2861111111111114</v>
      </c>
      <c r="H1548" s="3">
        <v>4.0513611111111042E-2</v>
      </c>
    </row>
    <row r="1549" spans="7:8" x14ac:dyDescent="0.3">
      <c r="G1549" s="15">
        <v>4.2888888888888888</v>
      </c>
      <c r="H1549" s="3">
        <v>4.0508888888888817E-2</v>
      </c>
    </row>
    <row r="1550" spans="7:8" x14ac:dyDescent="0.3">
      <c r="G1550" s="15">
        <v>4.291666666666667</v>
      </c>
      <c r="H1550" s="3">
        <v>4.0504166666666591E-2</v>
      </c>
    </row>
    <row r="1551" spans="7:8" x14ac:dyDescent="0.3">
      <c r="G1551" s="15">
        <v>4.2944444444444443</v>
      </c>
      <c r="H1551" s="3">
        <v>4.0499444444444373E-2</v>
      </c>
    </row>
    <row r="1552" spans="7:8" x14ac:dyDescent="0.3">
      <c r="G1552" s="15">
        <v>4.2972222222222225</v>
      </c>
      <c r="H1552" s="3">
        <v>4.0494722222222154E-2</v>
      </c>
    </row>
    <row r="1553" spans="7:8" x14ac:dyDescent="0.3">
      <c r="G1553" s="15">
        <v>4.3</v>
      </c>
      <c r="H1553" s="3">
        <v>4.0489999999999929E-2</v>
      </c>
    </row>
    <row r="1554" spans="7:8" x14ac:dyDescent="0.3">
      <c r="G1554" s="15">
        <v>4.302777777777778</v>
      </c>
      <c r="H1554" s="3">
        <v>4.0485277777777703E-2</v>
      </c>
    </row>
    <row r="1555" spans="7:8" x14ac:dyDescent="0.3">
      <c r="G1555" s="15">
        <v>4.3055555555555554</v>
      </c>
      <c r="H1555" s="3">
        <v>4.0480555555555485E-2</v>
      </c>
    </row>
    <row r="1556" spans="7:8" x14ac:dyDescent="0.3">
      <c r="G1556" s="15">
        <v>4.3083333333333336</v>
      </c>
      <c r="H1556" s="3">
        <v>4.0475833333333266E-2</v>
      </c>
    </row>
    <row r="1557" spans="7:8" x14ac:dyDescent="0.3">
      <c r="G1557" s="15">
        <v>4.3111111111111109</v>
      </c>
      <c r="H1557" s="3">
        <v>4.0471111111111041E-2</v>
      </c>
    </row>
    <row r="1558" spans="7:8" x14ac:dyDescent="0.3">
      <c r="G1558" s="15">
        <v>4.3138888888888891</v>
      </c>
      <c r="H1558" s="3">
        <v>4.0466388888888816E-2</v>
      </c>
    </row>
    <row r="1559" spans="7:8" x14ac:dyDescent="0.3">
      <c r="G1559" s="15">
        <v>4.3166666666666664</v>
      </c>
      <c r="H1559" s="3">
        <v>4.0461666666666597E-2</v>
      </c>
    </row>
    <row r="1560" spans="7:8" x14ac:dyDescent="0.3">
      <c r="G1560" s="15">
        <v>4.3194444444444446</v>
      </c>
      <c r="H1560" s="3">
        <v>4.0456944444444379E-2</v>
      </c>
    </row>
    <row r="1561" spans="7:8" x14ac:dyDescent="0.3">
      <c r="G1561" s="15">
        <v>4.322222222222222</v>
      </c>
      <c r="H1561" s="3">
        <v>4.0452222222222153E-2</v>
      </c>
    </row>
    <row r="1562" spans="7:8" x14ac:dyDescent="0.3">
      <c r="G1562" s="15">
        <v>4.3250000000000002</v>
      </c>
      <c r="H1562" s="3">
        <v>4.0447499999999928E-2</v>
      </c>
    </row>
    <row r="1563" spans="7:8" x14ac:dyDescent="0.3">
      <c r="G1563" s="15">
        <v>4.3277777777777775</v>
      </c>
      <c r="H1563" s="3">
        <v>4.0442777777777709E-2</v>
      </c>
    </row>
    <row r="1564" spans="7:8" x14ac:dyDescent="0.3">
      <c r="G1564" s="15">
        <v>4.3305555555555557</v>
      </c>
      <c r="H1564" s="3">
        <v>4.0438055555555491E-2</v>
      </c>
    </row>
    <row r="1565" spans="7:8" x14ac:dyDescent="0.3">
      <c r="G1565" s="15">
        <v>4.333333333333333</v>
      </c>
      <c r="H1565" s="3">
        <v>4.0433333333333266E-2</v>
      </c>
    </row>
    <row r="1566" spans="7:8" x14ac:dyDescent="0.3">
      <c r="G1566" s="15">
        <v>4.3361111111111112</v>
      </c>
      <c r="H1566" s="3">
        <v>4.042861111111104E-2</v>
      </c>
    </row>
    <row r="1567" spans="7:8" x14ac:dyDescent="0.3">
      <c r="G1567" s="15">
        <v>4.3388888888888886</v>
      </c>
      <c r="H1567" s="3">
        <v>4.0423888888888822E-2</v>
      </c>
    </row>
    <row r="1568" spans="7:8" x14ac:dyDescent="0.3">
      <c r="G1568" s="15">
        <v>4.3416666666666668</v>
      </c>
      <c r="H1568" s="3">
        <v>4.0419166666666603E-2</v>
      </c>
    </row>
    <row r="1569" spans="7:8" x14ac:dyDescent="0.3">
      <c r="G1569" s="15">
        <v>4.3444444444444441</v>
      </c>
      <c r="H1569" s="3">
        <v>4.0414444444444378E-2</v>
      </c>
    </row>
    <row r="1570" spans="7:8" x14ac:dyDescent="0.3">
      <c r="G1570" s="15">
        <v>4.3472222222222223</v>
      </c>
      <c r="H1570" s="3">
        <v>4.0409722222222152E-2</v>
      </c>
    </row>
    <row r="1571" spans="7:8" x14ac:dyDescent="0.3">
      <c r="G1571" s="15">
        <v>4.3499999999999996</v>
      </c>
      <c r="H1571" s="3">
        <v>4.0404999999999934E-2</v>
      </c>
    </row>
    <row r="1572" spans="7:8" x14ac:dyDescent="0.3">
      <c r="G1572" s="15">
        <v>4.3527777777777779</v>
      </c>
      <c r="H1572" s="3">
        <v>4.0400277777777716E-2</v>
      </c>
    </row>
    <row r="1573" spans="7:8" x14ac:dyDescent="0.3">
      <c r="G1573" s="15">
        <v>4.3555555555555552</v>
      </c>
      <c r="H1573" s="3">
        <v>4.039555555555549E-2</v>
      </c>
    </row>
    <row r="1574" spans="7:8" x14ac:dyDescent="0.3">
      <c r="G1574" s="15">
        <v>4.3583333333333334</v>
      </c>
      <c r="H1574" s="3">
        <v>4.0390833333333265E-2</v>
      </c>
    </row>
    <row r="1575" spans="7:8" x14ac:dyDescent="0.3">
      <c r="G1575" s="15">
        <v>4.3611111111111107</v>
      </c>
      <c r="H1575" s="3">
        <v>4.0386111111111046E-2</v>
      </c>
    </row>
    <row r="1576" spans="7:8" x14ac:dyDescent="0.3">
      <c r="G1576" s="15">
        <v>4.3638888888888889</v>
      </c>
      <c r="H1576" s="3">
        <v>4.0381388888888828E-2</v>
      </c>
    </row>
    <row r="1577" spans="7:8" x14ac:dyDescent="0.3">
      <c r="G1577" s="15">
        <v>4.3666666666666663</v>
      </c>
      <c r="H1577" s="3">
        <v>4.0376666666666602E-2</v>
      </c>
    </row>
    <row r="1578" spans="7:8" x14ac:dyDescent="0.3">
      <c r="G1578" s="15">
        <v>4.3694444444444445</v>
      </c>
      <c r="H1578" s="3">
        <v>4.0371944444444377E-2</v>
      </c>
    </row>
    <row r="1579" spans="7:8" x14ac:dyDescent="0.3">
      <c r="G1579" s="15">
        <v>4.3722222222222218</v>
      </c>
      <c r="H1579" s="3">
        <v>4.0367222222222159E-2</v>
      </c>
    </row>
    <row r="1580" spans="7:8" x14ac:dyDescent="0.3">
      <c r="G1580" s="15">
        <v>4.375</v>
      </c>
      <c r="H1580" s="3">
        <v>4.036249999999994E-2</v>
      </c>
    </row>
    <row r="1581" spans="7:8" x14ac:dyDescent="0.3">
      <c r="G1581" s="15">
        <v>4.3777777777777782</v>
      </c>
      <c r="H1581" s="3">
        <v>4.0357777777777715E-2</v>
      </c>
    </row>
    <row r="1582" spans="7:8" x14ac:dyDescent="0.3">
      <c r="G1582" s="15">
        <v>4.3805555555555555</v>
      </c>
      <c r="H1582" s="3">
        <v>4.0353055555555489E-2</v>
      </c>
    </row>
    <row r="1583" spans="7:8" x14ac:dyDescent="0.3">
      <c r="G1583" s="15">
        <v>4.3833333333333337</v>
      </c>
      <c r="H1583" s="3">
        <v>4.0348333333333271E-2</v>
      </c>
    </row>
    <row r="1584" spans="7:8" x14ac:dyDescent="0.3">
      <c r="G1584" s="15">
        <v>4.3861111111111111</v>
      </c>
      <c r="H1584" s="3">
        <v>4.0343611111111052E-2</v>
      </c>
    </row>
    <row r="1585" spans="7:8" x14ac:dyDescent="0.3">
      <c r="G1585" s="15">
        <v>4.3888888888888893</v>
      </c>
      <c r="H1585" s="3">
        <v>4.0338888888888827E-2</v>
      </c>
    </row>
    <row r="1586" spans="7:8" x14ac:dyDescent="0.3">
      <c r="G1586" s="15">
        <v>4.3916666666666666</v>
      </c>
      <c r="H1586" s="3">
        <v>4.0334166666666602E-2</v>
      </c>
    </row>
    <row r="1587" spans="7:8" x14ac:dyDescent="0.3">
      <c r="G1587" s="15">
        <v>4.3944444444444448</v>
      </c>
      <c r="H1587" s="3">
        <v>4.0329444444444383E-2</v>
      </c>
    </row>
    <row r="1588" spans="7:8" x14ac:dyDescent="0.3">
      <c r="G1588" s="15">
        <v>4.3972222222222221</v>
      </c>
      <c r="H1588" s="3">
        <v>4.0324722222222165E-2</v>
      </c>
    </row>
    <row r="1589" spans="7:8" x14ac:dyDescent="0.3">
      <c r="G1589" s="15">
        <v>4.4000000000000004</v>
      </c>
      <c r="H1589" s="3">
        <v>4.0319999999999939E-2</v>
      </c>
    </row>
    <row r="1590" spans="7:8" x14ac:dyDescent="0.3">
      <c r="G1590" s="15">
        <v>4.4027777777777777</v>
      </c>
      <c r="H1590" s="3">
        <v>4.0315277777777714E-2</v>
      </c>
    </row>
    <row r="1591" spans="7:8" x14ac:dyDescent="0.3">
      <c r="G1591" s="15">
        <v>4.4055555555555559</v>
      </c>
      <c r="H1591" s="3">
        <v>4.0310555555555495E-2</v>
      </c>
    </row>
    <row r="1592" spans="7:8" x14ac:dyDescent="0.3">
      <c r="G1592" s="15">
        <v>4.4083333333333332</v>
      </c>
      <c r="H1592" s="3">
        <v>4.0305833333333277E-2</v>
      </c>
    </row>
    <row r="1593" spans="7:8" x14ac:dyDescent="0.3">
      <c r="G1593" s="15">
        <v>4.4111111111111114</v>
      </c>
      <c r="H1593" s="3">
        <v>4.0301111111111051E-2</v>
      </c>
    </row>
    <row r="1594" spans="7:8" x14ac:dyDescent="0.3">
      <c r="G1594" s="15">
        <v>4.4138888888888888</v>
      </c>
      <c r="H1594" s="3">
        <v>4.0296388888888826E-2</v>
      </c>
    </row>
    <row r="1595" spans="7:8" x14ac:dyDescent="0.3">
      <c r="G1595" s="15">
        <v>4.416666666666667</v>
      </c>
      <c r="H1595" s="3">
        <v>4.0291666666666608E-2</v>
      </c>
    </row>
    <row r="1596" spans="7:8" x14ac:dyDescent="0.3">
      <c r="G1596" s="15">
        <v>4.4194444444444443</v>
      </c>
      <c r="H1596" s="3">
        <v>4.0286944444444389E-2</v>
      </c>
    </row>
    <row r="1597" spans="7:8" x14ac:dyDescent="0.3">
      <c r="G1597" s="15">
        <v>4.4222222222222225</v>
      </c>
      <c r="H1597" s="3">
        <v>4.0282222222222164E-2</v>
      </c>
    </row>
    <row r="1598" spans="7:8" x14ac:dyDescent="0.3">
      <c r="G1598" s="15">
        <v>4.4249999999999998</v>
      </c>
      <c r="H1598" s="3">
        <v>4.0277499999999938E-2</v>
      </c>
    </row>
    <row r="1599" spans="7:8" x14ac:dyDescent="0.3">
      <c r="G1599" s="15">
        <v>4.427777777777778</v>
      </c>
      <c r="H1599" s="3">
        <v>4.027277777777772E-2</v>
      </c>
    </row>
    <row r="1600" spans="7:8" x14ac:dyDescent="0.3">
      <c r="G1600" s="15">
        <v>4.4305555555555554</v>
      </c>
      <c r="H1600" s="3">
        <v>4.0268055555555501E-2</v>
      </c>
    </row>
    <row r="1601" spans="7:8" x14ac:dyDescent="0.3">
      <c r="G1601" s="15">
        <v>4.4333333333333336</v>
      </c>
      <c r="H1601" s="3">
        <v>4.0263333333333276E-2</v>
      </c>
    </row>
    <row r="1602" spans="7:8" x14ac:dyDescent="0.3">
      <c r="G1602" s="15">
        <v>4.4361111111111109</v>
      </c>
      <c r="H1602" s="3">
        <v>4.0258611111111051E-2</v>
      </c>
    </row>
    <row r="1603" spans="7:8" x14ac:dyDescent="0.3">
      <c r="G1603" s="15">
        <v>4.4388888888888891</v>
      </c>
      <c r="H1603" s="3">
        <v>4.0253888888888832E-2</v>
      </c>
    </row>
    <row r="1604" spans="7:8" x14ac:dyDescent="0.3">
      <c r="G1604" s="15">
        <v>4.4416666666666664</v>
      </c>
      <c r="H1604" s="3">
        <v>4.0249166666666614E-2</v>
      </c>
    </row>
    <row r="1605" spans="7:8" x14ac:dyDescent="0.3">
      <c r="G1605" s="15">
        <v>4.4444444444444446</v>
      </c>
      <c r="H1605" s="3">
        <v>4.0244444444444388E-2</v>
      </c>
    </row>
    <row r="1606" spans="7:8" x14ac:dyDescent="0.3">
      <c r="G1606" s="15">
        <v>4.447222222222222</v>
      </c>
      <c r="H1606" s="3">
        <v>4.0239722222222163E-2</v>
      </c>
    </row>
    <row r="1607" spans="7:8" x14ac:dyDescent="0.3">
      <c r="G1607" s="15">
        <v>4.45</v>
      </c>
      <c r="H1607" s="3">
        <v>4.0234999999999944E-2</v>
      </c>
    </row>
    <row r="1608" spans="7:8" x14ac:dyDescent="0.3">
      <c r="G1608" s="15">
        <v>4.4527777777777775</v>
      </c>
      <c r="H1608" s="3">
        <v>4.0230277777777726E-2</v>
      </c>
    </row>
    <row r="1609" spans="7:8" x14ac:dyDescent="0.3">
      <c r="G1609" s="15">
        <v>4.4555555555555557</v>
      </c>
      <c r="H1609" s="3">
        <v>4.0225555555555501E-2</v>
      </c>
    </row>
    <row r="1610" spans="7:8" x14ac:dyDescent="0.3">
      <c r="G1610" s="15">
        <v>4.458333333333333</v>
      </c>
      <c r="H1610" s="3">
        <v>4.0220833333333275E-2</v>
      </c>
    </row>
    <row r="1611" spans="7:8" x14ac:dyDescent="0.3">
      <c r="G1611" s="15">
        <v>4.4611111111111112</v>
      </c>
      <c r="H1611" s="3">
        <v>4.0216111111111057E-2</v>
      </c>
    </row>
    <row r="1612" spans="7:8" x14ac:dyDescent="0.3">
      <c r="G1612" s="15">
        <v>4.4638888888888886</v>
      </c>
      <c r="H1612" s="3">
        <v>4.0211388888888838E-2</v>
      </c>
    </row>
    <row r="1613" spans="7:8" x14ac:dyDescent="0.3">
      <c r="G1613" s="15">
        <v>4.4666666666666668</v>
      </c>
      <c r="H1613" s="3">
        <v>4.0206666666666613E-2</v>
      </c>
    </row>
    <row r="1614" spans="7:8" x14ac:dyDescent="0.3">
      <c r="G1614" s="15">
        <v>4.4694444444444441</v>
      </c>
      <c r="H1614" s="3">
        <v>4.0201944444444387E-2</v>
      </c>
    </row>
    <row r="1615" spans="7:8" x14ac:dyDescent="0.3">
      <c r="G1615" s="15">
        <v>4.4722222222222223</v>
      </c>
      <c r="H1615" s="3">
        <v>4.0197222222222169E-2</v>
      </c>
    </row>
    <row r="1616" spans="7:8" x14ac:dyDescent="0.3">
      <c r="G1616" s="15">
        <v>4.4749999999999996</v>
      </c>
      <c r="H1616" s="3">
        <v>4.019249999999995E-2</v>
      </c>
    </row>
    <row r="1617" spans="7:8" x14ac:dyDescent="0.3">
      <c r="G1617" s="15">
        <v>4.4777777777777779</v>
      </c>
      <c r="H1617" s="3">
        <v>4.0187777777777725E-2</v>
      </c>
    </row>
    <row r="1618" spans="7:8" x14ac:dyDescent="0.3">
      <c r="G1618" s="15">
        <v>4.4805555555555552</v>
      </c>
      <c r="H1618" s="3">
        <v>4.01830555555555E-2</v>
      </c>
    </row>
    <row r="1619" spans="7:8" x14ac:dyDescent="0.3">
      <c r="G1619" s="15">
        <v>4.4833333333333334</v>
      </c>
      <c r="H1619" s="3">
        <v>4.0178333333333281E-2</v>
      </c>
    </row>
    <row r="1620" spans="7:8" x14ac:dyDescent="0.3">
      <c r="G1620" s="15">
        <v>4.4861111111111107</v>
      </c>
      <c r="H1620" s="3">
        <v>4.0173611111111063E-2</v>
      </c>
    </row>
    <row r="1621" spans="7:8" x14ac:dyDescent="0.3">
      <c r="G1621" s="15">
        <v>4.4888888888888889</v>
      </c>
      <c r="H1621" s="3">
        <v>4.0168888888888837E-2</v>
      </c>
    </row>
    <row r="1622" spans="7:8" x14ac:dyDescent="0.3">
      <c r="G1622" s="15">
        <v>4.4916666666666663</v>
      </c>
      <c r="H1622" s="3">
        <v>4.0164166666666612E-2</v>
      </c>
    </row>
    <row r="1623" spans="7:8" x14ac:dyDescent="0.3">
      <c r="G1623" s="15">
        <v>4.4944444444444445</v>
      </c>
      <c r="H1623" s="3">
        <v>4.0159444444444393E-2</v>
      </c>
    </row>
    <row r="1624" spans="7:8" x14ac:dyDescent="0.3">
      <c r="G1624" s="15">
        <v>4.4972222222222218</v>
      </c>
      <c r="H1624" s="3">
        <v>4.0154722222222175E-2</v>
      </c>
    </row>
    <row r="1625" spans="7:8" x14ac:dyDescent="0.3">
      <c r="G1625" s="15">
        <v>4.5</v>
      </c>
      <c r="H1625" s="3">
        <v>4.014999999999995E-2</v>
      </c>
    </row>
    <row r="1626" spans="7:8" x14ac:dyDescent="0.3">
      <c r="G1626" s="15">
        <v>4.5027777777777782</v>
      </c>
      <c r="H1626" s="3">
        <v>4.0145277777777724E-2</v>
      </c>
    </row>
    <row r="1627" spans="7:8" x14ac:dyDescent="0.3">
      <c r="G1627" s="15">
        <v>4.5055555555555555</v>
      </c>
      <c r="H1627" s="3">
        <v>4.0140555555555506E-2</v>
      </c>
    </row>
    <row r="1628" spans="7:8" x14ac:dyDescent="0.3">
      <c r="G1628" s="15">
        <v>4.5083333333333337</v>
      </c>
      <c r="H1628" s="3">
        <v>4.0135833333333287E-2</v>
      </c>
    </row>
    <row r="1629" spans="7:8" x14ac:dyDescent="0.3">
      <c r="G1629" s="15">
        <v>4.5111111111111111</v>
      </c>
      <c r="H1629" s="3">
        <v>4.0131111111111062E-2</v>
      </c>
    </row>
    <row r="1630" spans="7:8" x14ac:dyDescent="0.3">
      <c r="G1630" s="15">
        <v>4.5138888888888893</v>
      </c>
      <c r="H1630" s="3">
        <v>4.0126388888888836E-2</v>
      </c>
    </row>
    <row r="1631" spans="7:8" x14ac:dyDescent="0.3">
      <c r="G1631" s="15">
        <v>4.5166666666666666</v>
      </c>
      <c r="H1631" s="3">
        <v>4.0121666666666618E-2</v>
      </c>
    </row>
    <row r="1632" spans="7:8" x14ac:dyDescent="0.3">
      <c r="G1632" s="15">
        <v>4.5194444444444448</v>
      </c>
      <c r="H1632" s="3">
        <v>4.01169444444444E-2</v>
      </c>
    </row>
    <row r="1633" spans="7:8" x14ac:dyDescent="0.3">
      <c r="G1633" s="15">
        <v>4.5222222222222221</v>
      </c>
      <c r="H1633" s="3">
        <v>4.0112222222222174E-2</v>
      </c>
    </row>
    <row r="1634" spans="7:8" x14ac:dyDescent="0.3">
      <c r="G1634" s="15">
        <v>4.5250000000000004</v>
      </c>
      <c r="H1634" s="3">
        <v>4.0107499999999949E-2</v>
      </c>
    </row>
    <row r="1635" spans="7:8" x14ac:dyDescent="0.3">
      <c r="G1635" s="15">
        <v>4.5277777777777777</v>
      </c>
      <c r="H1635" s="3">
        <v>4.010277777777773E-2</v>
      </c>
    </row>
    <row r="1636" spans="7:8" x14ac:dyDescent="0.3">
      <c r="G1636" s="15">
        <v>4.5305555555555559</v>
      </c>
      <c r="H1636" s="3">
        <v>4.0098055555555512E-2</v>
      </c>
    </row>
    <row r="1637" spans="7:8" x14ac:dyDescent="0.3">
      <c r="G1637" s="15">
        <v>4.5333333333333332</v>
      </c>
      <c r="H1637" s="3">
        <v>4.0093333333333286E-2</v>
      </c>
    </row>
    <row r="1638" spans="7:8" x14ac:dyDescent="0.3">
      <c r="G1638" s="15">
        <v>4.5361111111111114</v>
      </c>
      <c r="H1638" s="3">
        <v>4.0088611111111061E-2</v>
      </c>
    </row>
    <row r="1639" spans="7:8" x14ac:dyDescent="0.3">
      <c r="G1639" s="15">
        <v>4.5388888888888888</v>
      </c>
      <c r="H1639" s="3">
        <v>4.0083888888888843E-2</v>
      </c>
    </row>
    <row r="1640" spans="7:8" x14ac:dyDescent="0.3">
      <c r="G1640" s="15">
        <v>4.541666666666667</v>
      </c>
      <c r="H1640" s="3">
        <v>4.0079166666666624E-2</v>
      </c>
    </row>
    <row r="1641" spans="7:8" x14ac:dyDescent="0.3">
      <c r="G1641" s="15">
        <v>4.5444444444444443</v>
      </c>
      <c r="H1641" s="3">
        <v>4.0074444444444399E-2</v>
      </c>
    </row>
    <row r="1642" spans="7:8" x14ac:dyDescent="0.3">
      <c r="G1642" s="15">
        <v>4.5472222222222225</v>
      </c>
      <c r="H1642" s="3">
        <v>4.0069722222222173E-2</v>
      </c>
    </row>
    <row r="1643" spans="7:8" x14ac:dyDescent="0.3">
      <c r="G1643" s="15">
        <v>4.55</v>
      </c>
      <c r="H1643" s="3">
        <v>4.0064999999999955E-2</v>
      </c>
    </row>
    <row r="1644" spans="7:8" x14ac:dyDescent="0.3">
      <c r="G1644" s="15">
        <v>4.552777777777778</v>
      </c>
      <c r="H1644" s="3">
        <v>4.0060277777777736E-2</v>
      </c>
    </row>
    <row r="1645" spans="7:8" x14ac:dyDescent="0.3">
      <c r="G1645" s="15">
        <v>4.5555555555555554</v>
      </c>
      <c r="H1645" s="3">
        <v>4.0055555555555511E-2</v>
      </c>
    </row>
    <row r="1646" spans="7:8" x14ac:dyDescent="0.3">
      <c r="G1646" s="15">
        <v>4.5583333333333336</v>
      </c>
      <c r="H1646" s="3">
        <v>4.0050833333333286E-2</v>
      </c>
    </row>
    <row r="1647" spans="7:8" x14ac:dyDescent="0.3">
      <c r="G1647" s="15">
        <v>4.5611111111111109</v>
      </c>
      <c r="H1647" s="3">
        <v>4.0046111111111067E-2</v>
      </c>
    </row>
    <row r="1648" spans="7:8" x14ac:dyDescent="0.3">
      <c r="G1648" s="15">
        <v>4.5638888888888891</v>
      </c>
      <c r="H1648" s="3">
        <v>4.0041388888888849E-2</v>
      </c>
    </row>
    <row r="1649" spans="7:8" x14ac:dyDescent="0.3">
      <c r="G1649" s="15">
        <v>4.5666666666666664</v>
      </c>
      <c r="H1649" s="3">
        <v>4.0036666666666623E-2</v>
      </c>
    </row>
    <row r="1650" spans="7:8" x14ac:dyDescent="0.3">
      <c r="G1650" s="15">
        <v>4.5694444444444446</v>
      </c>
      <c r="H1650" s="3">
        <v>4.0031944444444398E-2</v>
      </c>
    </row>
    <row r="1651" spans="7:8" x14ac:dyDescent="0.3">
      <c r="G1651" s="15">
        <v>4.572222222222222</v>
      </c>
      <c r="H1651" s="3">
        <v>4.0027222222222179E-2</v>
      </c>
    </row>
    <row r="1652" spans="7:8" x14ac:dyDescent="0.3">
      <c r="G1652" s="15">
        <v>4.5750000000000002</v>
      </c>
      <c r="H1652" s="3">
        <v>4.0022499999999961E-2</v>
      </c>
    </row>
    <row r="1653" spans="7:8" x14ac:dyDescent="0.3">
      <c r="G1653" s="15">
        <v>4.5777777777777775</v>
      </c>
      <c r="H1653" s="3">
        <v>4.0017777777777735E-2</v>
      </c>
    </row>
    <row r="1654" spans="7:8" x14ac:dyDescent="0.3">
      <c r="G1654" s="15">
        <v>4.5805555555555557</v>
      </c>
      <c r="H1654" s="3">
        <v>4.001305555555551E-2</v>
      </c>
    </row>
    <row r="1655" spans="7:8" x14ac:dyDescent="0.3">
      <c r="G1655" s="15">
        <v>4.583333333333333</v>
      </c>
      <c r="H1655" s="3">
        <v>4.0008333333333292E-2</v>
      </c>
    </row>
    <row r="1656" spans="7:8" x14ac:dyDescent="0.3">
      <c r="G1656" s="15">
        <v>4.5861111111111112</v>
      </c>
      <c r="H1656" s="3">
        <v>4.0003611111111073E-2</v>
      </c>
    </row>
    <row r="1657" spans="7:8" x14ac:dyDescent="0.3">
      <c r="G1657" s="15">
        <v>4.5888888888888886</v>
      </c>
      <c r="H1657" s="3">
        <v>3.9998888888888848E-2</v>
      </c>
    </row>
    <row r="1658" spans="7:8" x14ac:dyDescent="0.3">
      <c r="G1658" s="15">
        <v>4.5916666666666668</v>
      </c>
      <c r="H1658" s="3">
        <v>3.9994166666666622E-2</v>
      </c>
    </row>
    <row r="1659" spans="7:8" x14ac:dyDescent="0.3">
      <c r="G1659" s="15">
        <v>4.5944444444444441</v>
      </c>
      <c r="H1659" s="3">
        <v>3.9989444444444404E-2</v>
      </c>
    </row>
    <row r="1660" spans="7:8" x14ac:dyDescent="0.3">
      <c r="G1660" s="15">
        <v>4.5972222222222223</v>
      </c>
      <c r="H1660" s="3">
        <v>3.9984722222222185E-2</v>
      </c>
    </row>
    <row r="1661" spans="7:8" x14ac:dyDescent="0.3">
      <c r="G1661" s="15">
        <v>4.5999999999999996</v>
      </c>
      <c r="H1661" s="3">
        <v>3.997999999999996E-2</v>
      </c>
    </row>
    <row r="1662" spans="7:8" x14ac:dyDescent="0.3">
      <c r="G1662" s="15">
        <v>4.6027777777777779</v>
      </c>
      <c r="H1662" s="3">
        <v>3.9975277777777735E-2</v>
      </c>
    </row>
    <row r="1663" spans="7:8" x14ac:dyDescent="0.3">
      <c r="G1663" s="15">
        <v>4.6055555555555552</v>
      </c>
      <c r="H1663" s="3">
        <v>3.9970555555555516E-2</v>
      </c>
    </row>
    <row r="1664" spans="7:8" x14ac:dyDescent="0.3">
      <c r="G1664" s="15">
        <v>4.6083333333333334</v>
      </c>
      <c r="H1664" s="3">
        <v>3.9965833333333298E-2</v>
      </c>
    </row>
    <row r="1665" spans="7:8" x14ac:dyDescent="0.3">
      <c r="G1665" s="15">
        <v>4.6111111111111107</v>
      </c>
      <c r="H1665" s="3">
        <v>3.9961111111111072E-2</v>
      </c>
    </row>
    <row r="1666" spans="7:8" x14ac:dyDescent="0.3">
      <c r="G1666" s="15">
        <v>4.6138888888888889</v>
      </c>
      <c r="H1666" s="3">
        <v>3.9956388888888847E-2</v>
      </c>
    </row>
    <row r="1667" spans="7:8" x14ac:dyDescent="0.3">
      <c r="G1667" s="15">
        <v>4.6166666666666663</v>
      </c>
      <c r="H1667" s="3">
        <v>3.9951666666666628E-2</v>
      </c>
    </row>
    <row r="1668" spans="7:8" x14ac:dyDescent="0.3">
      <c r="G1668" s="15">
        <v>4.6194444444444445</v>
      </c>
      <c r="H1668" s="3">
        <v>3.994694444444441E-2</v>
      </c>
    </row>
    <row r="1669" spans="7:8" x14ac:dyDescent="0.3">
      <c r="G1669" s="15">
        <v>4.6222222222222218</v>
      </c>
      <c r="H1669" s="3">
        <v>3.9942222222222185E-2</v>
      </c>
    </row>
    <row r="1670" spans="7:8" x14ac:dyDescent="0.3">
      <c r="G1670" s="15">
        <v>4.625</v>
      </c>
      <c r="H1670" s="3">
        <v>3.9937499999999959E-2</v>
      </c>
    </row>
    <row r="1671" spans="7:8" x14ac:dyDescent="0.3">
      <c r="G1671" s="15">
        <v>4.6277777777777782</v>
      </c>
      <c r="H1671" s="3">
        <v>3.9932777777777741E-2</v>
      </c>
    </row>
    <row r="1672" spans="7:8" x14ac:dyDescent="0.3">
      <c r="G1672" s="15">
        <v>4.6305555555555555</v>
      </c>
      <c r="H1672" s="3">
        <v>3.9928055555555522E-2</v>
      </c>
    </row>
    <row r="1673" spans="7:8" x14ac:dyDescent="0.3">
      <c r="G1673" s="15">
        <v>4.6333333333333337</v>
      </c>
      <c r="H1673" s="3">
        <v>3.9923333333333297E-2</v>
      </c>
    </row>
    <row r="1674" spans="7:8" x14ac:dyDescent="0.3">
      <c r="G1674" s="15">
        <v>4.6361111111111111</v>
      </c>
      <c r="H1674" s="3">
        <v>3.9918611111111071E-2</v>
      </c>
    </row>
    <row r="1675" spans="7:8" x14ac:dyDescent="0.3">
      <c r="G1675" s="15">
        <v>4.6388888888888893</v>
      </c>
      <c r="H1675" s="3">
        <v>3.9913888888888853E-2</v>
      </c>
    </row>
    <row r="1676" spans="7:8" x14ac:dyDescent="0.3">
      <c r="G1676" s="15">
        <v>4.6416666666666666</v>
      </c>
      <c r="H1676" s="3">
        <v>3.9909166666666634E-2</v>
      </c>
    </row>
    <row r="1677" spans="7:8" x14ac:dyDescent="0.3">
      <c r="G1677" s="15">
        <v>4.6444444444444448</v>
      </c>
      <c r="H1677" s="3">
        <v>3.9904444444444409E-2</v>
      </c>
    </row>
    <row r="1678" spans="7:8" x14ac:dyDescent="0.3">
      <c r="G1678" s="15">
        <v>4.6472222222222221</v>
      </c>
      <c r="H1678" s="3">
        <v>3.9899722222222184E-2</v>
      </c>
    </row>
    <row r="1679" spans="7:8" x14ac:dyDescent="0.3">
      <c r="G1679" s="15">
        <v>4.6500000000000004</v>
      </c>
      <c r="H1679" s="3">
        <v>3.9894999999999965E-2</v>
      </c>
    </row>
    <row r="1680" spans="7:8" x14ac:dyDescent="0.3">
      <c r="G1680" s="15">
        <v>4.6527777777777777</v>
      </c>
      <c r="H1680" s="3">
        <v>3.9890277777777747E-2</v>
      </c>
    </row>
    <row r="1681" spans="7:8" x14ac:dyDescent="0.3">
      <c r="G1681" s="15">
        <v>4.6555555555555559</v>
      </c>
      <c r="H1681" s="3">
        <v>3.9885555555555521E-2</v>
      </c>
    </row>
    <row r="1682" spans="7:8" x14ac:dyDescent="0.3">
      <c r="G1682" s="15">
        <v>4.6583333333333332</v>
      </c>
      <c r="H1682" s="3">
        <v>3.9880833333333296E-2</v>
      </c>
    </row>
    <row r="1683" spans="7:8" x14ac:dyDescent="0.3">
      <c r="G1683" s="15">
        <v>4.6611111111111114</v>
      </c>
      <c r="H1683" s="3">
        <v>3.9876111111111077E-2</v>
      </c>
    </row>
    <row r="1684" spans="7:8" x14ac:dyDescent="0.3">
      <c r="G1684" s="15">
        <v>4.6638888888888888</v>
      </c>
      <c r="H1684" s="3">
        <v>3.9871388888888859E-2</v>
      </c>
    </row>
    <row r="1685" spans="7:8" x14ac:dyDescent="0.3">
      <c r="G1685" s="15">
        <v>4.666666666666667</v>
      </c>
      <c r="H1685" s="3">
        <v>3.9866666666666634E-2</v>
      </c>
    </row>
    <row r="1686" spans="7:8" x14ac:dyDescent="0.3">
      <c r="G1686" s="15">
        <v>4.6694444444444443</v>
      </c>
      <c r="H1686" s="3">
        <v>3.9861944444444408E-2</v>
      </c>
    </row>
    <row r="1687" spans="7:8" x14ac:dyDescent="0.3">
      <c r="G1687" s="15">
        <v>4.6722222222222225</v>
      </c>
      <c r="H1687" s="3">
        <v>3.985722222222219E-2</v>
      </c>
    </row>
    <row r="1688" spans="7:8" x14ac:dyDescent="0.3">
      <c r="G1688" s="15">
        <v>4.6749999999999998</v>
      </c>
      <c r="H1688" s="3">
        <v>3.9852499999999971E-2</v>
      </c>
    </row>
    <row r="1689" spans="7:8" x14ac:dyDescent="0.3">
      <c r="G1689" s="15">
        <v>4.677777777777778</v>
      </c>
      <c r="H1689" s="3">
        <v>3.9847777777777746E-2</v>
      </c>
    </row>
    <row r="1690" spans="7:8" x14ac:dyDescent="0.3">
      <c r="G1690" s="15">
        <v>4.6805555555555554</v>
      </c>
      <c r="H1690" s="3">
        <v>3.984305555555552E-2</v>
      </c>
    </row>
    <row r="1691" spans="7:8" x14ac:dyDescent="0.3">
      <c r="G1691" s="15">
        <v>4.6833333333333336</v>
      </c>
      <c r="H1691" s="3">
        <v>3.9838333333333302E-2</v>
      </c>
    </row>
    <row r="1692" spans="7:8" x14ac:dyDescent="0.3">
      <c r="G1692" s="15">
        <v>4.6861111111111109</v>
      </c>
      <c r="H1692" s="3">
        <v>3.9833611111111084E-2</v>
      </c>
    </row>
    <row r="1693" spans="7:8" x14ac:dyDescent="0.3">
      <c r="G1693" s="15">
        <v>4.6888888888888891</v>
      </c>
      <c r="H1693" s="3">
        <v>3.9828888888888858E-2</v>
      </c>
    </row>
    <row r="1694" spans="7:8" x14ac:dyDescent="0.3">
      <c r="G1694" s="15">
        <v>4.6916666666666664</v>
      </c>
      <c r="H1694" s="3">
        <v>3.9824166666666633E-2</v>
      </c>
    </row>
    <row r="1695" spans="7:8" x14ac:dyDescent="0.3">
      <c r="G1695" s="15">
        <v>4.6944444444444446</v>
      </c>
      <c r="H1695" s="3">
        <v>3.9819444444444414E-2</v>
      </c>
    </row>
    <row r="1696" spans="7:8" x14ac:dyDescent="0.3">
      <c r="G1696" s="15">
        <v>4.697222222222222</v>
      </c>
      <c r="H1696" s="3">
        <v>3.9814722222222196E-2</v>
      </c>
    </row>
    <row r="1697" spans="7:8" x14ac:dyDescent="0.3">
      <c r="G1697" s="15">
        <v>4.7</v>
      </c>
      <c r="H1697" s="3">
        <v>3.980999999999997E-2</v>
      </c>
    </row>
    <row r="1698" spans="7:8" x14ac:dyDescent="0.3">
      <c r="G1698" s="15">
        <v>4.7027777777777775</v>
      </c>
      <c r="H1698" s="3">
        <v>3.9805277777777745E-2</v>
      </c>
    </row>
    <row r="1699" spans="7:8" x14ac:dyDescent="0.3">
      <c r="G1699" s="15">
        <v>4.7055555555555557</v>
      </c>
      <c r="H1699" s="3">
        <v>3.9800555555555527E-2</v>
      </c>
    </row>
    <row r="1700" spans="7:8" x14ac:dyDescent="0.3">
      <c r="G1700" s="15">
        <v>4.708333333333333</v>
      </c>
      <c r="H1700" s="3">
        <v>3.9795833333333308E-2</v>
      </c>
    </row>
    <row r="1701" spans="7:8" x14ac:dyDescent="0.3">
      <c r="G1701" s="15">
        <v>4.7111111111111112</v>
      </c>
      <c r="H1701" s="3">
        <v>3.9791111111111083E-2</v>
      </c>
    </row>
    <row r="1702" spans="7:8" x14ac:dyDescent="0.3">
      <c r="G1702" s="15">
        <v>4.7138888888888886</v>
      </c>
      <c r="H1702" s="3">
        <v>3.9786388888888857E-2</v>
      </c>
    </row>
    <row r="1703" spans="7:8" x14ac:dyDescent="0.3">
      <c r="G1703" s="15">
        <v>4.7166666666666668</v>
      </c>
      <c r="H1703" s="3">
        <v>3.9781666666666639E-2</v>
      </c>
    </row>
    <row r="1704" spans="7:8" x14ac:dyDescent="0.3">
      <c r="G1704" s="15">
        <v>4.7194444444444441</v>
      </c>
      <c r="H1704" s="3">
        <v>3.977694444444442E-2</v>
      </c>
    </row>
    <row r="1705" spans="7:8" x14ac:dyDescent="0.3">
      <c r="G1705" s="15">
        <v>4.7222222222222223</v>
      </c>
      <c r="H1705" s="3">
        <v>3.9772222222222195E-2</v>
      </c>
    </row>
    <row r="1706" spans="7:8" x14ac:dyDescent="0.3">
      <c r="G1706" s="15">
        <v>4.7249999999999996</v>
      </c>
      <c r="H1706" s="3">
        <v>3.976749999999997E-2</v>
      </c>
    </row>
    <row r="1707" spans="7:8" x14ac:dyDescent="0.3">
      <c r="G1707" s="15">
        <v>4.7277777777777779</v>
      </c>
      <c r="H1707" s="3">
        <v>3.9762777777777751E-2</v>
      </c>
    </row>
    <row r="1708" spans="7:8" x14ac:dyDescent="0.3">
      <c r="G1708" s="15">
        <v>4.7305555555555552</v>
      </c>
      <c r="H1708" s="3">
        <v>3.9758055555555533E-2</v>
      </c>
    </row>
    <row r="1709" spans="7:8" x14ac:dyDescent="0.3">
      <c r="G1709" s="15">
        <v>4.7333333333333334</v>
      </c>
      <c r="H1709" s="3">
        <v>3.9753333333333307E-2</v>
      </c>
    </row>
    <row r="1710" spans="7:8" x14ac:dyDescent="0.3">
      <c r="G1710" s="15">
        <v>4.7361111111111107</v>
      </c>
      <c r="H1710" s="3">
        <v>3.9748611111111082E-2</v>
      </c>
    </row>
    <row r="1711" spans="7:8" x14ac:dyDescent="0.3">
      <c r="G1711" s="15">
        <v>4.7388888888888889</v>
      </c>
      <c r="H1711" s="3">
        <v>3.9743888888888863E-2</v>
      </c>
    </row>
    <row r="1712" spans="7:8" x14ac:dyDescent="0.3">
      <c r="G1712" s="15">
        <v>4.7416666666666663</v>
      </c>
      <c r="H1712" s="3">
        <v>3.9739166666666645E-2</v>
      </c>
    </row>
    <row r="1713" spans="7:8" x14ac:dyDescent="0.3">
      <c r="G1713" s="15">
        <v>4.7444444444444445</v>
      </c>
      <c r="H1713" s="3">
        <v>3.9734444444444419E-2</v>
      </c>
    </row>
    <row r="1714" spans="7:8" x14ac:dyDescent="0.3">
      <c r="G1714" s="15">
        <v>4.7472222222222218</v>
      </c>
      <c r="H1714" s="3">
        <v>3.9729722222222194E-2</v>
      </c>
    </row>
    <row r="1715" spans="7:8" x14ac:dyDescent="0.3">
      <c r="G1715" s="15">
        <v>4.75</v>
      </c>
      <c r="H1715" s="3">
        <v>3.9724999999999976E-2</v>
      </c>
    </row>
    <row r="1716" spans="7:8" x14ac:dyDescent="0.3">
      <c r="G1716" s="15">
        <v>4.7527777777777782</v>
      </c>
      <c r="H1716" s="3">
        <v>3.9720277777777757E-2</v>
      </c>
    </row>
    <row r="1717" spans="7:8" x14ac:dyDescent="0.3">
      <c r="G1717" s="15">
        <v>4.7555555555555555</v>
      </c>
      <c r="H1717" s="3">
        <v>3.9715555555555532E-2</v>
      </c>
    </row>
    <row r="1718" spans="7:8" x14ac:dyDescent="0.3">
      <c r="G1718" s="15">
        <v>4.7583333333333337</v>
      </c>
      <c r="H1718" s="3">
        <v>3.9710833333333306E-2</v>
      </c>
    </row>
    <row r="1719" spans="7:8" x14ac:dyDescent="0.3">
      <c r="G1719" s="15">
        <v>4.7611111111111111</v>
      </c>
      <c r="H1719" s="3">
        <v>3.9706111111111088E-2</v>
      </c>
    </row>
    <row r="1720" spans="7:8" x14ac:dyDescent="0.3">
      <c r="G1720" s="15">
        <v>4.7638888888888893</v>
      </c>
      <c r="H1720" s="3">
        <v>3.9701388888888869E-2</v>
      </c>
    </row>
    <row r="1721" spans="7:8" x14ac:dyDescent="0.3">
      <c r="G1721" s="15">
        <v>4.7666666666666666</v>
      </c>
      <c r="H1721" s="3">
        <v>3.9696666666666644E-2</v>
      </c>
    </row>
    <row r="1722" spans="7:8" x14ac:dyDescent="0.3">
      <c r="G1722" s="15">
        <v>4.7694444444444448</v>
      </c>
      <c r="H1722" s="3">
        <v>3.9691944444444419E-2</v>
      </c>
    </row>
    <row r="1723" spans="7:8" x14ac:dyDescent="0.3">
      <c r="G1723" s="15">
        <v>4.7722222222222221</v>
      </c>
      <c r="H1723" s="3">
        <v>3.96872222222222E-2</v>
      </c>
    </row>
    <row r="1724" spans="7:8" x14ac:dyDescent="0.3">
      <c r="G1724" s="15">
        <v>4.7750000000000004</v>
      </c>
      <c r="H1724" s="3">
        <v>3.9682499999999982E-2</v>
      </c>
    </row>
    <row r="1725" spans="7:8" x14ac:dyDescent="0.3">
      <c r="G1725" s="15">
        <v>4.7777777777777777</v>
      </c>
      <c r="H1725" s="3">
        <v>3.9677777777777756E-2</v>
      </c>
    </row>
    <row r="1726" spans="7:8" x14ac:dyDescent="0.3">
      <c r="G1726" s="15">
        <v>4.7805555555555559</v>
      </c>
      <c r="H1726" s="3">
        <v>3.9673055555555531E-2</v>
      </c>
    </row>
    <row r="1727" spans="7:8" x14ac:dyDescent="0.3">
      <c r="G1727" s="15">
        <v>4.7833333333333332</v>
      </c>
      <c r="H1727" s="3">
        <v>3.9668333333333312E-2</v>
      </c>
    </row>
    <row r="1728" spans="7:8" x14ac:dyDescent="0.3">
      <c r="G1728" s="15">
        <v>4.7861111111111114</v>
      </c>
      <c r="H1728" s="3">
        <v>3.9663611111111094E-2</v>
      </c>
    </row>
    <row r="1729" spans="7:8" x14ac:dyDescent="0.3">
      <c r="G1729" s="15">
        <v>4.7888888888888888</v>
      </c>
      <c r="H1729" s="3">
        <v>3.9658888888888869E-2</v>
      </c>
    </row>
    <row r="1730" spans="7:8" x14ac:dyDescent="0.3">
      <c r="G1730" s="15">
        <v>4.791666666666667</v>
      </c>
      <c r="H1730" s="3">
        <v>3.9654166666666643E-2</v>
      </c>
    </row>
    <row r="1731" spans="7:8" x14ac:dyDescent="0.3">
      <c r="G1731" s="15">
        <v>4.7944444444444443</v>
      </c>
      <c r="H1731" s="3">
        <v>3.9649444444444425E-2</v>
      </c>
    </row>
    <row r="1732" spans="7:8" x14ac:dyDescent="0.3">
      <c r="G1732" s="15">
        <v>4.7972222222222225</v>
      </c>
      <c r="H1732" s="3">
        <v>3.9644722222222206E-2</v>
      </c>
    </row>
    <row r="1733" spans="7:8" x14ac:dyDescent="0.3">
      <c r="G1733" s="15">
        <v>4.8</v>
      </c>
      <c r="H1733" s="3">
        <v>3.9639999999999981E-2</v>
      </c>
    </row>
    <row r="1734" spans="7:8" x14ac:dyDescent="0.3">
      <c r="G1734" s="15">
        <v>4.802777777777778</v>
      </c>
      <c r="H1734" s="3">
        <v>3.9635277777777755E-2</v>
      </c>
    </row>
    <row r="1735" spans="7:8" x14ac:dyDescent="0.3">
      <c r="G1735" s="15">
        <v>4.8055555555555554</v>
      </c>
      <c r="H1735" s="3">
        <v>3.9630555555555537E-2</v>
      </c>
    </row>
    <row r="1736" spans="7:8" x14ac:dyDescent="0.3">
      <c r="G1736" s="15">
        <v>4.8083333333333336</v>
      </c>
      <c r="H1736" s="3">
        <v>3.9625833333333318E-2</v>
      </c>
    </row>
    <row r="1737" spans="7:8" x14ac:dyDescent="0.3">
      <c r="G1737" s="15">
        <v>4.8111111111111109</v>
      </c>
      <c r="H1737" s="3">
        <v>3.9621111111111093E-2</v>
      </c>
    </row>
    <row r="1738" spans="7:8" x14ac:dyDescent="0.3">
      <c r="G1738" s="15">
        <v>4.8138888888888891</v>
      </c>
      <c r="H1738" s="3">
        <v>3.9616388888888868E-2</v>
      </c>
    </row>
    <row r="1739" spans="7:8" x14ac:dyDescent="0.3">
      <c r="G1739" s="15">
        <v>4.8166666666666664</v>
      </c>
      <c r="H1739" s="3">
        <v>3.9611666666666649E-2</v>
      </c>
    </row>
    <row r="1740" spans="7:8" x14ac:dyDescent="0.3">
      <c r="G1740" s="15">
        <v>4.8194444444444446</v>
      </c>
      <c r="H1740" s="3">
        <v>3.9606944444444431E-2</v>
      </c>
    </row>
    <row r="1741" spans="7:8" x14ac:dyDescent="0.3">
      <c r="G1741" s="15">
        <v>4.822222222222222</v>
      </c>
      <c r="H1741" s="3">
        <v>3.9602222222222205E-2</v>
      </c>
    </row>
    <row r="1742" spans="7:8" x14ac:dyDescent="0.3">
      <c r="G1742" s="15">
        <v>4.8250000000000002</v>
      </c>
      <c r="H1742" s="3">
        <v>3.959749999999998E-2</v>
      </c>
    </row>
    <row r="1743" spans="7:8" x14ac:dyDescent="0.3">
      <c r="G1743" s="15">
        <v>4.8277777777777775</v>
      </c>
      <c r="H1743" s="3">
        <v>3.9592777777777761E-2</v>
      </c>
    </row>
    <row r="1744" spans="7:8" x14ac:dyDescent="0.3">
      <c r="G1744" s="15">
        <v>4.8305555555555557</v>
      </c>
      <c r="H1744" s="3">
        <v>3.9588055555555543E-2</v>
      </c>
    </row>
    <row r="1745" spans="7:8" x14ac:dyDescent="0.3">
      <c r="G1745" s="15">
        <v>4.833333333333333</v>
      </c>
      <c r="H1745" s="3">
        <v>3.9583333333333318E-2</v>
      </c>
    </row>
    <row r="1746" spans="7:8" x14ac:dyDescent="0.3">
      <c r="G1746" s="15">
        <v>4.8361111111111112</v>
      </c>
      <c r="H1746" s="3">
        <v>3.9578611111111092E-2</v>
      </c>
    </row>
    <row r="1747" spans="7:8" x14ac:dyDescent="0.3">
      <c r="G1747" s="15">
        <v>4.8388888888888886</v>
      </c>
      <c r="H1747" s="3">
        <v>3.9573888888888874E-2</v>
      </c>
    </row>
    <row r="1748" spans="7:8" x14ac:dyDescent="0.3">
      <c r="G1748" s="15">
        <v>4.8416666666666668</v>
      </c>
      <c r="H1748" s="3">
        <v>3.9569166666666655E-2</v>
      </c>
    </row>
    <row r="1749" spans="7:8" x14ac:dyDescent="0.3">
      <c r="G1749" s="15">
        <v>4.8444444444444441</v>
      </c>
      <c r="H1749" s="3">
        <v>3.956444444444443E-2</v>
      </c>
    </row>
    <row r="1750" spans="7:8" x14ac:dyDescent="0.3">
      <c r="G1750" s="15">
        <v>4.8472222222222223</v>
      </c>
      <c r="H1750" s="3">
        <v>3.9559722222222204E-2</v>
      </c>
    </row>
    <row r="1751" spans="7:8" x14ac:dyDescent="0.3">
      <c r="G1751" s="15">
        <v>4.8499999999999996</v>
      </c>
      <c r="H1751" s="3">
        <v>3.9554999999999986E-2</v>
      </c>
    </row>
    <row r="1752" spans="7:8" x14ac:dyDescent="0.3">
      <c r="G1752" s="15">
        <v>4.8527777777777779</v>
      </c>
      <c r="H1752" s="3">
        <v>3.9550277777777768E-2</v>
      </c>
    </row>
    <row r="1753" spans="7:8" x14ac:dyDescent="0.3">
      <c r="G1753" s="15">
        <v>4.8555555555555552</v>
      </c>
      <c r="H1753" s="3">
        <v>3.9545555555555542E-2</v>
      </c>
    </row>
    <row r="1754" spans="7:8" x14ac:dyDescent="0.3">
      <c r="G1754" s="15">
        <v>4.8583333333333334</v>
      </c>
      <c r="H1754" s="3">
        <v>3.9540833333333317E-2</v>
      </c>
    </row>
    <row r="1755" spans="7:8" x14ac:dyDescent="0.3">
      <c r="G1755" s="15">
        <v>4.8611111111111107</v>
      </c>
      <c r="H1755" s="3">
        <v>3.9536111111111098E-2</v>
      </c>
    </row>
    <row r="1756" spans="7:8" x14ac:dyDescent="0.3">
      <c r="G1756" s="15">
        <v>4.8638888888888889</v>
      </c>
      <c r="H1756" s="3">
        <v>3.953138888888888E-2</v>
      </c>
    </row>
    <row r="1757" spans="7:8" x14ac:dyDescent="0.3">
      <c r="G1757" s="15">
        <v>4.8666666666666663</v>
      </c>
      <c r="H1757" s="3">
        <v>3.9526666666666654E-2</v>
      </c>
    </row>
    <row r="1758" spans="7:8" x14ac:dyDescent="0.3">
      <c r="G1758" s="15">
        <v>4.8694444444444445</v>
      </c>
      <c r="H1758" s="3">
        <v>3.9521944444444429E-2</v>
      </c>
    </row>
    <row r="1759" spans="7:8" x14ac:dyDescent="0.3">
      <c r="G1759" s="15">
        <v>4.8722222222222218</v>
      </c>
      <c r="H1759" s="3">
        <v>3.9517222222222211E-2</v>
      </c>
    </row>
    <row r="1760" spans="7:8" x14ac:dyDescent="0.3">
      <c r="G1760" s="15">
        <v>4.875</v>
      </c>
      <c r="H1760" s="3">
        <v>3.9512499999999992E-2</v>
      </c>
    </row>
    <row r="1761" spans="7:8" x14ac:dyDescent="0.3">
      <c r="G1761" s="15">
        <v>4.8777777777777782</v>
      </c>
      <c r="H1761" s="3">
        <v>3.9507777777777767E-2</v>
      </c>
    </row>
    <row r="1762" spans="7:8" x14ac:dyDescent="0.3">
      <c r="G1762" s="15">
        <v>4.8805555555555555</v>
      </c>
      <c r="H1762" s="3">
        <v>3.9503055555555541E-2</v>
      </c>
    </row>
    <row r="1763" spans="7:8" x14ac:dyDescent="0.3">
      <c r="G1763" s="15">
        <v>4.8833333333333337</v>
      </c>
      <c r="H1763" s="3">
        <v>3.9498333333333323E-2</v>
      </c>
    </row>
    <row r="1764" spans="7:8" x14ac:dyDescent="0.3">
      <c r="G1764" s="15">
        <v>4.8861111111111111</v>
      </c>
      <c r="H1764" s="3">
        <v>3.9493611111111104E-2</v>
      </c>
    </row>
    <row r="1765" spans="7:8" x14ac:dyDescent="0.3">
      <c r="G1765" s="15">
        <v>4.8888888888888893</v>
      </c>
      <c r="H1765" s="3">
        <v>3.9488888888888879E-2</v>
      </c>
    </row>
    <row r="1766" spans="7:8" x14ac:dyDescent="0.3">
      <c r="G1766" s="15">
        <v>4.8916666666666666</v>
      </c>
      <c r="H1766" s="3">
        <v>3.9484166666666654E-2</v>
      </c>
    </row>
    <row r="1767" spans="7:8" x14ac:dyDescent="0.3">
      <c r="G1767" s="15">
        <v>4.8944444444444448</v>
      </c>
      <c r="H1767" s="3">
        <v>3.9479444444444435E-2</v>
      </c>
    </row>
    <row r="1768" spans="7:8" x14ac:dyDescent="0.3">
      <c r="G1768" s="15">
        <v>4.8972222222222221</v>
      </c>
      <c r="H1768" s="3">
        <v>3.9474722222222217E-2</v>
      </c>
    </row>
    <row r="1769" spans="7:8" x14ac:dyDescent="0.3">
      <c r="G1769" s="15">
        <v>4.9000000000000004</v>
      </c>
      <c r="H1769" s="3">
        <v>3.9469999999999991E-2</v>
      </c>
    </row>
    <row r="1770" spans="7:8" x14ac:dyDescent="0.3">
      <c r="G1770" s="15">
        <v>4.9027777777777777</v>
      </c>
      <c r="H1770" s="3">
        <v>3.9465277777777766E-2</v>
      </c>
    </row>
    <row r="1771" spans="7:8" x14ac:dyDescent="0.3">
      <c r="G1771" s="15">
        <v>4.9055555555555559</v>
      </c>
      <c r="H1771" s="3">
        <v>3.9460555555555547E-2</v>
      </c>
    </row>
    <row r="1772" spans="7:8" x14ac:dyDescent="0.3">
      <c r="G1772" s="15">
        <v>4.9083333333333332</v>
      </c>
      <c r="H1772" s="3">
        <v>3.9455833333333329E-2</v>
      </c>
    </row>
    <row r="1773" spans="7:8" x14ac:dyDescent="0.3">
      <c r="G1773" s="15">
        <v>4.9111111111111114</v>
      </c>
      <c r="H1773" s="3">
        <v>3.9451111111111103E-2</v>
      </c>
    </row>
    <row r="1774" spans="7:8" x14ac:dyDescent="0.3">
      <c r="G1774" s="15">
        <v>4.9138888888888888</v>
      </c>
      <c r="H1774" s="3">
        <v>3.9446388888888878E-2</v>
      </c>
    </row>
    <row r="1775" spans="7:8" x14ac:dyDescent="0.3">
      <c r="G1775" s="15">
        <v>4.916666666666667</v>
      </c>
      <c r="H1775" s="3">
        <v>3.944166666666666E-2</v>
      </c>
    </row>
    <row r="1776" spans="7:8" x14ac:dyDescent="0.3">
      <c r="G1776" s="15">
        <v>4.9194444444444443</v>
      </c>
      <c r="H1776" s="3">
        <v>3.9436944444444441E-2</v>
      </c>
    </row>
    <row r="1777" spans="7:8" x14ac:dyDescent="0.3">
      <c r="G1777" s="15">
        <v>4.9222222222222225</v>
      </c>
      <c r="H1777" s="3">
        <v>3.9432222222222216E-2</v>
      </c>
    </row>
    <row r="1778" spans="7:8" x14ac:dyDescent="0.3">
      <c r="G1778" s="15">
        <v>4.9249999999999998</v>
      </c>
      <c r="H1778" s="3">
        <v>3.942749999999999E-2</v>
      </c>
    </row>
    <row r="1779" spans="7:8" x14ac:dyDescent="0.3">
      <c r="G1779" s="15">
        <v>4.927777777777778</v>
      </c>
      <c r="H1779" s="3">
        <v>3.9422777777777772E-2</v>
      </c>
    </row>
    <row r="1780" spans="7:8" x14ac:dyDescent="0.3">
      <c r="G1780" s="15">
        <v>4.9305555555555554</v>
      </c>
      <c r="H1780" s="3">
        <v>3.9418055555555553E-2</v>
      </c>
    </row>
    <row r="1781" spans="7:8" x14ac:dyDescent="0.3">
      <c r="G1781" s="15">
        <v>4.9333333333333336</v>
      </c>
      <c r="H1781" s="3">
        <v>3.9413333333333328E-2</v>
      </c>
    </row>
    <row r="1782" spans="7:8" x14ac:dyDescent="0.3">
      <c r="G1782" s="15">
        <v>4.9361111111111109</v>
      </c>
      <c r="H1782" s="3">
        <v>3.9408611111111103E-2</v>
      </c>
    </row>
    <row r="1783" spans="7:8" x14ac:dyDescent="0.3">
      <c r="G1783" s="15">
        <v>4.9388888888888891</v>
      </c>
      <c r="H1783" s="3">
        <v>3.9403888888888884E-2</v>
      </c>
    </row>
    <row r="1784" spans="7:8" x14ac:dyDescent="0.3">
      <c r="G1784" s="15">
        <v>4.9416666666666664</v>
      </c>
      <c r="H1784" s="3">
        <v>3.9399166666666666E-2</v>
      </c>
    </row>
    <row r="1785" spans="7:8" x14ac:dyDescent="0.3">
      <c r="G1785" s="15">
        <v>4.9444444444444446</v>
      </c>
      <c r="H1785" s="3">
        <v>3.939444444444444E-2</v>
      </c>
    </row>
    <row r="1786" spans="7:8" x14ac:dyDescent="0.3">
      <c r="G1786" s="15">
        <v>4.947222222222222</v>
      </c>
      <c r="H1786" s="3">
        <v>3.9389722222222215E-2</v>
      </c>
    </row>
    <row r="1787" spans="7:8" x14ac:dyDescent="0.3">
      <c r="G1787" s="15">
        <v>4.95</v>
      </c>
      <c r="H1787" s="3">
        <v>3.9384999999999996E-2</v>
      </c>
    </row>
    <row r="1788" spans="7:8" x14ac:dyDescent="0.3">
      <c r="G1788" s="15">
        <v>4.9527777777777775</v>
      </c>
      <c r="H1788" s="3">
        <v>3.9380277777777778E-2</v>
      </c>
    </row>
    <row r="1789" spans="7:8" x14ac:dyDescent="0.3">
      <c r="G1789" s="15">
        <v>4.9555555555555557</v>
      </c>
      <c r="H1789" s="3">
        <v>3.9375555555555553E-2</v>
      </c>
    </row>
    <row r="1790" spans="7:8" x14ac:dyDescent="0.3">
      <c r="G1790" s="15">
        <v>4.958333333333333</v>
      </c>
      <c r="H1790" s="3">
        <v>3.9370833333333327E-2</v>
      </c>
    </row>
    <row r="1791" spans="7:8" x14ac:dyDescent="0.3">
      <c r="G1791" s="15">
        <v>4.9611111111111112</v>
      </c>
      <c r="H1791" s="3">
        <v>3.9366111111111109E-2</v>
      </c>
    </row>
    <row r="1792" spans="7:8" x14ac:dyDescent="0.3">
      <c r="G1792" s="15">
        <v>4.9638888888888886</v>
      </c>
      <c r="H1792" s="3">
        <v>3.936138888888889E-2</v>
      </c>
    </row>
    <row r="1793" spans="7:8" x14ac:dyDescent="0.3">
      <c r="G1793" s="15">
        <v>4.9666666666666668</v>
      </c>
      <c r="H1793" s="3">
        <v>3.9356666666666665E-2</v>
      </c>
    </row>
    <row r="1794" spans="7:8" x14ac:dyDescent="0.3">
      <c r="G1794" s="15">
        <v>4.9694444444444441</v>
      </c>
      <c r="H1794" s="3">
        <v>3.9351944444444439E-2</v>
      </c>
    </row>
    <row r="1795" spans="7:8" x14ac:dyDescent="0.3">
      <c r="G1795" s="15">
        <v>4.9722222222222223</v>
      </c>
      <c r="H1795" s="3">
        <v>3.9347222222222221E-2</v>
      </c>
    </row>
    <row r="1796" spans="7:8" x14ac:dyDescent="0.3">
      <c r="G1796" s="15">
        <v>4.9749999999999996</v>
      </c>
      <c r="H1796" s="3">
        <v>3.9342500000000002E-2</v>
      </c>
    </row>
    <row r="1797" spans="7:8" x14ac:dyDescent="0.3">
      <c r="G1797" s="15">
        <v>4.9777777777777779</v>
      </c>
      <c r="H1797" s="3">
        <v>3.9337777777777777E-2</v>
      </c>
    </row>
    <row r="1798" spans="7:8" x14ac:dyDescent="0.3">
      <c r="G1798" s="15">
        <v>4.9805555555555552</v>
      </c>
      <c r="H1798" s="3">
        <v>3.9333055555555552E-2</v>
      </c>
    </row>
    <row r="1799" spans="7:8" x14ac:dyDescent="0.3">
      <c r="G1799" s="15">
        <v>4.9833333333333334</v>
      </c>
      <c r="H1799" s="3">
        <v>3.9328333333333333E-2</v>
      </c>
    </row>
    <row r="1800" spans="7:8" x14ac:dyDescent="0.3">
      <c r="G1800" s="15">
        <v>4.9861111111111107</v>
      </c>
      <c r="H1800" s="3">
        <v>3.9323611111111115E-2</v>
      </c>
    </row>
    <row r="1801" spans="7:8" x14ac:dyDescent="0.3">
      <c r="G1801" s="15">
        <v>4.9888888888888889</v>
      </c>
      <c r="H1801" s="3">
        <v>3.9318888888888889E-2</v>
      </c>
    </row>
    <row r="1802" spans="7:8" x14ac:dyDescent="0.3">
      <c r="G1802" s="15">
        <v>4.9916666666666663</v>
      </c>
      <c r="H1802" s="3">
        <v>3.9314166666666664E-2</v>
      </c>
    </row>
    <row r="1803" spans="7:8" x14ac:dyDescent="0.3">
      <c r="G1803" s="15">
        <v>4.9944444444444445</v>
      </c>
      <c r="H1803" s="3">
        <v>3.9309444444444445E-2</v>
      </c>
    </row>
    <row r="1804" spans="7:8" x14ac:dyDescent="0.3">
      <c r="G1804" s="15">
        <v>4.9972222222222218</v>
      </c>
      <c r="H1804" s="3">
        <v>3.9304722222222227E-2</v>
      </c>
    </row>
    <row r="1805" spans="7:8" x14ac:dyDescent="0.3">
      <c r="G1805" s="15">
        <v>5</v>
      </c>
      <c r="H1805" s="3">
        <v>3.9300000000000002E-2</v>
      </c>
    </row>
    <row r="1806" spans="7:8" x14ac:dyDescent="0.3">
      <c r="G1806" s="15">
        <v>5.0027777777777782</v>
      </c>
      <c r="H1806" s="3">
        <v>3.929902777777778E-2</v>
      </c>
    </row>
    <row r="1807" spans="7:8" x14ac:dyDescent="0.3">
      <c r="G1807" s="15">
        <v>5.0055555555555555</v>
      </c>
      <c r="H1807" s="3">
        <v>3.9298055555555558E-2</v>
      </c>
    </row>
    <row r="1808" spans="7:8" x14ac:dyDescent="0.3">
      <c r="G1808" s="15">
        <v>5.0083333333333337</v>
      </c>
      <c r="H1808" s="3">
        <v>3.9297083333333337E-2</v>
      </c>
    </row>
    <row r="1809" spans="7:8" x14ac:dyDescent="0.3">
      <c r="G1809" s="15">
        <v>5.0111111111111111</v>
      </c>
      <c r="H1809" s="3">
        <v>3.9296111111111115E-2</v>
      </c>
    </row>
    <row r="1810" spans="7:8" x14ac:dyDescent="0.3">
      <c r="G1810" s="15">
        <v>5.0138888888888893</v>
      </c>
      <c r="H1810" s="3">
        <v>3.9295138888888893E-2</v>
      </c>
    </row>
    <row r="1811" spans="7:8" x14ac:dyDescent="0.3">
      <c r="G1811" s="15">
        <v>5.0166666666666666</v>
      </c>
      <c r="H1811" s="3">
        <v>3.9294166666666672E-2</v>
      </c>
    </row>
    <row r="1812" spans="7:8" x14ac:dyDescent="0.3">
      <c r="G1812" s="15">
        <v>5.0194444444444448</v>
      </c>
      <c r="H1812" s="3">
        <v>3.929319444444445E-2</v>
      </c>
    </row>
    <row r="1813" spans="7:8" x14ac:dyDescent="0.3">
      <c r="G1813" s="15">
        <v>5.0222222222222221</v>
      </c>
      <c r="H1813" s="3">
        <v>3.9292222222222228E-2</v>
      </c>
    </row>
    <row r="1814" spans="7:8" x14ac:dyDescent="0.3">
      <c r="G1814" s="15">
        <v>5.0250000000000004</v>
      </c>
      <c r="H1814" s="3">
        <v>3.9291250000000007E-2</v>
      </c>
    </row>
    <row r="1815" spans="7:8" x14ac:dyDescent="0.3">
      <c r="G1815" s="15">
        <v>5.0277777777777777</v>
      </c>
      <c r="H1815" s="3">
        <v>3.9290277777777785E-2</v>
      </c>
    </row>
    <row r="1816" spans="7:8" x14ac:dyDescent="0.3">
      <c r="G1816" s="15">
        <v>5.0305555555555559</v>
      </c>
      <c r="H1816" s="3">
        <v>3.9289305555555563E-2</v>
      </c>
    </row>
    <row r="1817" spans="7:8" x14ac:dyDescent="0.3">
      <c r="G1817" s="15">
        <v>5.0333333333333332</v>
      </c>
      <c r="H1817" s="3">
        <v>3.9288333333333342E-2</v>
      </c>
    </row>
    <row r="1818" spans="7:8" x14ac:dyDescent="0.3">
      <c r="G1818" s="15">
        <v>5.0361111111111114</v>
      </c>
      <c r="H1818" s="3">
        <v>3.928736111111112E-2</v>
      </c>
    </row>
    <row r="1819" spans="7:8" x14ac:dyDescent="0.3">
      <c r="G1819" s="15">
        <v>5.0388888888888888</v>
      </c>
      <c r="H1819" s="3">
        <v>3.9286388888888898E-2</v>
      </c>
    </row>
    <row r="1820" spans="7:8" x14ac:dyDescent="0.3">
      <c r="G1820" s="15">
        <v>5.041666666666667</v>
      </c>
      <c r="H1820" s="3">
        <v>3.9285416666666677E-2</v>
      </c>
    </row>
    <row r="1821" spans="7:8" x14ac:dyDescent="0.3">
      <c r="G1821" s="15">
        <v>5.0444444444444443</v>
      </c>
      <c r="H1821" s="3">
        <v>3.9284444444444455E-2</v>
      </c>
    </row>
    <row r="1822" spans="7:8" x14ac:dyDescent="0.3">
      <c r="G1822" s="15">
        <v>5.0472222222222225</v>
      </c>
      <c r="H1822" s="3">
        <v>3.9283472222222234E-2</v>
      </c>
    </row>
    <row r="1823" spans="7:8" x14ac:dyDescent="0.3">
      <c r="G1823" s="15">
        <v>5.05</v>
      </c>
      <c r="H1823" s="3">
        <v>3.9282500000000012E-2</v>
      </c>
    </row>
    <row r="1824" spans="7:8" x14ac:dyDescent="0.3">
      <c r="G1824" s="15">
        <v>5.052777777777778</v>
      </c>
      <c r="H1824" s="3">
        <v>3.928152777777779E-2</v>
      </c>
    </row>
    <row r="1825" spans="7:8" x14ac:dyDescent="0.3">
      <c r="G1825" s="15">
        <v>5.0555555555555554</v>
      </c>
      <c r="H1825" s="3">
        <v>3.9280555555555569E-2</v>
      </c>
    </row>
    <row r="1826" spans="7:8" x14ac:dyDescent="0.3">
      <c r="G1826" s="15">
        <v>5.0583333333333336</v>
      </c>
      <c r="H1826" s="3">
        <v>3.9279583333333347E-2</v>
      </c>
    </row>
    <row r="1827" spans="7:8" x14ac:dyDescent="0.3">
      <c r="G1827" s="15">
        <v>5.0611111111111109</v>
      </c>
      <c r="H1827" s="3">
        <v>3.9278611111111125E-2</v>
      </c>
    </row>
    <row r="1828" spans="7:8" x14ac:dyDescent="0.3">
      <c r="G1828" s="15">
        <v>5.0638888888888891</v>
      </c>
      <c r="H1828" s="3">
        <v>3.9277638888888904E-2</v>
      </c>
    </row>
    <row r="1829" spans="7:8" x14ac:dyDescent="0.3">
      <c r="G1829" s="15">
        <v>5.0666666666666664</v>
      </c>
      <c r="H1829" s="3">
        <v>3.9276666666666682E-2</v>
      </c>
    </row>
    <row r="1830" spans="7:8" x14ac:dyDescent="0.3">
      <c r="G1830" s="15">
        <v>5.0694444444444446</v>
      </c>
      <c r="H1830" s="3">
        <v>3.927569444444446E-2</v>
      </c>
    </row>
    <row r="1831" spans="7:8" x14ac:dyDescent="0.3">
      <c r="G1831" s="15">
        <v>5.072222222222222</v>
      </c>
      <c r="H1831" s="3">
        <v>3.9274722222222239E-2</v>
      </c>
    </row>
    <row r="1832" spans="7:8" x14ac:dyDescent="0.3">
      <c r="G1832" s="15">
        <v>5.0750000000000002</v>
      </c>
      <c r="H1832" s="3">
        <v>3.9273750000000017E-2</v>
      </c>
    </row>
    <row r="1833" spans="7:8" x14ac:dyDescent="0.3">
      <c r="G1833" s="15">
        <v>5.0777777777777775</v>
      </c>
      <c r="H1833" s="3">
        <v>3.9272777777777795E-2</v>
      </c>
    </row>
    <row r="1834" spans="7:8" x14ac:dyDescent="0.3">
      <c r="G1834" s="15">
        <v>5.0805555555555557</v>
      </c>
      <c r="H1834" s="3">
        <v>3.9271805555555574E-2</v>
      </c>
    </row>
    <row r="1835" spans="7:8" x14ac:dyDescent="0.3">
      <c r="G1835" s="15">
        <v>5.083333333333333</v>
      </c>
      <c r="H1835" s="3">
        <v>3.9270833333333352E-2</v>
      </c>
    </row>
    <row r="1836" spans="7:8" x14ac:dyDescent="0.3">
      <c r="G1836" s="15">
        <v>5.0861111111111112</v>
      </c>
      <c r="H1836" s="3">
        <v>3.926986111111113E-2</v>
      </c>
    </row>
    <row r="1837" spans="7:8" x14ac:dyDescent="0.3">
      <c r="G1837" s="15">
        <v>5.0888888888888886</v>
      </c>
      <c r="H1837" s="3">
        <v>3.9268888888888909E-2</v>
      </c>
    </row>
    <row r="1838" spans="7:8" x14ac:dyDescent="0.3">
      <c r="G1838" s="15">
        <v>5.0916666666666668</v>
      </c>
      <c r="H1838" s="3">
        <v>3.9267916666666687E-2</v>
      </c>
    </row>
    <row r="1839" spans="7:8" x14ac:dyDescent="0.3">
      <c r="G1839" s="15">
        <v>5.0944444444444441</v>
      </c>
      <c r="H1839" s="3">
        <v>3.9266944444444465E-2</v>
      </c>
    </row>
    <row r="1840" spans="7:8" x14ac:dyDescent="0.3">
      <c r="G1840" s="15">
        <v>5.0972222222222223</v>
      </c>
      <c r="H1840" s="3">
        <v>3.9265972222222244E-2</v>
      </c>
    </row>
    <row r="1841" spans="7:8" x14ac:dyDescent="0.3">
      <c r="G1841" s="15">
        <v>5.0999999999999996</v>
      </c>
      <c r="H1841" s="3">
        <v>3.9265000000000022E-2</v>
      </c>
    </row>
    <row r="1842" spans="7:8" x14ac:dyDescent="0.3">
      <c r="G1842" s="15">
        <v>5.1027777777777779</v>
      </c>
      <c r="H1842" s="3">
        <v>3.92640277777778E-2</v>
      </c>
    </row>
    <row r="1843" spans="7:8" x14ac:dyDescent="0.3">
      <c r="G1843" s="15">
        <v>5.1055555555555552</v>
      </c>
      <c r="H1843" s="3">
        <v>3.9263055555555579E-2</v>
      </c>
    </row>
    <row r="1844" spans="7:8" x14ac:dyDescent="0.3">
      <c r="G1844" s="15">
        <v>5.1083333333333334</v>
      </c>
      <c r="H1844" s="3">
        <v>3.9262083333333357E-2</v>
      </c>
    </row>
    <row r="1845" spans="7:8" x14ac:dyDescent="0.3">
      <c r="G1845" s="15">
        <v>5.1111111111111107</v>
      </c>
      <c r="H1845" s="3">
        <v>3.9261111111111135E-2</v>
      </c>
    </row>
    <row r="1846" spans="7:8" x14ac:dyDescent="0.3">
      <c r="G1846" s="15">
        <v>5.1138888888888889</v>
      </c>
      <c r="H1846" s="3">
        <v>3.9260138888888914E-2</v>
      </c>
    </row>
    <row r="1847" spans="7:8" x14ac:dyDescent="0.3">
      <c r="G1847" s="15">
        <v>5.1166666666666663</v>
      </c>
      <c r="H1847" s="3">
        <v>3.9259166666666692E-2</v>
      </c>
    </row>
    <row r="1848" spans="7:8" x14ac:dyDescent="0.3">
      <c r="G1848" s="15">
        <v>5.1194444444444445</v>
      </c>
      <c r="H1848" s="3">
        <v>3.9258194444444471E-2</v>
      </c>
    </row>
    <row r="1849" spans="7:8" x14ac:dyDescent="0.3">
      <c r="G1849" s="15">
        <v>5.1222222222222218</v>
      </c>
      <c r="H1849" s="3">
        <v>3.9257222222222249E-2</v>
      </c>
    </row>
    <row r="1850" spans="7:8" x14ac:dyDescent="0.3">
      <c r="G1850" s="15">
        <v>5.125</v>
      </c>
      <c r="H1850" s="3">
        <v>3.9256250000000027E-2</v>
      </c>
    </row>
    <row r="1851" spans="7:8" x14ac:dyDescent="0.3">
      <c r="G1851" s="15">
        <v>5.1277777777777782</v>
      </c>
      <c r="H1851" s="3">
        <v>3.9255277777777806E-2</v>
      </c>
    </row>
    <row r="1852" spans="7:8" x14ac:dyDescent="0.3">
      <c r="G1852" s="15">
        <v>5.1305555555555555</v>
      </c>
      <c r="H1852" s="3">
        <v>3.9254305555555584E-2</v>
      </c>
    </row>
    <row r="1853" spans="7:8" x14ac:dyDescent="0.3">
      <c r="G1853" s="15">
        <v>5.1333333333333337</v>
      </c>
      <c r="H1853" s="3">
        <v>3.9253333333333362E-2</v>
      </c>
    </row>
    <row r="1854" spans="7:8" x14ac:dyDescent="0.3">
      <c r="G1854" s="15">
        <v>5.1361111111111111</v>
      </c>
      <c r="H1854" s="3">
        <v>3.9252361111111141E-2</v>
      </c>
    </row>
    <row r="1855" spans="7:8" x14ac:dyDescent="0.3">
      <c r="G1855" s="15">
        <v>5.1388888888888893</v>
      </c>
      <c r="H1855" s="3">
        <v>3.9251388888888919E-2</v>
      </c>
    </row>
    <row r="1856" spans="7:8" x14ac:dyDescent="0.3">
      <c r="G1856" s="15">
        <v>5.1416666666666666</v>
      </c>
      <c r="H1856" s="3">
        <v>3.9250416666666697E-2</v>
      </c>
    </row>
    <row r="1857" spans="7:8" x14ac:dyDescent="0.3">
      <c r="G1857" s="15">
        <v>5.1444444444444448</v>
      </c>
      <c r="H1857" s="3">
        <v>3.9249444444444476E-2</v>
      </c>
    </row>
    <row r="1858" spans="7:8" x14ac:dyDescent="0.3">
      <c r="G1858" s="15">
        <v>5.1472222222222221</v>
      </c>
      <c r="H1858" s="3">
        <v>3.9248472222222254E-2</v>
      </c>
    </row>
    <row r="1859" spans="7:8" x14ac:dyDescent="0.3">
      <c r="G1859" s="15">
        <v>5.15</v>
      </c>
      <c r="H1859" s="3">
        <v>3.9247500000000032E-2</v>
      </c>
    </row>
    <row r="1860" spans="7:8" x14ac:dyDescent="0.3">
      <c r="G1860" s="15">
        <v>5.1527777777777777</v>
      </c>
      <c r="H1860" s="3">
        <v>3.9246527777777811E-2</v>
      </c>
    </row>
    <row r="1861" spans="7:8" x14ac:dyDescent="0.3">
      <c r="G1861" s="15">
        <v>5.1555555555555559</v>
      </c>
      <c r="H1861" s="3">
        <v>3.9245555555555589E-2</v>
      </c>
    </row>
    <row r="1862" spans="7:8" x14ac:dyDescent="0.3">
      <c r="G1862" s="15">
        <v>5.1583333333333332</v>
      </c>
      <c r="H1862" s="3">
        <v>3.9244583333333367E-2</v>
      </c>
    </row>
    <row r="1863" spans="7:8" x14ac:dyDescent="0.3">
      <c r="G1863" s="15">
        <v>5.1611111111111114</v>
      </c>
      <c r="H1863" s="3">
        <v>3.9243611111111146E-2</v>
      </c>
    </row>
    <row r="1864" spans="7:8" x14ac:dyDescent="0.3">
      <c r="G1864" s="15">
        <v>5.1638888888888888</v>
      </c>
      <c r="H1864" s="3">
        <v>3.9242638888888924E-2</v>
      </c>
    </row>
    <row r="1865" spans="7:8" x14ac:dyDescent="0.3">
      <c r="G1865" s="15">
        <v>5.166666666666667</v>
      </c>
      <c r="H1865" s="3">
        <v>3.9241666666666702E-2</v>
      </c>
    </row>
    <row r="1866" spans="7:8" x14ac:dyDescent="0.3">
      <c r="G1866" s="15">
        <v>5.1694444444444443</v>
      </c>
      <c r="H1866" s="3">
        <v>3.9240694444444481E-2</v>
      </c>
    </row>
    <row r="1867" spans="7:8" x14ac:dyDescent="0.3">
      <c r="G1867" s="15">
        <v>5.1722222222222225</v>
      </c>
      <c r="H1867" s="3">
        <v>3.9239722222222259E-2</v>
      </c>
    </row>
    <row r="1868" spans="7:8" x14ac:dyDescent="0.3">
      <c r="G1868" s="15">
        <v>5.1749999999999998</v>
      </c>
      <c r="H1868" s="3">
        <v>3.9238750000000037E-2</v>
      </c>
    </row>
    <row r="1869" spans="7:8" x14ac:dyDescent="0.3">
      <c r="G1869" s="15">
        <v>5.177777777777778</v>
      </c>
      <c r="H1869" s="3">
        <v>3.9237777777777816E-2</v>
      </c>
    </row>
    <row r="1870" spans="7:8" x14ac:dyDescent="0.3">
      <c r="G1870" s="15">
        <v>5.1805555555555554</v>
      </c>
      <c r="H1870" s="3">
        <v>3.9236805555555594E-2</v>
      </c>
    </row>
    <row r="1871" spans="7:8" x14ac:dyDescent="0.3">
      <c r="G1871" s="15">
        <v>5.1833333333333336</v>
      </c>
      <c r="H1871" s="3">
        <v>3.9235833333333373E-2</v>
      </c>
    </row>
    <row r="1872" spans="7:8" x14ac:dyDescent="0.3">
      <c r="G1872" s="15">
        <v>5.1861111111111109</v>
      </c>
      <c r="H1872" s="3">
        <v>3.9234861111111151E-2</v>
      </c>
    </row>
    <row r="1873" spans="7:8" x14ac:dyDescent="0.3">
      <c r="G1873" s="15">
        <v>5.1888888888888891</v>
      </c>
      <c r="H1873" s="3">
        <v>3.9233888888888929E-2</v>
      </c>
    </row>
    <row r="1874" spans="7:8" x14ac:dyDescent="0.3">
      <c r="G1874" s="15">
        <v>5.1916666666666664</v>
      </c>
      <c r="H1874" s="3">
        <v>3.9232916666666708E-2</v>
      </c>
    </row>
    <row r="1875" spans="7:8" x14ac:dyDescent="0.3">
      <c r="G1875" s="15">
        <v>5.1944444444444446</v>
      </c>
      <c r="H1875" s="3">
        <v>3.9231944444444486E-2</v>
      </c>
    </row>
    <row r="1876" spans="7:8" x14ac:dyDescent="0.3">
      <c r="G1876" s="15">
        <v>5.197222222222222</v>
      </c>
      <c r="H1876" s="3">
        <v>3.9230972222222264E-2</v>
      </c>
    </row>
    <row r="1877" spans="7:8" x14ac:dyDescent="0.3">
      <c r="G1877" s="15">
        <v>5.2</v>
      </c>
      <c r="H1877" s="3">
        <v>3.9230000000000043E-2</v>
      </c>
    </row>
    <row r="1878" spans="7:8" x14ac:dyDescent="0.3">
      <c r="G1878" s="15">
        <v>5.2027777777777775</v>
      </c>
      <c r="H1878" s="3">
        <v>3.9229027777777821E-2</v>
      </c>
    </row>
    <row r="1879" spans="7:8" x14ac:dyDescent="0.3">
      <c r="G1879" s="15">
        <v>5.2055555555555557</v>
      </c>
      <c r="H1879" s="3">
        <v>3.9228055555555599E-2</v>
      </c>
    </row>
    <row r="1880" spans="7:8" x14ac:dyDescent="0.3">
      <c r="G1880" s="15">
        <v>5.208333333333333</v>
      </c>
      <c r="H1880" s="3">
        <v>3.9227083333333378E-2</v>
      </c>
    </row>
    <row r="1881" spans="7:8" x14ac:dyDescent="0.3">
      <c r="G1881" s="15">
        <v>5.2111111111111112</v>
      </c>
      <c r="H1881" s="3">
        <v>3.9226111111111156E-2</v>
      </c>
    </row>
    <row r="1882" spans="7:8" x14ac:dyDescent="0.3">
      <c r="G1882" s="15">
        <v>5.2138888888888886</v>
      </c>
      <c r="H1882" s="3">
        <v>3.9225138888888934E-2</v>
      </c>
    </row>
    <row r="1883" spans="7:8" x14ac:dyDescent="0.3">
      <c r="G1883" s="15">
        <v>5.2166666666666668</v>
      </c>
      <c r="H1883" s="3">
        <v>3.9224166666666713E-2</v>
      </c>
    </row>
    <row r="1884" spans="7:8" x14ac:dyDescent="0.3">
      <c r="G1884" s="15">
        <v>5.2194444444444441</v>
      </c>
      <c r="H1884" s="3">
        <v>3.9223194444444491E-2</v>
      </c>
    </row>
    <row r="1885" spans="7:8" x14ac:dyDescent="0.3">
      <c r="G1885" s="15">
        <v>5.2222222222222223</v>
      </c>
      <c r="H1885" s="3">
        <v>3.9222222222222269E-2</v>
      </c>
    </row>
    <row r="1886" spans="7:8" x14ac:dyDescent="0.3">
      <c r="G1886" s="15">
        <v>5.2249999999999996</v>
      </c>
      <c r="H1886" s="3">
        <v>3.9221250000000048E-2</v>
      </c>
    </row>
    <row r="1887" spans="7:8" x14ac:dyDescent="0.3">
      <c r="G1887" s="15">
        <v>5.2277777777777779</v>
      </c>
      <c r="H1887" s="3">
        <v>3.9220277777777826E-2</v>
      </c>
    </row>
    <row r="1888" spans="7:8" x14ac:dyDescent="0.3">
      <c r="G1888" s="15">
        <v>5.2305555555555552</v>
      </c>
      <c r="H1888" s="3">
        <v>3.9219305555555604E-2</v>
      </c>
    </row>
    <row r="1889" spans="7:8" x14ac:dyDescent="0.3">
      <c r="G1889" s="15">
        <v>5.2333333333333334</v>
      </c>
      <c r="H1889" s="3">
        <v>3.9218333333333383E-2</v>
      </c>
    </row>
    <row r="1890" spans="7:8" x14ac:dyDescent="0.3">
      <c r="G1890" s="15">
        <v>5.2361111111111107</v>
      </c>
      <c r="H1890" s="3">
        <v>3.9217361111111161E-2</v>
      </c>
    </row>
    <row r="1891" spans="7:8" x14ac:dyDescent="0.3">
      <c r="G1891" s="15">
        <v>5.2388888888888889</v>
      </c>
      <c r="H1891" s="3">
        <v>3.9216388888888939E-2</v>
      </c>
    </row>
    <row r="1892" spans="7:8" x14ac:dyDescent="0.3">
      <c r="G1892" s="15">
        <v>5.2416666666666663</v>
      </c>
      <c r="H1892" s="3">
        <v>3.9215416666666718E-2</v>
      </c>
    </row>
    <row r="1893" spans="7:8" x14ac:dyDescent="0.3">
      <c r="G1893" s="15">
        <v>5.2444444444444445</v>
      </c>
      <c r="H1893" s="3">
        <v>3.9214444444444496E-2</v>
      </c>
    </row>
    <row r="1894" spans="7:8" x14ac:dyDescent="0.3">
      <c r="G1894" s="15">
        <v>5.2472222222222218</v>
      </c>
      <c r="H1894" s="3">
        <v>3.9213472222222275E-2</v>
      </c>
    </row>
    <row r="1895" spans="7:8" x14ac:dyDescent="0.3">
      <c r="G1895" s="15">
        <v>5.25</v>
      </c>
      <c r="H1895" s="3">
        <v>3.9212500000000053E-2</v>
      </c>
    </row>
    <row r="1896" spans="7:8" x14ac:dyDescent="0.3">
      <c r="G1896" s="15">
        <v>5.2527777777777782</v>
      </c>
      <c r="H1896" s="3">
        <v>3.9211527777777831E-2</v>
      </c>
    </row>
    <row r="1897" spans="7:8" x14ac:dyDescent="0.3">
      <c r="G1897" s="15">
        <v>5.2555555555555555</v>
      </c>
      <c r="H1897" s="3">
        <v>3.921055555555561E-2</v>
      </c>
    </row>
    <row r="1898" spans="7:8" x14ac:dyDescent="0.3">
      <c r="G1898" s="15">
        <v>5.2583333333333337</v>
      </c>
      <c r="H1898" s="3">
        <v>3.9209583333333388E-2</v>
      </c>
    </row>
    <row r="1899" spans="7:8" x14ac:dyDescent="0.3">
      <c r="G1899" s="15">
        <v>5.2611111111111111</v>
      </c>
      <c r="H1899" s="3">
        <v>3.9208611111111166E-2</v>
      </c>
    </row>
    <row r="1900" spans="7:8" x14ac:dyDescent="0.3">
      <c r="G1900" s="15">
        <v>5.2638888888888893</v>
      </c>
      <c r="H1900" s="3">
        <v>3.9207638888888945E-2</v>
      </c>
    </row>
    <row r="1901" spans="7:8" x14ac:dyDescent="0.3">
      <c r="G1901" s="15">
        <v>5.2666666666666666</v>
      </c>
      <c r="H1901" s="3">
        <v>3.9206666666666723E-2</v>
      </c>
    </row>
    <row r="1902" spans="7:8" x14ac:dyDescent="0.3">
      <c r="G1902" s="15">
        <v>5.2694444444444448</v>
      </c>
      <c r="H1902" s="3">
        <v>3.9205694444444501E-2</v>
      </c>
    </row>
    <row r="1903" spans="7:8" x14ac:dyDescent="0.3">
      <c r="G1903" s="15">
        <v>5.2722222222222221</v>
      </c>
      <c r="H1903" s="3">
        <v>3.920472222222228E-2</v>
      </c>
    </row>
    <row r="1904" spans="7:8" x14ac:dyDescent="0.3">
      <c r="G1904" s="15">
        <v>5.2750000000000004</v>
      </c>
      <c r="H1904" s="3">
        <v>3.9203750000000058E-2</v>
      </c>
    </row>
    <row r="1905" spans="7:8" x14ac:dyDescent="0.3">
      <c r="G1905" s="15">
        <v>5.2777777777777777</v>
      </c>
      <c r="H1905" s="3">
        <v>3.9202777777777836E-2</v>
      </c>
    </row>
    <row r="1906" spans="7:8" x14ac:dyDescent="0.3">
      <c r="G1906" s="15">
        <v>5.2805555555555559</v>
      </c>
      <c r="H1906" s="3">
        <v>3.9201805555555615E-2</v>
      </c>
    </row>
    <row r="1907" spans="7:8" x14ac:dyDescent="0.3">
      <c r="G1907" s="15">
        <v>5.2833333333333332</v>
      </c>
      <c r="H1907" s="3">
        <v>3.9200833333333393E-2</v>
      </c>
    </row>
    <row r="1908" spans="7:8" x14ac:dyDescent="0.3">
      <c r="G1908" s="15">
        <v>5.2861111111111114</v>
      </c>
      <c r="H1908" s="3">
        <v>3.9199861111111171E-2</v>
      </c>
    </row>
    <row r="1909" spans="7:8" x14ac:dyDescent="0.3">
      <c r="G1909" s="15">
        <v>5.2888888888888888</v>
      </c>
      <c r="H1909" s="3">
        <v>3.919888888888895E-2</v>
      </c>
    </row>
    <row r="1910" spans="7:8" x14ac:dyDescent="0.3">
      <c r="G1910" s="15">
        <v>5.291666666666667</v>
      </c>
      <c r="H1910" s="3">
        <v>3.9197916666666728E-2</v>
      </c>
    </row>
    <row r="1911" spans="7:8" x14ac:dyDescent="0.3">
      <c r="G1911" s="15">
        <v>5.2944444444444443</v>
      </c>
      <c r="H1911" s="3">
        <v>3.9196944444444506E-2</v>
      </c>
    </row>
    <row r="1912" spans="7:8" x14ac:dyDescent="0.3">
      <c r="G1912" s="15">
        <v>5.2972222222222225</v>
      </c>
      <c r="H1912" s="3">
        <v>3.9195972222222285E-2</v>
      </c>
    </row>
    <row r="1913" spans="7:8" x14ac:dyDescent="0.3">
      <c r="G1913" s="15">
        <v>5.3</v>
      </c>
      <c r="H1913" s="3">
        <v>3.9195000000000063E-2</v>
      </c>
    </row>
    <row r="1914" spans="7:8" x14ac:dyDescent="0.3">
      <c r="G1914" s="15">
        <v>5.302777777777778</v>
      </c>
      <c r="H1914" s="3">
        <v>3.9194027777777841E-2</v>
      </c>
    </row>
    <row r="1915" spans="7:8" x14ac:dyDescent="0.3">
      <c r="G1915" s="15">
        <v>5.3055555555555554</v>
      </c>
      <c r="H1915" s="3">
        <v>3.919305555555562E-2</v>
      </c>
    </row>
    <row r="1916" spans="7:8" x14ac:dyDescent="0.3">
      <c r="G1916" s="15">
        <v>5.3083333333333336</v>
      </c>
      <c r="H1916" s="3">
        <v>3.9192083333333398E-2</v>
      </c>
    </row>
    <row r="1917" spans="7:8" x14ac:dyDescent="0.3">
      <c r="G1917" s="15">
        <v>5.3111111111111109</v>
      </c>
      <c r="H1917" s="3">
        <v>3.9191111111111177E-2</v>
      </c>
    </row>
    <row r="1918" spans="7:8" x14ac:dyDescent="0.3">
      <c r="G1918" s="15">
        <v>5.3138888888888891</v>
      </c>
      <c r="H1918" s="3">
        <v>3.9190138888888955E-2</v>
      </c>
    </row>
    <row r="1919" spans="7:8" x14ac:dyDescent="0.3">
      <c r="G1919" s="15">
        <v>5.3166666666666664</v>
      </c>
      <c r="H1919" s="3">
        <v>3.9189166666666733E-2</v>
      </c>
    </row>
    <row r="1920" spans="7:8" x14ac:dyDescent="0.3">
      <c r="G1920" s="15">
        <v>5.3194444444444446</v>
      </c>
      <c r="H1920" s="3">
        <v>3.9188194444444512E-2</v>
      </c>
    </row>
    <row r="1921" spans="7:8" x14ac:dyDescent="0.3">
      <c r="G1921" s="15">
        <v>5.322222222222222</v>
      </c>
      <c r="H1921" s="3">
        <v>3.918722222222229E-2</v>
      </c>
    </row>
    <row r="1922" spans="7:8" x14ac:dyDescent="0.3">
      <c r="G1922" s="15">
        <v>5.3250000000000002</v>
      </c>
      <c r="H1922" s="3">
        <v>3.9186250000000068E-2</v>
      </c>
    </row>
    <row r="1923" spans="7:8" x14ac:dyDescent="0.3">
      <c r="G1923" s="15">
        <v>5.3277777777777775</v>
      </c>
      <c r="H1923" s="3">
        <v>3.9185277777777847E-2</v>
      </c>
    </row>
    <row r="1924" spans="7:8" x14ac:dyDescent="0.3">
      <c r="G1924" s="15">
        <v>5.3305555555555557</v>
      </c>
      <c r="H1924" s="3">
        <v>3.9184305555555625E-2</v>
      </c>
    </row>
    <row r="1925" spans="7:8" x14ac:dyDescent="0.3">
      <c r="G1925" s="15">
        <v>5.333333333333333</v>
      </c>
      <c r="H1925" s="3">
        <v>3.9183333333333403E-2</v>
      </c>
    </row>
    <row r="1926" spans="7:8" x14ac:dyDescent="0.3">
      <c r="G1926" s="15">
        <v>5.3361111111111112</v>
      </c>
      <c r="H1926" s="3">
        <v>3.9182361111111182E-2</v>
      </c>
    </row>
    <row r="1927" spans="7:8" x14ac:dyDescent="0.3">
      <c r="G1927" s="15">
        <v>5.3388888888888886</v>
      </c>
      <c r="H1927" s="3">
        <v>3.918138888888896E-2</v>
      </c>
    </row>
    <row r="1928" spans="7:8" x14ac:dyDescent="0.3">
      <c r="G1928" s="15">
        <v>5.3416666666666668</v>
      </c>
      <c r="H1928" s="3">
        <v>3.9180416666666738E-2</v>
      </c>
    </row>
    <row r="1929" spans="7:8" x14ac:dyDescent="0.3">
      <c r="G1929" s="15">
        <v>5.3444444444444441</v>
      </c>
      <c r="H1929" s="3">
        <v>3.9179444444444517E-2</v>
      </c>
    </row>
    <row r="1930" spans="7:8" x14ac:dyDescent="0.3">
      <c r="G1930" s="15">
        <v>5.3472222222222223</v>
      </c>
      <c r="H1930" s="3">
        <v>3.9178472222222295E-2</v>
      </c>
    </row>
    <row r="1931" spans="7:8" x14ac:dyDescent="0.3">
      <c r="G1931" s="15">
        <v>5.35</v>
      </c>
      <c r="H1931" s="3">
        <v>3.9177500000000073E-2</v>
      </c>
    </row>
    <row r="1932" spans="7:8" x14ac:dyDescent="0.3">
      <c r="G1932" s="15">
        <v>5.3527777777777779</v>
      </c>
      <c r="H1932" s="3">
        <v>3.9176527777777852E-2</v>
      </c>
    </row>
    <row r="1933" spans="7:8" x14ac:dyDescent="0.3">
      <c r="G1933" s="15">
        <v>5.3555555555555552</v>
      </c>
      <c r="H1933" s="3">
        <v>3.917555555555563E-2</v>
      </c>
    </row>
    <row r="1934" spans="7:8" x14ac:dyDescent="0.3">
      <c r="G1934" s="15">
        <v>5.3583333333333334</v>
      </c>
      <c r="H1934" s="3">
        <v>3.9174583333333408E-2</v>
      </c>
    </row>
    <row r="1935" spans="7:8" x14ac:dyDescent="0.3">
      <c r="G1935" s="15">
        <v>5.3611111111111107</v>
      </c>
      <c r="H1935" s="3">
        <v>3.9173611111111187E-2</v>
      </c>
    </row>
    <row r="1936" spans="7:8" x14ac:dyDescent="0.3">
      <c r="G1936" s="15">
        <v>5.3638888888888889</v>
      </c>
      <c r="H1936" s="3">
        <v>3.9172638888888965E-2</v>
      </c>
    </row>
    <row r="1937" spans="7:8" x14ac:dyDescent="0.3">
      <c r="G1937" s="15">
        <v>5.3666666666666663</v>
      </c>
      <c r="H1937" s="3">
        <v>3.9171666666666743E-2</v>
      </c>
    </row>
    <row r="1938" spans="7:8" x14ac:dyDescent="0.3">
      <c r="G1938" s="15">
        <v>5.3694444444444445</v>
      </c>
      <c r="H1938" s="3">
        <v>3.9170694444444522E-2</v>
      </c>
    </row>
    <row r="1939" spans="7:8" x14ac:dyDescent="0.3">
      <c r="G1939" s="15">
        <v>5.3722222222222218</v>
      </c>
      <c r="H1939" s="3">
        <v>3.91697222222223E-2</v>
      </c>
    </row>
    <row r="1940" spans="7:8" x14ac:dyDescent="0.3">
      <c r="G1940" s="15">
        <v>5.375</v>
      </c>
      <c r="H1940" s="3">
        <v>3.9168750000000079E-2</v>
      </c>
    </row>
    <row r="1941" spans="7:8" x14ac:dyDescent="0.3">
      <c r="G1941" s="15">
        <v>5.3777777777777782</v>
      </c>
      <c r="H1941" s="3">
        <v>3.9167777777777857E-2</v>
      </c>
    </row>
    <row r="1942" spans="7:8" x14ac:dyDescent="0.3">
      <c r="G1942" s="15">
        <v>5.3805555555555555</v>
      </c>
      <c r="H1942" s="3">
        <v>3.9166805555555635E-2</v>
      </c>
    </row>
    <row r="1943" spans="7:8" x14ac:dyDescent="0.3">
      <c r="G1943" s="15">
        <v>5.3833333333333337</v>
      </c>
      <c r="H1943" s="3">
        <v>3.9165833333333414E-2</v>
      </c>
    </row>
    <row r="1944" spans="7:8" x14ac:dyDescent="0.3">
      <c r="G1944" s="15">
        <v>5.3861111111111111</v>
      </c>
      <c r="H1944" s="3">
        <v>3.9164861111111192E-2</v>
      </c>
    </row>
    <row r="1945" spans="7:8" x14ac:dyDescent="0.3">
      <c r="G1945" s="15">
        <v>5.3888888888888893</v>
      </c>
      <c r="H1945" s="3">
        <v>3.916388888888897E-2</v>
      </c>
    </row>
    <row r="1946" spans="7:8" x14ac:dyDescent="0.3">
      <c r="G1946" s="15">
        <v>5.3916666666666666</v>
      </c>
      <c r="H1946" s="3">
        <v>3.9162916666666749E-2</v>
      </c>
    </row>
    <row r="1947" spans="7:8" x14ac:dyDescent="0.3">
      <c r="G1947" s="15">
        <v>5.3944444444444448</v>
      </c>
      <c r="H1947" s="3">
        <v>3.9161944444444527E-2</v>
      </c>
    </row>
    <row r="1948" spans="7:8" x14ac:dyDescent="0.3">
      <c r="G1948" s="15">
        <v>5.3972222222222221</v>
      </c>
      <c r="H1948" s="3">
        <v>3.9160972222222305E-2</v>
      </c>
    </row>
    <row r="1949" spans="7:8" x14ac:dyDescent="0.3">
      <c r="G1949" s="15">
        <v>5.4</v>
      </c>
      <c r="H1949" s="3">
        <v>3.9160000000000084E-2</v>
      </c>
    </row>
    <row r="1950" spans="7:8" x14ac:dyDescent="0.3">
      <c r="G1950" s="15">
        <v>5.4027777777777777</v>
      </c>
      <c r="H1950" s="3">
        <v>3.9159027777777862E-2</v>
      </c>
    </row>
    <row r="1951" spans="7:8" x14ac:dyDescent="0.3">
      <c r="G1951" s="15">
        <v>5.4055555555555559</v>
      </c>
      <c r="H1951" s="3">
        <v>3.915805555555564E-2</v>
      </c>
    </row>
    <row r="1952" spans="7:8" x14ac:dyDescent="0.3">
      <c r="G1952" s="15">
        <v>5.4083333333333332</v>
      </c>
      <c r="H1952" s="3">
        <v>3.9157083333333419E-2</v>
      </c>
    </row>
    <row r="1953" spans="7:8" x14ac:dyDescent="0.3">
      <c r="G1953" s="15">
        <v>5.4111111111111114</v>
      </c>
      <c r="H1953" s="3">
        <v>3.9156111111111197E-2</v>
      </c>
    </row>
    <row r="1954" spans="7:8" x14ac:dyDescent="0.3">
      <c r="G1954" s="15">
        <v>5.4138888888888888</v>
      </c>
      <c r="H1954" s="3">
        <v>3.9155138888888975E-2</v>
      </c>
    </row>
    <row r="1955" spans="7:8" x14ac:dyDescent="0.3">
      <c r="G1955" s="15">
        <v>5.416666666666667</v>
      </c>
      <c r="H1955" s="3">
        <v>3.9154166666666754E-2</v>
      </c>
    </row>
    <row r="1956" spans="7:8" x14ac:dyDescent="0.3">
      <c r="G1956" s="15">
        <v>5.4194444444444443</v>
      </c>
      <c r="H1956" s="3">
        <v>3.9153194444444532E-2</v>
      </c>
    </row>
    <row r="1957" spans="7:8" x14ac:dyDescent="0.3">
      <c r="G1957" s="15">
        <v>5.4222222222222225</v>
      </c>
      <c r="H1957" s="3">
        <v>3.915222222222231E-2</v>
      </c>
    </row>
    <row r="1958" spans="7:8" x14ac:dyDescent="0.3">
      <c r="G1958" s="15">
        <v>5.4249999999999998</v>
      </c>
      <c r="H1958" s="3">
        <v>3.9151250000000089E-2</v>
      </c>
    </row>
    <row r="1959" spans="7:8" x14ac:dyDescent="0.3">
      <c r="G1959" s="15">
        <v>5.427777777777778</v>
      </c>
      <c r="H1959" s="3">
        <v>3.9150277777777867E-2</v>
      </c>
    </row>
    <row r="1960" spans="7:8" x14ac:dyDescent="0.3">
      <c r="G1960" s="15">
        <v>5.4305555555555554</v>
      </c>
      <c r="H1960" s="3">
        <v>3.9149305555555645E-2</v>
      </c>
    </row>
    <row r="1961" spans="7:8" x14ac:dyDescent="0.3">
      <c r="G1961" s="15">
        <v>5.4333333333333336</v>
      </c>
      <c r="H1961" s="3">
        <v>3.9148333333333424E-2</v>
      </c>
    </row>
    <row r="1962" spans="7:8" x14ac:dyDescent="0.3">
      <c r="G1962" s="15">
        <v>5.4361111111111109</v>
      </c>
      <c r="H1962" s="3">
        <v>3.9147361111111202E-2</v>
      </c>
    </row>
    <row r="1963" spans="7:8" x14ac:dyDescent="0.3">
      <c r="G1963" s="15">
        <v>5.4388888888888891</v>
      </c>
      <c r="H1963" s="3">
        <v>3.914638888888898E-2</v>
      </c>
    </row>
    <row r="1964" spans="7:8" x14ac:dyDescent="0.3">
      <c r="G1964" s="15">
        <v>5.4416666666666664</v>
      </c>
      <c r="H1964" s="3">
        <v>3.9145416666666759E-2</v>
      </c>
    </row>
    <row r="1965" spans="7:8" x14ac:dyDescent="0.3">
      <c r="G1965" s="15">
        <v>5.4444444444444446</v>
      </c>
      <c r="H1965" s="3">
        <v>3.9144444444444537E-2</v>
      </c>
    </row>
    <row r="1966" spans="7:8" x14ac:dyDescent="0.3">
      <c r="G1966" s="15">
        <v>5.447222222222222</v>
      </c>
      <c r="H1966" s="3">
        <v>3.9143472222222316E-2</v>
      </c>
    </row>
    <row r="1967" spans="7:8" x14ac:dyDescent="0.3">
      <c r="G1967" s="15">
        <v>5.45</v>
      </c>
      <c r="H1967" s="3">
        <v>3.9142500000000094E-2</v>
      </c>
    </row>
    <row r="1968" spans="7:8" x14ac:dyDescent="0.3">
      <c r="G1968" s="15">
        <v>5.4527777777777775</v>
      </c>
      <c r="H1968" s="3">
        <v>3.9141527777777872E-2</v>
      </c>
    </row>
    <row r="1969" spans="7:8" x14ac:dyDescent="0.3">
      <c r="G1969" s="15">
        <v>5.4555555555555557</v>
      </c>
      <c r="H1969" s="3">
        <v>3.9140555555555651E-2</v>
      </c>
    </row>
    <row r="1970" spans="7:8" x14ac:dyDescent="0.3">
      <c r="G1970" s="15">
        <v>5.458333333333333</v>
      </c>
      <c r="H1970" s="3">
        <v>3.9139583333333429E-2</v>
      </c>
    </row>
    <row r="1971" spans="7:8" x14ac:dyDescent="0.3">
      <c r="G1971" s="15">
        <v>5.4611111111111112</v>
      </c>
      <c r="H1971" s="3">
        <v>3.9138611111111207E-2</v>
      </c>
    </row>
    <row r="1972" spans="7:8" x14ac:dyDescent="0.3">
      <c r="G1972" s="15">
        <v>5.4638888888888886</v>
      </c>
      <c r="H1972" s="3">
        <v>3.9137638888888986E-2</v>
      </c>
    </row>
    <row r="1973" spans="7:8" x14ac:dyDescent="0.3">
      <c r="G1973" s="15">
        <v>5.4666666666666668</v>
      </c>
      <c r="H1973" s="3">
        <v>3.9136666666666764E-2</v>
      </c>
    </row>
    <row r="1974" spans="7:8" x14ac:dyDescent="0.3">
      <c r="G1974" s="15">
        <v>5.4694444444444441</v>
      </c>
      <c r="H1974" s="3">
        <v>3.9135694444444542E-2</v>
      </c>
    </row>
    <row r="1975" spans="7:8" x14ac:dyDescent="0.3">
      <c r="G1975" s="15">
        <v>5.4722222222222223</v>
      </c>
      <c r="H1975" s="3">
        <v>3.9134722222222321E-2</v>
      </c>
    </row>
    <row r="1976" spans="7:8" x14ac:dyDescent="0.3">
      <c r="G1976" s="15">
        <v>5.4749999999999996</v>
      </c>
      <c r="H1976" s="3">
        <v>3.9133750000000099E-2</v>
      </c>
    </row>
    <row r="1977" spans="7:8" x14ac:dyDescent="0.3">
      <c r="G1977" s="15">
        <v>5.4777777777777779</v>
      </c>
      <c r="H1977" s="3">
        <v>3.9132777777777877E-2</v>
      </c>
    </row>
    <row r="1978" spans="7:8" x14ac:dyDescent="0.3">
      <c r="G1978" s="15">
        <v>5.4805555555555552</v>
      </c>
      <c r="H1978" s="3">
        <v>3.9131805555555656E-2</v>
      </c>
    </row>
    <row r="1979" spans="7:8" x14ac:dyDescent="0.3">
      <c r="G1979" s="15">
        <v>5.4833333333333334</v>
      </c>
      <c r="H1979" s="3">
        <v>3.9130833333333434E-2</v>
      </c>
    </row>
    <row r="1980" spans="7:8" x14ac:dyDescent="0.3">
      <c r="G1980" s="15">
        <v>5.4861111111111107</v>
      </c>
      <c r="H1980" s="3">
        <v>3.9129861111111212E-2</v>
      </c>
    </row>
    <row r="1981" spans="7:8" x14ac:dyDescent="0.3">
      <c r="G1981" s="15">
        <v>5.4888888888888889</v>
      </c>
      <c r="H1981" s="3">
        <v>3.9128888888888991E-2</v>
      </c>
    </row>
    <row r="1982" spans="7:8" x14ac:dyDescent="0.3">
      <c r="G1982" s="15">
        <v>5.4916666666666663</v>
      </c>
      <c r="H1982" s="3">
        <v>3.9127916666666769E-2</v>
      </c>
    </row>
    <row r="1983" spans="7:8" x14ac:dyDescent="0.3">
      <c r="G1983" s="15">
        <v>5.4944444444444445</v>
      </c>
      <c r="H1983" s="3">
        <v>3.9126944444444547E-2</v>
      </c>
    </row>
    <row r="1984" spans="7:8" x14ac:dyDescent="0.3">
      <c r="G1984" s="15">
        <v>5.4972222222222218</v>
      </c>
      <c r="H1984" s="3">
        <v>3.9125972222222326E-2</v>
      </c>
    </row>
    <row r="1985" spans="7:8" x14ac:dyDescent="0.3">
      <c r="G1985" s="15">
        <v>5.5</v>
      </c>
      <c r="H1985" s="3">
        <v>3.9125000000000104E-2</v>
      </c>
    </row>
    <row r="1986" spans="7:8" x14ac:dyDescent="0.3">
      <c r="G1986" s="15">
        <v>5.5027777777777782</v>
      </c>
      <c r="H1986" s="3">
        <v>3.9124027777777882E-2</v>
      </c>
    </row>
    <row r="1987" spans="7:8" x14ac:dyDescent="0.3">
      <c r="G1987" s="15">
        <v>5.5055555555555555</v>
      </c>
      <c r="H1987" s="3">
        <v>3.9123055555555661E-2</v>
      </c>
    </row>
    <row r="1988" spans="7:8" x14ac:dyDescent="0.3">
      <c r="G1988" s="15">
        <v>5.5083333333333337</v>
      </c>
      <c r="H1988" s="3">
        <v>3.9122083333333439E-2</v>
      </c>
    </row>
    <row r="1989" spans="7:8" x14ac:dyDescent="0.3">
      <c r="G1989" s="15">
        <v>5.5111111111111111</v>
      </c>
      <c r="H1989" s="3">
        <v>3.9121111111111218E-2</v>
      </c>
    </row>
    <row r="1990" spans="7:8" x14ac:dyDescent="0.3">
      <c r="G1990" s="15">
        <v>5.5138888888888893</v>
      </c>
      <c r="H1990" s="3">
        <v>3.9120138888888996E-2</v>
      </c>
    </row>
    <row r="1991" spans="7:8" x14ac:dyDescent="0.3">
      <c r="G1991" s="15">
        <v>5.5166666666666666</v>
      </c>
      <c r="H1991" s="3">
        <v>3.9119166666666774E-2</v>
      </c>
    </row>
    <row r="1992" spans="7:8" x14ac:dyDescent="0.3">
      <c r="G1992" s="15">
        <v>5.5194444444444448</v>
      </c>
      <c r="H1992" s="3">
        <v>3.9118194444444553E-2</v>
      </c>
    </row>
    <row r="1993" spans="7:8" x14ac:dyDescent="0.3">
      <c r="G1993" s="15">
        <v>5.5222222222222221</v>
      </c>
      <c r="H1993" s="3">
        <v>3.9117222222222331E-2</v>
      </c>
    </row>
    <row r="1994" spans="7:8" x14ac:dyDescent="0.3">
      <c r="G1994" s="15">
        <v>5.5250000000000004</v>
      </c>
      <c r="H1994" s="3">
        <v>3.9116250000000109E-2</v>
      </c>
    </row>
    <row r="1995" spans="7:8" x14ac:dyDescent="0.3">
      <c r="G1995" s="15">
        <v>5.5277777777777777</v>
      </c>
      <c r="H1995" s="3">
        <v>3.9115277777777888E-2</v>
      </c>
    </row>
    <row r="1996" spans="7:8" x14ac:dyDescent="0.3">
      <c r="G1996" s="15">
        <v>5.5305555555555559</v>
      </c>
      <c r="H1996" s="3">
        <v>3.9114305555555666E-2</v>
      </c>
    </row>
    <row r="1997" spans="7:8" x14ac:dyDescent="0.3">
      <c r="G1997" s="15">
        <v>5.5333333333333332</v>
      </c>
      <c r="H1997" s="3">
        <v>3.9113333333333444E-2</v>
      </c>
    </row>
    <row r="1998" spans="7:8" x14ac:dyDescent="0.3">
      <c r="G1998" s="15">
        <v>5.5361111111111114</v>
      </c>
      <c r="H1998" s="3">
        <v>3.9112361111111223E-2</v>
      </c>
    </row>
    <row r="1999" spans="7:8" x14ac:dyDescent="0.3">
      <c r="G1999" s="15">
        <v>5.5388888888888888</v>
      </c>
      <c r="H1999" s="3">
        <v>3.9111388888889001E-2</v>
      </c>
    </row>
    <row r="2000" spans="7:8" x14ac:dyDescent="0.3">
      <c r="G2000" s="15">
        <v>5.541666666666667</v>
      </c>
      <c r="H2000" s="3">
        <v>3.9110416666666779E-2</v>
      </c>
    </row>
    <row r="2001" spans="7:8" x14ac:dyDescent="0.3">
      <c r="G2001" s="15">
        <v>5.5444444444444443</v>
      </c>
      <c r="H2001" s="3">
        <v>3.9109444444444558E-2</v>
      </c>
    </row>
    <row r="2002" spans="7:8" x14ac:dyDescent="0.3">
      <c r="G2002" s="15">
        <v>5.5472222222222225</v>
      </c>
      <c r="H2002" s="3">
        <v>3.9108472222222336E-2</v>
      </c>
    </row>
    <row r="2003" spans="7:8" x14ac:dyDescent="0.3">
      <c r="G2003" s="15">
        <v>5.55</v>
      </c>
      <c r="H2003" s="3">
        <v>3.9107500000000114E-2</v>
      </c>
    </row>
    <row r="2004" spans="7:8" x14ac:dyDescent="0.3">
      <c r="G2004" s="15">
        <v>5.552777777777778</v>
      </c>
      <c r="H2004" s="3">
        <v>3.9106527777777893E-2</v>
      </c>
    </row>
    <row r="2005" spans="7:8" x14ac:dyDescent="0.3">
      <c r="G2005" s="15">
        <v>5.5555555555555554</v>
      </c>
      <c r="H2005" s="3">
        <v>3.9105555555555671E-2</v>
      </c>
    </row>
    <row r="2006" spans="7:8" x14ac:dyDescent="0.3">
      <c r="G2006" s="15">
        <v>5.5583333333333336</v>
      </c>
      <c r="H2006" s="3">
        <v>3.9104583333333449E-2</v>
      </c>
    </row>
    <row r="2007" spans="7:8" x14ac:dyDescent="0.3">
      <c r="G2007" s="15">
        <v>5.5611111111111109</v>
      </c>
      <c r="H2007" s="3">
        <v>3.9103611111111228E-2</v>
      </c>
    </row>
    <row r="2008" spans="7:8" x14ac:dyDescent="0.3">
      <c r="G2008" s="15">
        <v>5.5638888888888891</v>
      </c>
      <c r="H2008" s="3">
        <v>3.9102638888889006E-2</v>
      </c>
    </row>
    <row r="2009" spans="7:8" x14ac:dyDescent="0.3">
      <c r="G2009" s="15">
        <v>5.5666666666666664</v>
      </c>
      <c r="H2009" s="3">
        <v>3.9101666666666784E-2</v>
      </c>
    </row>
    <row r="2010" spans="7:8" x14ac:dyDescent="0.3">
      <c r="G2010" s="15">
        <v>5.5694444444444446</v>
      </c>
      <c r="H2010" s="3">
        <v>3.9100694444444563E-2</v>
      </c>
    </row>
    <row r="2011" spans="7:8" x14ac:dyDescent="0.3">
      <c r="G2011" s="15">
        <v>5.572222222222222</v>
      </c>
      <c r="H2011" s="3">
        <v>3.9099722222222341E-2</v>
      </c>
    </row>
    <row r="2012" spans="7:8" x14ac:dyDescent="0.3">
      <c r="G2012" s="15">
        <v>5.5750000000000002</v>
      </c>
      <c r="H2012" s="3">
        <v>3.909875000000012E-2</v>
      </c>
    </row>
    <row r="2013" spans="7:8" x14ac:dyDescent="0.3">
      <c r="G2013" s="15">
        <v>5.5777777777777775</v>
      </c>
      <c r="H2013" s="3">
        <v>3.9097777777777898E-2</v>
      </c>
    </row>
    <row r="2014" spans="7:8" x14ac:dyDescent="0.3">
      <c r="G2014" s="15">
        <v>5.5805555555555557</v>
      </c>
      <c r="H2014" s="3">
        <v>3.9096805555555676E-2</v>
      </c>
    </row>
    <row r="2015" spans="7:8" x14ac:dyDescent="0.3">
      <c r="G2015" s="15">
        <v>5.583333333333333</v>
      </c>
      <c r="H2015" s="3">
        <v>3.9095833333333455E-2</v>
      </c>
    </row>
    <row r="2016" spans="7:8" x14ac:dyDescent="0.3">
      <c r="G2016" s="15">
        <v>5.5861111111111112</v>
      </c>
      <c r="H2016" s="3">
        <v>3.9094861111111233E-2</v>
      </c>
    </row>
    <row r="2017" spans="7:8" x14ac:dyDescent="0.3">
      <c r="G2017" s="15">
        <v>5.5888888888888886</v>
      </c>
      <c r="H2017" s="3">
        <v>3.9093888888889011E-2</v>
      </c>
    </row>
    <row r="2018" spans="7:8" x14ac:dyDescent="0.3">
      <c r="G2018" s="15">
        <v>5.5916666666666668</v>
      </c>
      <c r="H2018" s="3">
        <v>3.909291666666679E-2</v>
      </c>
    </row>
    <row r="2019" spans="7:8" x14ac:dyDescent="0.3">
      <c r="G2019" s="15">
        <v>5.5944444444444441</v>
      </c>
      <c r="H2019" s="3">
        <v>3.9091944444444568E-2</v>
      </c>
    </row>
    <row r="2020" spans="7:8" x14ac:dyDescent="0.3">
      <c r="G2020" s="15">
        <v>5.5972222222222223</v>
      </c>
      <c r="H2020" s="3">
        <v>3.9090972222222346E-2</v>
      </c>
    </row>
    <row r="2021" spans="7:8" x14ac:dyDescent="0.3">
      <c r="G2021" s="15">
        <v>5.6</v>
      </c>
      <c r="H2021" s="3">
        <v>3.9090000000000125E-2</v>
      </c>
    </row>
    <row r="2022" spans="7:8" x14ac:dyDescent="0.3">
      <c r="G2022" s="15">
        <v>5.6027777777777779</v>
      </c>
      <c r="H2022" s="3">
        <v>3.9089027777777903E-2</v>
      </c>
    </row>
    <row r="2023" spans="7:8" x14ac:dyDescent="0.3">
      <c r="G2023" s="15">
        <v>5.6055555555555552</v>
      </c>
      <c r="H2023" s="3">
        <v>3.9088055555555681E-2</v>
      </c>
    </row>
    <row r="2024" spans="7:8" x14ac:dyDescent="0.3">
      <c r="G2024" s="15">
        <v>5.6083333333333334</v>
      </c>
      <c r="H2024" s="3">
        <v>3.908708333333346E-2</v>
      </c>
    </row>
    <row r="2025" spans="7:8" x14ac:dyDescent="0.3">
      <c r="G2025" s="15">
        <v>5.6111111111111107</v>
      </c>
      <c r="H2025" s="3">
        <v>3.9086111111111238E-2</v>
      </c>
    </row>
    <row r="2026" spans="7:8" x14ac:dyDescent="0.3">
      <c r="G2026" s="15">
        <v>5.6138888888888889</v>
      </c>
      <c r="H2026" s="3">
        <v>3.9085138888889016E-2</v>
      </c>
    </row>
    <row r="2027" spans="7:8" x14ac:dyDescent="0.3">
      <c r="G2027" s="15">
        <v>5.6166666666666663</v>
      </c>
      <c r="H2027" s="3">
        <v>3.9084166666666795E-2</v>
      </c>
    </row>
    <row r="2028" spans="7:8" x14ac:dyDescent="0.3">
      <c r="G2028" s="15">
        <v>5.6194444444444445</v>
      </c>
      <c r="H2028" s="3">
        <v>3.9083194444444573E-2</v>
      </c>
    </row>
    <row r="2029" spans="7:8" x14ac:dyDescent="0.3">
      <c r="G2029" s="15">
        <v>5.6222222222222218</v>
      </c>
      <c r="H2029" s="3">
        <v>3.9082222222222351E-2</v>
      </c>
    </row>
    <row r="2030" spans="7:8" x14ac:dyDescent="0.3">
      <c r="G2030" s="15">
        <v>5.625</v>
      </c>
      <c r="H2030" s="3">
        <v>3.908125000000013E-2</v>
      </c>
    </row>
    <row r="2031" spans="7:8" x14ac:dyDescent="0.3">
      <c r="G2031" s="15">
        <v>5.6277777777777782</v>
      </c>
      <c r="H2031" s="3">
        <v>3.9080277777777908E-2</v>
      </c>
    </row>
    <row r="2032" spans="7:8" x14ac:dyDescent="0.3">
      <c r="G2032" s="15">
        <v>5.6305555555555555</v>
      </c>
      <c r="H2032" s="3">
        <v>3.9079305555555686E-2</v>
      </c>
    </row>
    <row r="2033" spans="7:8" x14ac:dyDescent="0.3">
      <c r="G2033" s="15">
        <v>5.6333333333333337</v>
      </c>
      <c r="H2033" s="3">
        <v>3.9078333333333465E-2</v>
      </c>
    </row>
    <row r="2034" spans="7:8" x14ac:dyDescent="0.3">
      <c r="G2034" s="15">
        <v>5.6361111111111111</v>
      </c>
      <c r="H2034" s="3">
        <v>3.9077361111111243E-2</v>
      </c>
    </row>
    <row r="2035" spans="7:8" x14ac:dyDescent="0.3">
      <c r="G2035" s="15">
        <v>5.6388888888888893</v>
      </c>
      <c r="H2035" s="3">
        <v>3.9076388888889022E-2</v>
      </c>
    </row>
    <row r="2036" spans="7:8" x14ac:dyDescent="0.3">
      <c r="G2036" s="15">
        <v>5.6416666666666666</v>
      </c>
      <c r="H2036" s="3">
        <v>3.90754166666668E-2</v>
      </c>
    </row>
    <row r="2037" spans="7:8" x14ac:dyDescent="0.3">
      <c r="G2037" s="15">
        <v>5.6444444444444448</v>
      </c>
      <c r="H2037" s="3">
        <v>3.9074444444444578E-2</v>
      </c>
    </row>
    <row r="2038" spans="7:8" x14ac:dyDescent="0.3">
      <c r="G2038" s="15">
        <v>5.6472222222222221</v>
      </c>
      <c r="H2038" s="3">
        <v>3.9073472222222357E-2</v>
      </c>
    </row>
    <row r="2039" spans="7:8" x14ac:dyDescent="0.3">
      <c r="G2039" s="15">
        <v>5.65</v>
      </c>
      <c r="H2039" s="3">
        <v>3.9072500000000135E-2</v>
      </c>
    </row>
    <row r="2040" spans="7:8" x14ac:dyDescent="0.3">
      <c r="G2040" s="15">
        <v>5.6527777777777777</v>
      </c>
      <c r="H2040" s="3">
        <v>3.9071527777777913E-2</v>
      </c>
    </row>
    <row r="2041" spans="7:8" x14ac:dyDescent="0.3">
      <c r="G2041" s="15">
        <v>5.6555555555555559</v>
      </c>
      <c r="H2041" s="3">
        <v>3.9070555555555692E-2</v>
      </c>
    </row>
    <row r="2042" spans="7:8" x14ac:dyDescent="0.3">
      <c r="G2042" s="15">
        <v>5.6583333333333332</v>
      </c>
      <c r="H2042" s="3">
        <v>3.906958333333347E-2</v>
      </c>
    </row>
    <row r="2043" spans="7:8" x14ac:dyDescent="0.3">
      <c r="G2043" s="15">
        <v>5.6611111111111114</v>
      </c>
      <c r="H2043" s="3">
        <v>3.9068611111111248E-2</v>
      </c>
    </row>
    <row r="2044" spans="7:8" x14ac:dyDescent="0.3">
      <c r="G2044" s="15">
        <v>5.6638888888888888</v>
      </c>
      <c r="H2044" s="3">
        <v>3.9067638888889027E-2</v>
      </c>
    </row>
    <row r="2045" spans="7:8" x14ac:dyDescent="0.3">
      <c r="G2045" s="15">
        <v>5.666666666666667</v>
      </c>
      <c r="H2045" s="3">
        <v>3.9066666666666805E-2</v>
      </c>
    </row>
    <row r="2046" spans="7:8" x14ac:dyDescent="0.3">
      <c r="G2046" s="15">
        <v>5.6694444444444443</v>
      </c>
      <c r="H2046" s="3">
        <v>3.9065694444444583E-2</v>
      </c>
    </row>
    <row r="2047" spans="7:8" x14ac:dyDescent="0.3">
      <c r="G2047" s="15">
        <v>5.6722222222222225</v>
      </c>
      <c r="H2047" s="3">
        <v>3.9064722222222362E-2</v>
      </c>
    </row>
    <row r="2048" spans="7:8" x14ac:dyDescent="0.3">
      <c r="G2048" s="15">
        <v>5.6749999999999998</v>
      </c>
      <c r="H2048" s="3">
        <v>3.906375000000014E-2</v>
      </c>
    </row>
    <row r="2049" spans="7:8" x14ac:dyDescent="0.3">
      <c r="G2049" s="15">
        <v>5.677777777777778</v>
      </c>
      <c r="H2049" s="3">
        <v>3.9062777777777918E-2</v>
      </c>
    </row>
    <row r="2050" spans="7:8" x14ac:dyDescent="0.3">
      <c r="G2050" s="15">
        <v>5.6805555555555554</v>
      </c>
      <c r="H2050" s="3">
        <v>3.9061805555555697E-2</v>
      </c>
    </row>
    <row r="2051" spans="7:8" x14ac:dyDescent="0.3">
      <c r="G2051" s="15">
        <v>5.6833333333333336</v>
      </c>
      <c r="H2051" s="3">
        <v>3.9060833333333475E-2</v>
      </c>
    </row>
    <row r="2052" spans="7:8" x14ac:dyDescent="0.3">
      <c r="G2052" s="15">
        <v>5.6861111111111109</v>
      </c>
      <c r="H2052" s="3">
        <v>3.9059861111111253E-2</v>
      </c>
    </row>
    <row r="2053" spans="7:8" x14ac:dyDescent="0.3">
      <c r="G2053" s="15">
        <v>5.6888888888888891</v>
      </c>
      <c r="H2053" s="3">
        <v>3.9058888888889032E-2</v>
      </c>
    </row>
    <row r="2054" spans="7:8" x14ac:dyDescent="0.3">
      <c r="G2054" s="15">
        <v>5.6916666666666664</v>
      </c>
      <c r="H2054" s="3">
        <v>3.905791666666681E-2</v>
      </c>
    </row>
    <row r="2055" spans="7:8" x14ac:dyDescent="0.3">
      <c r="G2055" s="15">
        <v>5.6944444444444446</v>
      </c>
      <c r="H2055" s="3">
        <v>3.9056944444444588E-2</v>
      </c>
    </row>
    <row r="2056" spans="7:8" x14ac:dyDescent="0.3">
      <c r="G2056" s="15">
        <v>5.697222222222222</v>
      </c>
      <c r="H2056" s="3">
        <v>3.9055972222222367E-2</v>
      </c>
    </row>
    <row r="2057" spans="7:8" x14ac:dyDescent="0.3">
      <c r="G2057" s="15">
        <v>5.7</v>
      </c>
      <c r="H2057" s="3">
        <v>3.9055000000000145E-2</v>
      </c>
    </row>
    <row r="2058" spans="7:8" x14ac:dyDescent="0.3">
      <c r="G2058" s="15">
        <v>5.7027777777777775</v>
      </c>
      <c r="H2058" s="3">
        <v>3.9054027777777924E-2</v>
      </c>
    </row>
    <row r="2059" spans="7:8" x14ac:dyDescent="0.3">
      <c r="G2059" s="15">
        <v>5.7055555555555557</v>
      </c>
      <c r="H2059" s="3">
        <v>3.9053055555555702E-2</v>
      </c>
    </row>
    <row r="2060" spans="7:8" x14ac:dyDescent="0.3">
      <c r="G2060" s="15">
        <v>5.708333333333333</v>
      </c>
      <c r="H2060" s="3">
        <v>3.905208333333348E-2</v>
      </c>
    </row>
    <row r="2061" spans="7:8" x14ac:dyDescent="0.3">
      <c r="G2061" s="15">
        <v>5.7111111111111112</v>
      </c>
      <c r="H2061" s="3">
        <v>3.9051111111111259E-2</v>
      </c>
    </row>
    <row r="2062" spans="7:8" x14ac:dyDescent="0.3">
      <c r="G2062" s="15">
        <v>5.7138888888888886</v>
      </c>
      <c r="H2062" s="3">
        <v>3.9050138888889037E-2</v>
      </c>
    </row>
    <row r="2063" spans="7:8" x14ac:dyDescent="0.3">
      <c r="G2063" s="15">
        <v>5.7166666666666668</v>
      </c>
      <c r="H2063" s="3">
        <v>3.9049166666666815E-2</v>
      </c>
    </row>
    <row r="2064" spans="7:8" x14ac:dyDescent="0.3">
      <c r="G2064" s="15">
        <v>5.7194444444444441</v>
      </c>
      <c r="H2064" s="3">
        <v>3.9048194444444594E-2</v>
      </c>
    </row>
    <row r="2065" spans="7:8" x14ac:dyDescent="0.3">
      <c r="G2065" s="15">
        <v>5.7222222222222223</v>
      </c>
      <c r="H2065" s="3">
        <v>3.9047222222222372E-2</v>
      </c>
    </row>
    <row r="2066" spans="7:8" x14ac:dyDescent="0.3">
      <c r="G2066" s="15">
        <v>5.7249999999999996</v>
      </c>
      <c r="H2066" s="3">
        <v>3.904625000000015E-2</v>
      </c>
    </row>
    <row r="2067" spans="7:8" x14ac:dyDescent="0.3">
      <c r="G2067" s="15">
        <v>5.7277777777777779</v>
      </c>
      <c r="H2067" s="3">
        <v>3.9045277777777929E-2</v>
      </c>
    </row>
    <row r="2068" spans="7:8" x14ac:dyDescent="0.3">
      <c r="G2068" s="15">
        <v>5.7305555555555552</v>
      </c>
      <c r="H2068" s="3">
        <v>3.9044305555555707E-2</v>
      </c>
    </row>
    <row r="2069" spans="7:8" x14ac:dyDescent="0.3">
      <c r="G2069" s="15">
        <v>5.7333333333333334</v>
      </c>
      <c r="H2069" s="3">
        <v>3.9043333333333485E-2</v>
      </c>
    </row>
    <row r="2070" spans="7:8" x14ac:dyDescent="0.3">
      <c r="G2070" s="15">
        <v>5.7361111111111107</v>
      </c>
      <c r="H2070" s="3">
        <v>3.9042361111111264E-2</v>
      </c>
    </row>
    <row r="2071" spans="7:8" x14ac:dyDescent="0.3">
      <c r="G2071" s="15">
        <v>5.7388888888888889</v>
      </c>
      <c r="H2071" s="3">
        <v>3.9041388888889042E-2</v>
      </c>
    </row>
    <row r="2072" spans="7:8" x14ac:dyDescent="0.3">
      <c r="G2072" s="15">
        <v>5.7416666666666663</v>
      </c>
      <c r="H2072" s="3">
        <v>3.904041666666682E-2</v>
      </c>
    </row>
    <row r="2073" spans="7:8" x14ac:dyDescent="0.3">
      <c r="G2073" s="15">
        <v>5.7444444444444445</v>
      </c>
      <c r="H2073" s="3">
        <v>3.9039444444444599E-2</v>
      </c>
    </row>
    <row r="2074" spans="7:8" x14ac:dyDescent="0.3">
      <c r="G2074" s="15">
        <v>5.7472222222222218</v>
      </c>
      <c r="H2074" s="3">
        <v>3.9038472222222377E-2</v>
      </c>
    </row>
    <row r="2075" spans="7:8" x14ac:dyDescent="0.3">
      <c r="G2075" s="15">
        <v>5.75</v>
      </c>
      <c r="H2075" s="3">
        <v>3.9037500000000155E-2</v>
      </c>
    </row>
    <row r="2076" spans="7:8" x14ac:dyDescent="0.3">
      <c r="G2076" s="15">
        <v>5.7527777777777782</v>
      </c>
      <c r="H2076" s="3">
        <v>3.9036527777777934E-2</v>
      </c>
    </row>
    <row r="2077" spans="7:8" x14ac:dyDescent="0.3">
      <c r="G2077" s="15">
        <v>5.7555555555555555</v>
      </c>
      <c r="H2077" s="3">
        <v>3.9035555555555712E-2</v>
      </c>
    </row>
    <row r="2078" spans="7:8" x14ac:dyDescent="0.3">
      <c r="G2078" s="15">
        <v>5.7583333333333337</v>
      </c>
      <c r="H2078" s="3">
        <v>3.903458333333349E-2</v>
      </c>
    </row>
    <row r="2079" spans="7:8" x14ac:dyDescent="0.3">
      <c r="G2079" s="15">
        <v>5.7611111111111111</v>
      </c>
      <c r="H2079" s="3">
        <v>3.9033611111111269E-2</v>
      </c>
    </row>
    <row r="2080" spans="7:8" x14ac:dyDescent="0.3">
      <c r="G2080" s="15">
        <v>5.7638888888888893</v>
      </c>
      <c r="H2080" s="3">
        <v>3.9032638888889047E-2</v>
      </c>
    </row>
    <row r="2081" spans="7:8" x14ac:dyDescent="0.3">
      <c r="G2081" s="15">
        <v>5.7666666666666666</v>
      </c>
      <c r="H2081" s="3">
        <v>3.9031666666666825E-2</v>
      </c>
    </row>
    <row r="2082" spans="7:8" x14ac:dyDescent="0.3">
      <c r="G2082" s="15">
        <v>5.7694444444444448</v>
      </c>
      <c r="H2082" s="3">
        <v>3.9030694444444604E-2</v>
      </c>
    </row>
    <row r="2083" spans="7:8" x14ac:dyDescent="0.3">
      <c r="G2083" s="15">
        <v>5.7722222222222221</v>
      </c>
      <c r="H2083" s="3">
        <v>3.9029722222222382E-2</v>
      </c>
    </row>
    <row r="2084" spans="7:8" x14ac:dyDescent="0.3">
      <c r="G2084" s="15">
        <v>5.7750000000000004</v>
      </c>
      <c r="H2084" s="3">
        <v>3.9028750000000161E-2</v>
      </c>
    </row>
    <row r="2085" spans="7:8" x14ac:dyDescent="0.3">
      <c r="G2085" s="15">
        <v>5.7777777777777777</v>
      </c>
      <c r="H2085" s="3">
        <v>3.9027777777777939E-2</v>
      </c>
    </row>
    <row r="2086" spans="7:8" x14ac:dyDescent="0.3">
      <c r="G2086" s="15">
        <v>5.7805555555555559</v>
      </c>
      <c r="H2086" s="3">
        <v>3.9026805555555717E-2</v>
      </c>
    </row>
    <row r="2087" spans="7:8" x14ac:dyDescent="0.3">
      <c r="G2087" s="15">
        <v>5.7833333333333332</v>
      </c>
      <c r="H2087" s="3">
        <v>3.9025833333333496E-2</v>
      </c>
    </row>
    <row r="2088" spans="7:8" x14ac:dyDescent="0.3">
      <c r="G2088" s="15">
        <v>5.7861111111111114</v>
      </c>
      <c r="H2088" s="3">
        <v>3.9024861111111274E-2</v>
      </c>
    </row>
    <row r="2089" spans="7:8" x14ac:dyDescent="0.3">
      <c r="G2089" s="15">
        <v>5.7888888888888888</v>
      </c>
      <c r="H2089" s="3">
        <v>3.9023888888889052E-2</v>
      </c>
    </row>
    <row r="2090" spans="7:8" x14ac:dyDescent="0.3">
      <c r="G2090" s="15">
        <v>5.791666666666667</v>
      </c>
      <c r="H2090" s="3">
        <v>3.9022916666666831E-2</v>
      </c>
    </row>
    <row r="2091" spans="7:8" x14ac:dyDescent="0.3">
      <c r="G2091" s="15">
        <v>5.7944444444444443</v>
      </c>
      <c r="H2091" s="3">
        <v>3.9021944444444609E-2</v>
      </c>
    </row>
    <row r="2092" spans="7:8" x14ac:dyDescent="0.3">
      <c r="G2092" s="15">
        <v>5.7972222222222225</v>
      </c>
      <c r="H2092" s="3">
        <v>3.9020972222222387E-2</v>
      </c>
    </row>
    <row r="2093" spans="7:8" x14ac:dyDescent="0.3">
      <c r="G2093" s="15">
        <v>5.8</v>
      </c>
      <c r="H2093" s="3">
        <v>3.9020000000000166E-2</v>
      </c>
    </row>
    <row r="2094" spans="7:8" x14ac:dyDescent="0.3">
      <c r="G2094" s="15">
        <v>5.802777777777778</v>
      </c>
      <c r="H2094" s="3">
        <v>3.9019027777777944E-2</v>
      </c>
    </row>
    <row r="2095" spans="7:8" x14ac:dyDescent="0.3">
      <c r="G2095" s="15">
        <v>5.8055555555555554</v>
      </c>
      <c r="H2095" s="3">
        <v>3.9018055555555722E-2</v>
      </c>
    </row>
    <row r="2096" spans="7:8" x14ac:dyDescent="0.3">
      <c r="G2096" s="15">
        <v>5.8083333333333336</v>
      </c>
      <c r="H2096" s="3">
        <v>3.9017083333333501E-2</v>
      </c>
    </row>
    <row r="2097" spans="7:8" x14ac:dyDescent="0.3">
      <c r="G2097" s="15">
        <v>5.8111111111111109</v>
      </c>
      <c r="H2097" s="3">
        <v>3.9016111111111279E-2</v>
      </c>
    </row>
    <row r="2098" spans="7:8" x14ac:dyDescent="0.3">
      <c r="G2098" s="15">
        <v>5.8138888888888891</v>
      </c>
      <c r="H2098" s="3">
        <v>3.9015138888889057E-2</v>
      </c>
    </row>
    <row r="2099" spans="7:8" x14ac:dyDescent="0.3">
      <c r="G2099" s="15">
        <v>5.8166666666666664</v>
      </c>
      <c r="H2099" s="3">
        <v>3.9014166666666836E-2</v>
      </c>
    </row>
    <row r="2100" spans="7:8" x14ac:dyDescent="0.3">
      <c r="G2100" s="15">
        <v>5.8194444444444446</v>
      </c>
      <c r="H2100" s="3">
        <v>3.9013194444444614E-2</v>
      </c>
    </row>
    <row r="2101" spans="7:8" x14ac:dyDescent="0.3">
      <c r="G2101" s="15">
        <v>5.822222222222222</v>
      </c>
      <c r="H2101" s="3">
        <v>3.9012222222222392E-2</v>
      </c>
    </row>
    <row r="2102" spans="7:8" x14ac:dyDescent="0.3">
      <c r="G2102" s="15">
        <v>5.8250000000000002</v>
      </c>
      <c r="H2102" s="3">
        <v>3.9011250000000171E-2</v>
      </c>
    </row>
    <row r="2103" spans="7:8" x14ac:dyDescent="0.3">
      <c r="G2103" s="15">
        <v>5.8277777777777775</v>
      </c>
      <c r="H2103" s="3">
        <v>3.9010277777777949E-2</v>
      </c>
    </row>
    <row r="2104" spans="7:8" x14ac:dyDescent="0.3">
      <c r="G2104" s="15">
        <v>5.8305555555555557</v>
      </c>
      <c r="H2104" s="3">
        <v>3.9009305555555727E-2</v>
      </c>
    </row>
    <row r="2105" spans="7:8" x14ac:dyDescent="0.3">
      <c r="G2105" s="15">
        <v>5.833333333333333</v>
      </c>
      <c r="H2105" s="3">
        <v>3.9008333333333506E-2</v>
      </c>
    </row>
    <row r="2106" spans="7:8" x14ac:dyDescent="0.3">
      <c r="G2106" s="15">
        <v>5.8361111111111112</v>
      </c>
      <c r="H2106" s="3">
        <v>3.9007361111111284E-2</v>
      </c>
    </row>
    <row r="2107" spans="7:8" x14ac:dyDescent="0.3">
      <c r="G2107" s="15">
        <v>5.8388888888888886</v>
      </c>
      <c r="H2107" s="3">
        <v>3.9006388888889063E-2</v>
      </c>
    </row>
    <row r="2108" spans="7:8" x14ac:dyDescent="0.3">
      <c r="G2108" s="15">
        <v>5.8416666666666668</v>
      </c>
      <c r="H2108" s="3">
        <v>3.9005416666666841E-2</v>
      </c>
    </row>
    <row r="2109" spans="7:8" x14ac:dyDescent="0.3">
      <c r="G2109" s="15">
        <v>5.8444444444444441</v>
      </c>
      <c r="H2109" s="3">
        <v>3.9004444444444619E-2</v>
      </c>
    </row>
    <row r="2110" spans="7:8" x14ac:dyDescent="0.3">
      <c r="G2110" s="15">
        <v>5.8472222222222223</v>
      </c>
      <c r="H2110" s="3">
        <v>3.9003472222222398E-2</v>
      </c>
    </row>
    <row r="2111" spans="7:8" x14ac:dyDescent="0.3">
      <c r="G2111" s="15">
        <v>5.85</v>
      </c>
      <c r="H2111" s="3">
        <v>3.9002500000000176E-2</v>
      </c>
    </row>
    <row r="2112" spans="7:8" x14ac:dyDescent="0.3">
      <c r="G2112" s="15">
        <v>5.8527777777777779</v>
      </c>
      <c r="H2112" s="3">
        <v>3.9001527777777954E-2</v>
      </c>
    </row>
    <row r="2113" spans="7:8" x14ac:dyDescent="0.3">
      <c r="G2113" s="15">
        <v>5.8555555555555552</v>
      </c>
      <c r="H2113" s="3">
        <v>3.9000555555555733E-2</v>
      </c>
    </row>
    <row r="2114" spans="7:8" x14ac:dyDescent="0.3">
      <c r="G2114" s="15">
        <v>5.8583333333333334</v>
      </c>
      <c r="H2114" s="3">
        <v>3.8999583333333511E-2</v>
      </c>
    </row>
    <row r="2115" spans="7:8" x14ac:dyDescent="0.3">
      <c r="G2115" s="15">
        <v>5.8611111111111107</v>
      </c>
      <c r="H2115" s="3">
        <v>3.8998611111111289E-2</v>
      </c>
    </row>
    <row r="2116" spans="7:8" x14ac:dyDescent="0.3">
      <c r="G2116" s="15">
        <v>5.8638888888888889</v>
      </c>
      <c r="H2116" s="3">
        <v>3.8997638888889068E-2</v>
      </c>
    </row>
    <row r="2117" spans="7:8" x14ac:dyDescent="0.3">
      <c r="G2117" s="15">
        <v>5.8666666666666663</v>
      </c>
      <c r="H2117" s="3">
        <v>3.8996666666666846E-2</v>
      </c>
    </row>
    <row r="2118" spans="7:8" x14ac:dyDescent="0.3">
      <c r="G2118" s="15">
        <v>5.8694444444444445</v>
      </c>
      <c r="H2118" s="3">
        <v>3.8995694444444624E-2</v>
      </c>
    </row>
    <row r="2119" spans="7:8" x14ac:dyDescent="0.3">
      <c r="G2119" s="15">
        <v>5.8722222222222218</v>
      </c>
      <c r="H2119" s="3">
        <v>3.8994722222222403E-2</v>
      </c>
    </row>
    <row r="2120" spans="7:8" x14ac:dyDescent="0.3">
      <c r="G2120" s="15">
        <v>5.875</v>
      </c>
      <c r="H2120" s="3">
        <v>3.8993750000000181E-2</v>
      </c>
    </row>
    <row r="2121" spans="7:8" x14ac:dyDescent="0.3">
      <c r="G2121" s="15">
        <v>5.8777777777777782</v>
      </c>
      <c r="H2121" s="3">
        <v>3.8992777777777959E-2</v>
      </c>
    </row>
    <row r="2122" spans="7:8" x14ac:dyDescent="0.3">
      <c r="G2122" s="15">
        <v>5.8805555555555555</v>
      </c>
      <c r="H2122" s="3">
        <v>3.8991805555555738E-2</v>
      </c>
    </row>
    <row r="2123" spans="7:8" x14ac:dyDescent="0.3">
      <c r="G2123" s="15">
        <v>5.8833333333333337</v>
      </c>
      <c r="H2123" s="3">
        <v>3.8990833333333516E-2</v>
      </c>
    </row>
    <row r="2124" spans="7:8" x14ac:dyDescent="0.3">
      <c r="G2124" s="15">
        <v>5.8861111111111111</v>
      </c>
      <c r="H2124" s="3">
        <v>3.8989861111111294E-2</v>
      </c>
    </row>
    <row r="2125" spans="7:8" x14ac:dyDescent="0.3">
      <c r="G2125" s="15">
        <v>5.8888888888888893</v>
      </c>
      <c r="H2125" s="3">
        <v>3.8988888888889073E-2</v>
      </c>
    </row>
    <row r="2126" spans="7:8" x14ac:dyDescent="0.3">
      <c r="G2126" s="15">
        <v>5.8916666666666666</v>
      </c>
      <c r="H2126" s="3">
        <v>3.8987916666666851E-2</v>
      </c>
    </row>
    <row r="2127" spans="7:8" x14ac:dyDescent="0.3">
      <c r="G2127" s="15">
        <v>5.8944444444444448</v>
      </c>
      <c r="H2127" s="3">
        <v>3.8986944444444629E-2</v>
      </c>
    </row>
    <row r="2128" spans="7:8" x14ac:dyDescent="0.3">
      <c r="G2128" s="15">
        <v>5.8972222222222221</v>
      </c>
      <c r="H2128" s="3">
        <v>3.8985972222222408E-2</v>
      </c>
    </row>
    <row r="2129" spans="7:8" x14ac:dyDescent="0.3">
      <c r="G2129" s="15">
        <v>5.9</v>
      </c>
      <c r="H2129" s="3">
        <v>3.8985000000000186E-2</v>
      </c>
    </row>
    <row r="2130" spans="7:8" x14ac:dyDescent="0.3">
      <c r="G2130" s="15">
        <v>5.9027777777777777</v>
      </c>
      <c r="H2130" s="3">
        <v>3.8984027777777965E-2</v>
      </c>
    </row>
    <row r="2131" spans="7:8" x14ac:dyDescent="0.3">
      <c r="G2131" s="15">
        <v>5.9055555555555559</v>
      </c>
      <c r="H2131" s="3">
        <v>3.8983055555555743E-2</v>
      </c>
    </row>
    <row r="2132" spans="7:8" x14ac:dyDescent="0.3">
      <c r="G2132" s="15">
        <v>5.9083333333333332</v>
      </c>
      <c r="H2132" s="3">
        <v>3.8982083333333521E-2</v>
      </c>
    </row>
    <row r="2133" spans="7:8" x14ac:dyDescent="0.3">
      <c r="G2133" s="15">
        <v>5.9111111111111114</v>
      </c>
      <c r="H2133" s="3">
        <v>3.89811111111113E-2</v>
      </c>
    </row>
    <row r="2134" spans="7:8" x14ac:dyDescent="0.3">
      <c r="G2134" s="15">
        <v>5.9138888888888888</v>
      </c>
      <c r="H2134" s="3">
        <v>3.8980138888889078E-2</v>
      </c>
    </row>
    <row r="2135" spans="7:8" x14ac:dyDescent="0.3">
      <c r="G2135" s="15">
        <v>5.916666666666667</v>
      </c>
      <c r="H2135" s="3">
        <v>3.8979166666666856E-2</v>
      </c>
    </row>
    <row r="2136" spans="7:8" x14ac:dyDescent="0.3">
      <c r="G2136" s="15">
        <v>5.9194444444444443</v>
      </c>
      <c r="H2136" s="3">
        <v>3.8978194444444635E-2</v>
      </c>
    </row>
    <row r="2137" spans="7:8" x14ac:dyDescent="0.3">
      <c r="G2137" s="15">
        <v>5.9222222222222225</v>
      </c>
      <c r="H2137" s="3">
        <v>3.8977222222222413E-2</v>
      </c>
    </row>
    <row r="2138" spans="7:8" x14ac:dyDescent="0.3">
      <c r="G2138" s="15">
        <v>5.9249999999999998</v>
      </c>
      <c r="H2138" s="3">
        <v>3.8976250000000191E-2</v>
      </c>
    </row>
    <row r="2139" spans="7:8" x14ac:dyDescent="0.3">
      <c r="G2139" s="15">
        <v>5.927777777777778</v>
      </c>
      <c r="H2139" s="3">
        <v>3.897527777777797E-2</v>
      </c>
    </row>
    <row r="2140" spans="7:8" x14ac:dyDescent="0.3">
      <c r="G2140" s="15">
        <v>5.9305555555555554</v>
      </c>
      <c r="H2140" s="3">
        <v>3.8974305555555748E-2</v>
      </c>
    </row>
    <row r="2141" spans="7:8" x14ac:dyDescent="0.3">
      <c r="G2141" s="15">
        <v>5.9333333333333336</v>
      </c>
      <c r="H2141" s="3">
        <v>3.8973333333333526E-2</v>
      </c>
    </row>
    <row r="2142" spans="7:8" x14ac:dyDescent="0.3">
      <c r="G2142" s="15">
        <v>5.9361111111111109</v>
      </c>
      <c r="H2142" s="3">
        <v>3.8972361111111305E-2</v>
      </c>
    </row>
    <row r="2143" spans="7:8" x14ac:dyDescent="0.3">
      <c r="G2143" s="15">
        <v>5.9388888888888891</v>
      </c>
      <c r="H2143" s="3">
        <v>3.8971388888889083E-2</v>
      </c>
    </row>
    <row r="2144" spans="7:8" x14ac:dyDescent="0.3">
      <c r="G2144" s="15">
        <v>5.9416666666666664</v>
      </c>
      <c r="H2144" s="3">
        <v>3.8970416666666861E-2</v>
      </c>
    </row>
    <row r="2145" spans="7:8" x14ac:dyDescent="0.3">
      <c r="G2145" s="15">
        <v>5.9444444444444446</v>
      </c>
      <c r="H2145" s="3">
        <v>3.896944444444464E-2</v>
      </c>
    </row>
    <row r="2146" spans="7:8" x14ac:dyDescent="0.3">
      <c r="G2146" s="15">
        <v>5.947222222222222</v>
      </c>
      <c r="H2146" s="3">
        <v>3.8968472222222418E-2</v>
      </c>
    </row>
    <row r="2147" spans="7:8" x14ac:dyDescent="0.3">
      <c r="G2147" s="15">
        <v>5.95</v>
      </c>
      <c r="H2147" s="3">
        <v>3.8967500000000196E-2</v>
      </c>
    </row>
    <row r="2148" spans="7:8" x14ac:dyDescent="0.3">
      <c r="G2148" s="15">
        <v>5.9527777777777775</v>
      </c>
      <c r="H2148" s="3">
        <v>3.8966527777777975E-2</v>
      </c>
    </row>
    <row r="2149" spans="7:8" x14ac:dyDescent="0.3">
      <c r="G2149" s="15">
        <v>5.9555555555555557</v>
      </c>
      <c r="H2149" s="3">
        <v>3.8965555555555753E-2</v>
      </c>
    </row>
    <row r="2150" spans="7:8" x14ac:dyDescent="0.3">
      <c r="G2150" s="15">
        <v>5.958333333333333</v>
      </c>
      <c r="H2150" s="3">
        <v>3.8964583333333531E-2</v>
      </c>
    </row>
    <row r="2151" spans="7:8" x14ac:dyDescent="0.3">
      <c r="G2151" s="15">
        <v>5.9611111111111112</v>
      </c>
      <c r="H2151" s="3">
        <v>3.896361111111131E-2</v>
      </c>
    </row>
    <row r="2152" spans="7:8" x14ac:dyDescent="0.3">
      <c r="G2152" s="15">
        <v>5.9638888888888886</v>
      </c>
      <c r="H2152" s="3">
        <v>3.8962638888889088E-2</v>
      </c>
    </row>
    <row r="2153" spans="7:8" x14ac:dyDescent="0.3">
      <c r="G2153" s="15">
        <v>5.9666666666666668</v>
      </c>
      <c r="H2153" s="3">
        <v>3.8961666666666867E-2</v>
      </c>
    </row>
    <row r="2154" spans="7:8" x14ac:dyDescent="0.3">
      <c r="G2154" s="15">
        <v>5.9694444444444441</v>
      </c>
      <c r="H2154" s="3">
        <v>3.8960694444444645E-2</v>
      </c>
    </row>
    <row r="2155" spans="7:8" x14ac:dyDescent="0.3">
      <c r="G2155" s="15">
        <v>5.9722222222222223</v>
      </c>
      <c r="H2155" s="3">
        <v>3.8959722222222423E-2</v>
      </c>
    </row>
    <row r="2156" spans="7:8" x14ac:dyDescent="0.3">
      <c r="G2156" s="15">
        <v>5.9749999999999996</v>
      </c>
      <c r="H2156" s="3">
        <v>3.8958750000000202E-2</v>
      </c>
    </row>
    <row r="2157" spans="7:8" x14ac:dyDescent="0.3">
      <c r="G2157" s="15">
        <v>5.9777777777777779</v>
      </c>
      <c r="H2157" s="3">
        <v>3.895777777777798E-2</v>
      </c>
    </row>
    <row r="2158" spans="7:8" x14ac:dyDescent="0.3">
      <c r="G2158" s="15">
        <v>5.9805555555555552</v>
      </c>
      <c r="H2158" s="3">
        <v>3.8956805555555758E-2</v>
      </c>
    </row>
    <row r="2159" spans="7:8" x14ac:dyDescent="0.3">
      <c r="G2159" s="15">
        <v>5.9833333333333334</v>
      </c>
      <c r="H2159" s="3">
        <v>3.8955833333333537E-2</v>
      </c>
    </row>
    <row r="2160" spans="7:8" x14ac:dyDescent="0.3">
      <c r="G2160" s="15">
        <v>5.9861111111111107</v>
      </c>
      <c r="H2160" s="3">
        <v>3.8954861111111315E-2</v>
      </c>
    </row>
    <row r="2161" spans="7:8" x14ac:dyDescent="0.3">
      <c r="G2161" s="15">
        <v>5.9888888888888889</v>
      </c>
      <c r="H2161" s="3">
        <v>3.8953888888889093E-2</v>
      </c>
    </row>
    <row r="2162" spans="7:8" x14ac:dyDescent="0.3">
      <c r="G2162" s="15">
        <v>5.9916666666666663</v>
      </c>
      <c r="H2162" s="3">
        <v>3.8952916666666872E-2</v>
      </c>
    </row>
    <row r="2163" spans="7:8" x14ac:dyDescent="0.3">
      <c r="G2163" s="15">
        <v>5.9944444444444445</v>
      </c>
      <c r="H2163" s="3">
        <v>3.895194444444465E-2</v>
      </c>
    </row>
    <row r="2164" spans="7:8" x14ac:dyDescent="0.3">
      <c r="G2164" s="15">
        <v>5.9972222222222218</v>
      </c>
      <c r="H2164" s="3">
        <v>3.8950972222222428E-2</v>
      </c>
    </row>
    <row r="2165" spans="7:8" x14ac:dyDescent="0.3">
      <c r="G2165" s="15">
        <v>6</v>
      </c>
      <c r="H2165" s="3">
        <v>3.8950000000000207E-2</v>
      </c>
    </row>
    <row r="2166" spans="7:8" x14ac:dyDescent="0.3">
      <c r="G2166" s="15">
        <v>6.0027777777777782</v>
      </c>
      <c r="H2166" s="3">
        <v>3.8949027777777985E-2</v>
      </c>
    </row>
    <row r="2167" spans="7:8" x14ac:dyDescent="0.3">
      <c r="G2167" s="15">
        <v>6.0055555555555555</v>
      </c>
      <c r="H2167" s="3">
        <v>3.8948055555555763E-2</v>
      </c>
    </row>
    <row r="2168" spans="7:8" x14ac:dyDescent="0.3">
      <c r="G2168" s="15">
        <v>6.0083333333333337</v>
      </c>
      <c r="H2168" s="3">
        <v>3.8947083333333542E-2</v>
      </c>
    </row>
    <row r="2169" spans="7:8" x14ac:dyDescent="0.3">
      <c r="G2169" s="15">
        <v>6.0111111111111111</v>
      </c>
      <c r="H2169" s="3">
        <v>3.894611111111132E-2</v>
      </c>
    </row>
    <row r="2170" spans="7:8" x14ac:dyDescent="0.3">
      <c r="G2170" s="15">
        <v>6.0138888888888893</v>
      </c>
      <c r="H2170" s="3">
        <v>3.8945138888889098E-2</v>
      </c>
    </row>
    <row r="2171" spans="7:8" x14ac:dyDescent="0.3">
      <c r="G2171" s="15">
        <v>6.0166666666666666</v>
      </c>
      <c r="H2171" s="3">
        <v>3.8944166666666877E-2</v>
      </c>
    </row>
    <row r="2172" spans="7:8" x14ac:dyDescent="0.3">
      <c r="G2172" s="15">
        <v>6.0194444444444448</v>
      </c>
      <c r="H2172" s="3">
        <v>3.8943194444444655E-2</v>
      </c>
    </row>
    <row r="2173" spans="7:8" x14ac:dyDescent="0.3">
      <c r="G2173" s="15">
        <v>6.0222222222222221</v>
      </c>
      <c r="H2173" s="3">
        <v>3.8942222222222433E-2</v>
      </c>
    </row>
    <row r="2174" spans="7:8" x14ac:dyDescent="0.3">
      <c r="G2174" s="15">
        <v>6.0250000000000004</v>
      </c>
      <c r="H2174" s="3">
        <v>3.8941250000000212E-2</v>
      </c>
    </row>
    <row r="2175" spans="7:8" x14ac:dyDescent="0.3">
      <c r="G2175" s="15">
        <v>6.0277777777777777</v>
      </c>
      <c r="H2175" s="3">
        <v>3.894027777777799E-2</v>
      </c>
    </row>
    <row r="2176" spans="7:8" x14ac:dyDescent="0.3">
      <c r="G2176" s="15">
        <v>6.0305555555555559</v>
      </c>
      <c r="H2176" s="3">
        <v>3.8939305555555769E-2</v>
      </c>
    </row>
    <row r="2177" spans="7:8" x14ac:dyDescent="0.3">
      <c r="G2177" s="15">
        <v>6.0333333333333332</v>
      </c>
      <c r="H2177" s="3">
        <v>3.8938333333333547E-2</v>
      </c>
    </row>
    <row r="2178" spans="7:8" x14ac:dyDescent="0.3">
      <c r="G2178" s="15">
        <v>6.0361111111111114</v>
      </c>
      <c r="H2178" s="3">
        <v>3.8937361111111325E-2</v>
      </c>
    </row>
    <row r="2179" spans="7:8" x14ac:dyDescent="0.3">
      <c r="G2179" s="15">
        <v>6.0388888888888888</v>
      </c>
      <c r="H2179" s="3">
        <v>3.8936388888889104E-2</v>
      </c>
    </row>
    <row r="2180" spans="7:8" x14ac:dyDescent="0.3">
      <c r="G2180" s="15">
        <v>6.041666666666667</v>
      </c>
      <c r="H2180" s="3">
        <v>3.8935416666666882E-2</v>
      </c>
    </row>
    <row r="2181" spans="7:8" x14ac:dyDescent="0.3">
      <c r="G2181" s="15">
        <v>6.0444444444444443</v>
      </c>
      <c r="H2181" s="3">
        <v>3.893444444444466E-2</v>
      </c>
    </row>
    <row r="2182" spans="7:8" x14ac:dyDescent="0.3">
      <c r="G2182" s="15">
        <v>6.0472222222222225</v>
      </c>
      <c r="H2182" s="3">
        <v>3.8933472222222439E-2</v>
      </c>
    </row>
    <row r="2183" spans="7:8" x14ac:dyDescent="0.3">
      <c r="G2183" s="15">
        <v>6.05</v>
      </c>
      <c r="H2183" s="3">
        <v>3.8932500000000217E-2</v>
      </c>
    </row>
    <row r="2184" spans="7:8" x14ac:dyDescent="0.3">
      <c r="G2184" s="15">
        <v>6.052777777777778</v>
      </c>
      <c r="H2184" s="3">
        <v>3.8931527777777995E-2</v>
      </c>
    </row>
    <row r="2185" spans="7:8" x14ac:dyDescent="0.3">
      <c r="G2185" s="15">
        <v>6.0555555555555554</v>
      </c>
      <c r="H2185" s="3">
        <v>3.8930555555555774E-2</v>
      </c>
    </row>
    <row r="2186" spans="7:8" x14ac:dyDescent="0.3">
      <c r="G2186" s="15">
        <v>6.0583333333333336</v>
      </c>
      <c r="H2186" s="3">
        <v>3.8929583333333552E-2</v>
      </c>
    </row>
    <row r="2187" spans="7:8" x14ac:dyDescent="0.3">
      <c r="G2187" s="15">
        <v>6.0611111111111109</v>
      </c>
      <c r="H2187" s="3">
        <v>3.892861111111133E-2</v>
      </c>
    </row>
    <row r="2188" spans="7:8" x14ac:dyDescent="0.3">
      <c r="G2188" s="15">
        <v>6.0638888888888891</v>
      </c>
      <c r="H2188" s="3">
        <v>3.8927638888889109E-2</v>
      </c>
    </row>
    <row r="2189" spans="7:8" x14ac:dyDescent="0.3">
      <c r="G2189" s="15">
        <v>6.0666666666666664</v>
      </c>
      <c r="H2189" s="3">
        <v>3.8926666666666887E-2</v>
      </c>
    </row>
    <row r="2190" spans="7:8" x14ac:dyDescent="0.3">
      <c r="G2190" s="15">
        <v>6.0694444444444446</v>
      </c>
      <c r="H2190" s="3">
        <v>3.8925694444444665E-2</v>
      </c>
    </row>
    <row r="2191" spans="7:8" x14ac:dyDescent="0.3">
      <c r="G2191" s="15">
        <v>6.072222222222222</v>
      </c>
      <c r="H2191" s="3">
        <v>3.8924722222222444E-2</v>
      </c>
    </row>
    <row r="2192" spans="7:8" x14ac:dyDescent="0.3">
      <c r="G2192" s="15">
        <v>6.0750000000000002</v>
      </c>
      <c r="H2192" s="3">
        <v>3.8923750000000222E-2</v>
      </c>
    </row>
    <row r="2193" spans="7:8" x14ac:dyDescent="0.3">
      <c r="G2193" s="15">
        <v>6.0777777777777775</v>
      </c>
      <c r="H2193" s="3">
        <v>3.8922777777778E-2</v>
      </c>
    </row>
    <row r="2194" spans="7:8" x14ac:dyDescent="0.3">
      <c r="G2194" s="15">
        <v>6.0805555555555557</v>
      </c>
      <c r="H2194" s="3">
        <v>3.8921805555555779E-2</v>
      </c>
    </row>
    <row r="2195" spans="7:8" x14ac:dyDescent="0.3">
      <c r="G2195" s="15">
        <v>6.083333333333333</v>
      </c>
      <c r="H2195" s="3">
        <v>3.8920833333333557E-2</v>
      </c>
    </row>
    <row r="2196" spans="7:8" x14ac:dyDescent="0.3">
      <c r="G2196" s="15">
        <v>6.0861111111111112</v>
      </c>
      <c r="H2196" s="3">
        <v>3.8919861111111335E-2</v>
      </c>
    </row>
    <row r="2197" spans="7:8" x14ac:dyDescent="0.3">
      <c r="G2197" s="15">
        <v>6.0888888888888886</v>
      </c>
      <c r="H2197" s="3">
        <v>3.8918888888889114E-2</v>
      </c>
    </row>
    <row r="2198" spans="7:8" x14ac:dyDescent="0.3">
      <c r="G2198" s="15">
        <v>6.0916666666666668</v>
      </c>
      <c r="H2198" s="3">
        <v>3.8917916666666892E-2</v>
      </c>
    </row>
    <row r="2199" spans="7:8" x14ac:dyDescent="0.3">
      <c r="G2199" s="15">
        <v>6.0944444444444441</v>
      </c>
      <c r="H2199" s="3">
        <v>3.891694444444467E-2</v>
      </c>
    </row>
    <row r="2200" spans="7:8" x14ac:dyDescent="0.3">
      <c r="G2200" s="15">
        <v>6.0972222222222223</v>
      </c>
      <c r="H2200" s="3">
        <v>3.8915972222222449E-2</v>
      </c>
    </row>
    <row r="2201" spans="7:8" x14ac:dyDescent="0.3">
      <c r="G2201" s="15">
        <v>6.1</v>
      </c>
      <c r="H2201" s="3">
        <v>3.8915000000000227E-2</v>
      </c>
    </row>
    <row r="2202" spans="7:8" x14ac:dyDescent="0.3">
      <c r="G2202" s="15">
        <v>6.1027777777777779</v>
      </c>
      <c r="H2202" s="3">
        <v>3.8914027777778006E-2</v>
      </c>
    </row>
    <row r="2203" spans="7:8" x14ac:dyDescent="0.3">
      <c r="G2203" s="15">
        <v>6.1055555555555552</v>
      </c>
      <c r="H2203" s="3">
        <v>3.8913055555555784E-2</v>
      </c>
    </row>
    <row r="2204" spans="7:8" x14ac:dyDescent="0.3">
      <c r="G2204" s="15">
        <v>6.1083333333333334</v>
      </c>
      <c r="H2204" s="3">
        <v>3.8912083333333562E-2</v>
      </c>
    </row>
    <row r="2205" spans="7:8" x14ac:dyDescent="0.3">
      <c r="G2205" s="15">
        <v>6.1111111111111107</v>
      </c>
      <c r="H2205" s="3">
        <v>3.8911111111111341E-2</v>
      </c>
    </row>
    <row r="2206" spans="7:8" x14ac:dyDescent="0.3">
      <c r="G2206" s="15">
        <v>6.1138888888888889</v>
      </c>
      <c r="H2206" s="3">
        <v>3.8910138888889119E-2</v>
      </c>
    </row>
    <row r="2207" spans="7:8" x14ac:dyDescent="0.3">
      <c r="G2207" s="15">
        <v>6.1166666666666663</v>
      </c>
      <c r="H2207" s="3">
        <v>3.8909166666666897E-2</v>
      </c>
    </row>
    <row r="2208" spans="7:8" x14ac:dyDescent="0.3">
      <c r="G2208" s="15">
        <v>6.1194444444444445</v>
      </c>
      <c r="H2208" s="3">
        <v>3.8908194444444676E-2</v>
      </c>
    </row>
    <row r="2209" spans="7:8" x14ac:dyDescent="0.3">
      <c r="G2209" s="15">
        <v>6.1222222222222218</v>
      </c>
      <c r="H2209" s="3">
        <v>3.8907222222222454E-2</v>
      </c>
    </row>
    <row r="2210" spans="7:8" x14ac:dyDescent="0.3">
      <c r="G2210" s="15">
        <v>6.125</v>
      </c>
      <c r="H2210" s="3">
        <v>3.8906250000000232E-2</v>
      </c>
    </row>
    <row r="2211" spans="7:8" x14ac:dyDescent="0.3">
      <c r="G2211" s="15">
        <v>6.1277777777777782</v>
      </c>
      <c r="H2211" s="3">
        <v>3.8905277777778011E-2</v>
      </c>
    </row>
    <row r="2212" spans="7:8" x14ac:dyDescent="0.3">
      <c r="G2212" s="15">
        <v>6.1305555555555555</v>
      </c>
      <c r="H2212" s="3">
        <v>3.8904305555555789E-2</v>
      </c>
    </row>
    <row r="2213" spans="7:8" x14ac:dyDescent="0.3">
      <c r="G2213" s="15">
        <v>6.1333333333333337</v>
      </c>
      <c r="H2213" s="3">
        <v>3.8903333333333567E-2</v>
      </c>
    </row>
    <row r="2214" spans="7:8" x14ac:dyDescent="0.3">
      <c r="G2214" s="15">
        <v>6.1361111111111111</v>
      </c>
      <c r="H2214" s="3">
        <v>3.8902361111111346E-2</v>
      </c>
    </row>
    <row r="2215" spans="7:8" x14ac:dyDescent="0.3">
      <c r="G2215" s="15">
        <v>6.1388888888888893</v>
      </c>
      <c r="H2215" s="3">
        <v>3.8901388888889124E-2</v>
      </c>
    </row>
    <row r="2216" spans="7:8" x14ac:dyDescent="0.3">
      <c r="G2216" s="15">
        <v>6.1416666666666666</v>
      </c>
      <c r="H2216" s="3">
        <v>3.8900416666666902E-2</v>
      </c>
    </row>
    <row r="2217" spans="7:8" x14ac:dyDescent="0.3">
      <c r="G2217" s="15">
        <v>6.1444444444444448</v>
      </c>
      <c r="H2217" s="3">
        <v>3.8899444444444681E-2</v>
      </c>
    </row>
    <row r="2218" spans="7:8" x14ac:dyDescent="0.3">
      <c r="G2218" s="15">
        <v>6.1472222222222221</v>
      </c>
      <c r="H2218" s="3">
        <v>3.8898472222222459E-2</v>
      </c>
    </row>
    <row r="2219" spans="7:8" x14ac:dyDescent="0.3">
      <c r="G2219" s="15">
        <v>6.15</v>
      </c>
      <c r="H2219" s="3">
        <v>3.8897500000000237E-2</v>
      </c>
    </row>
    <row r="2220" spans="7:8" x14ac:dyDescent="0.3">
      <c r="G2220" s="15">
        <v>6.1527777777777777</v>
      </c>
      <c r="H2220" s="3">
        <v>3.8896527777778016E-2</v>
      </c>
    </row>
    <row r="2221" spans="7:8" x14ac:dyDescent="0.3">
      <c r="G2221" s="15">
        <v>6.1555555555555559</v>
      </c>
      <c r="H2221" s="3">
        <v>3.8895555555555794E-2</v>
      </c>
    </row>
    <row r="2222" spans="7:8" x14ac:dyDescent="0.3">
      <c r="G2222" s="15">
        <v>6.1583333333333332</v>
      </c>
      <c r="H2222" s="3">
        <v>3.8894583333333572E-2</v>
      </c>
    </row>
    <row r="2223" spans="7:8" x14ac:dyDescent="0.3">
      <c r="G2223" s="15">
        <v>6.1611111111111114</v>
      </c>
      <c r="H2223" s="3">
        <v>3.8893611111111351E-2</v>
      </c>
    </row>
    <row r="2224" spans="7:8" x14ac:dyDescent="0.3">
      <c r="G2224" s="15">
        <v>6.1638888888888888</v>
      </c>
      <c r="H2224" s="3">
        <v>3.8892638888889129E-2</v>
      </c>
    </row>
    <row r="2225" spans="7:8" x14ac:dyDescent="0.3">
      <c r="G2225" s="15">
        <v>6.166666666666667</v>
      </c>
      <c r="H2225" s="3">
        <v>3.8891666666666908E-2</v>
      </c>
    </row>
    <row r="2226" spans="7:8" x14ac:dyDescent="0.3">
      <c r="G2226" s="15">
        <v>6.1694444444444443</v>
      </c>
      <c r="H2226" s="3">
        <v>3.8890694444444686E-2</v>
      </c>
    </row>
    <row r="2227" spans="7:8" x14ac:dyDescent="0.3">
      <c r="G2227" s="15">
        <v>6.1722222222222225</v>
      </c>
      <c r="H2227" s="3">
        <v>3.8889722222222464E-2</v>
      </c>
    </row>
    <row r="2228" spans="7:8" x14ac:dyDescent="0.3">
      <c r="G2228" s="15">
        <v>6.1749999999999998</v>
      </c>
      <c r="H2228" s="3">
        <v>3.8888750000000243E-2</v>
      </c>
    </row>
    <row r="2229" spans="7:8" x14ac:dyDescent="0.3">
      <c r="G2229" s="15">
        <v>6.177777777777778</v>
      </c>
      <c r="H2229" s="3">
        <v>3.8887777777778021E-2</v>
      </c>
    </row>
    <row r="2230" spans="7:8" x14ac:dyDescent="0.3">
      <c r="G2230" s="15">
        <v>6.1805555555555554</v>
      </c>
      <c r="H2230" s="3">
        <v>3.8886805555555799E-2</v>
      </c>
    </row>
    <row r="2231" spans="7:8" x14ac:dyDescent="0.3">
      <c r="G2231" s="15">
        <v>6.1833333333333336</v>
      </c>
      <c r="H2231" s="3">
        <v>3.8885833333333578E-2</v>
      </c>
    </row>
    <row r="2232" spans="7:8" x14ac:dyDescent="0.3">
      <c r="G2232" s="15">
        <v>6.1861111111111109</v>
      </c>
      <c r="H2232" s="3">
        <v>3.8884861111111356E-2</v>
      </c>
    </row>
    <row r="2233" spans="7:8" x14ac:dyDescent="0.3">
      <c r="G2233" s="15">
        <v>6.1888888888888891</v>
      </c>
      <c r="H2233" s="3">
        <v>3.8883888888889134E-2</v>
      </c>
    </row>
    <row r="2234" spans="7:8" x14ac:dyDescent="0.3">
      <c r="G2234" s="15">
        <v>6.1916666666666664</v>
      </c>
      <c r="H2234" s="3">
        <v>3.8882916666666913E-2</v>
      </c>
    </row>
    <row r="2235" spans="7:8" x14ac:dyDescent="0.3">
      <c r="G2235" s="15">
        <v>6.1944444444444446</v>
      </c>
      <c r="H2235" s="3">
        <v>3.8881944444444691E-2</v>
      </c>
    </row>
    <row r="2236" spans="7:8" x14ac:dyDescent="0.3">
      <c r="G2236" s="15">
        <v>6.197222222222222</v>
      </c>
      <c r="H2236" s="3">
        <v>3.8880972222222469E-2</v>
      </c>
    </row>
    <row r="2237" spans="7:8" x14ac:dyDescent="0.3">
      <c r="G2237" s="15">
        <v>6.2</v>
      </c>
      <c r="H2237" s="3">
        <v>3.8880000000000248E-2</v>
      </c>
    </row>
    <row r="2238" spans="7:8" x14ac:dyDescent="0.3">
      <c r="G2238" s="15">
        <v>6.2027777777777775</v>
      </c>
      <c r="H2238" s="3">
        <v>3.8879027777778026E-2</v>
      </c>
    </row>
    <row r="2239" spans="7:8" x14ac:dyDescent="0.3">
      <c r="G2239" s="15">
        <v>6.2055555555555557</v>
      </c>
      <c r="H2239" s="3">
        <v>3.8878055555555804E-2</v>
      </c>
    </row>
    <row r="2240" spans="7:8" x14ac:dyDescent="0.3">
      <c r="G2240" s="15">
        <v>6.208333333333333</v>
      </c>
      <c r="H2240" s="3">
        <v>3.8877083333333583E-2</v>
      </c>
    </row>
    <row r="2241" spans="7:8" x14ac:dyDescent="0.3">
      <c r="G2241" s="15">
        <v>6.2111111111111112</v>
      </c>
      <c r="H2241" s="3">
        <v>3.8876111111111361E-2</v>
      </c>
    </row>
    <row r="2242" spans="7:8" x14ac:dyDescent="0.3">
      <c r="G2242" s="15">
        <v>6.2138888888888886</v>
      </c>
      <c r="H2242" s="3">
        <v>3.8875138888889139E-2</v>
      </c>
    </row>
    <row r="2243" spans="7:8" x14ac:dyDescent="0.3">
      <c r="G2243" s="15">
        <v>6.2166666666666668</v>
      </c>
      <c r="H2243" s="3">
        <v>3.8874166666666918E-2</v>
      </c>
    </row>
    <row r="2244" spans="7:8" x14ac:dyDescent="0.3">
      <c r="G2244" s="15">
        <v>6.2194444444444441</v>
      </c>
      <c r="H2244" s="3">
        <v>3.8873194444444696E-2</v>
      </c>
    </row>
    <row r="2245" spans="7:8" x14ac:dyDescent="0.3">
      <c r="G2245" s="15">
        <v>6.2222222222222223</v>
      </c>
      <c r="H2245" s="3">
        <v>3.8872222222222474E-2</v>
      </c>
    </row>
    <row r="2246" spans="7:8" x14ac:dyDescent="0.3">
      <c r="G2246" s="15">
        <v>6.2249999999999996</v>
      </c>
      <c r="H2246" s="3">
        <v>3.8871250000000253E-2</v>
      </c>
    </row>
    <row r="2247" spans="7:8" x14ac:dyDescent="0.3">
      <c r="G2247" s="15">
        <v>6.2277777777777779</v>
      </c>
      <c r="H2247" s="3">
        <v>3.8870277777778031E-2</v>
      </c>
    </row>
    <row r="2248" spans="7:8" x14ac:dyDescent="0.3">
      <c r="G2248" s="15">
        <v>6.2305555555555552</v>
      </c>
      <c r="H2248" s="3">
        <v>3.886930555555581E-2</v>
      </c>
    </row>
    <row r="2249" spans="7:8" x14ac:dyDescent="0.3">
      <c r="G2249" s="15">
        <v>6.2333333333333334</v>
      </c>
      <c r="H2249" s="3">
        <v>3.8868333333333588E-2</v>
      </c>
    </row>
    <row r="2250" spans="7:8" x14ac:dyDescent="0.3">
      <c r="G2250" s="15">
        <v>6.2361111111111107</v>
      </c>
      <c r="H2250" s="3">
        <v>3.8867361111111366E-2</v>
      </c>
    </row>
    <row r="2251" spans="7:8" x14ac:dyDescent="0.3">
      <c r="G2251" s="15">
        <v>6.2388888888888889</v>
      </c>
      <c r="H2251" s="3">
        <v>3.8866388888889145E-2</v>
      </c>
    </row>
    <row r="2252" spans="7:8" x14ac:dyDescent="0.3">
      <c r="G2252" s="15">
        <v>6.2416666666666663</v>
      </c>
      <c r="H2252" s="3">
        <v>3.8865416666666923E-2</v>
      </c>
    </row>
    <row r="2253" spans="7:8" x14ac:dyDescent="0.3">
      <c r="G2253" s="15">
        <v>6.2444444444444445</v>
      </c>
      <c r="H2253" s="3">
        <v>3.8864444444444701E-2</v>
      </c>
    </row>
    <row r="2254" spans="7:8" x14ac:dyDescent="0.3">
      <c r="G2254" s="15">
        <v>6.2472222222222218</v>
      </c>
      <c r="H2254" s="3">
        <v>3.886347222222248E-2</v>
      </c>
    </row>
    <row r="2255" spans="7:8" x14ac:dyDescent="0.3">
      <c r="G2255" s="15">
        <v>6.25</v>
      </c>
      <c r="H2255" s="3">
        <v>3.8862500000000258E-2</v>
      </c>
    </row>
    <row r="2256" spans="7:8" x14ac:dyDescent="0.3">
      <c r="G2256" s="15">
        <v>6.2527777777777782</v>
      </c>
      <c r="H2256" s="3">
        <v>3.8861527777778036E-2</v>
      </c>
    </row>
    <row r="2257" spans="7:8" x14ac:dyDescent="0.3">
      <c r="G2257" s="15">
        <v>6.2555555555555555</v>
      </c>
      <c r="H2257" s="3">
        <v>3.8860555555555815E-2</v>
      </c>
    </row>
    <row r="2258" spans="7:8" x14ac:dyDescent="0.3">
      <c r="G2258" s="15">
        <v>6.2583333333333337</v>
      </c>
      <c r="H2258" s="3">
        <v>3.8859583333333593E-2</v>
      </c>
    </row>
    <row r="2259" spans="7:8" x14ac:dyDescent="0.3">
      <c r="G2259" s="15">
        <v>6.2611111111111111</v>
      </c>
      <c r="H2259" s="3">
        <v>3.8858611111111371E-2</v>
      </c>
    </row>
    <row r="2260" spans="7:8" x14ac:dyDescent="0.3">
      <c r="G2260" s="15">
        <v>6.2638888888888893</v>
      </c>
      <c r="H2260" s="3">
        <v>3.885763888888915E-2</v>
      </c>
    </row>
    <row r="2261" spans="7:8" x14ac:dyDescent="0.3">
      <c r="G2261" s="15">
        <v>6.2666666666666666</v>
      </c>
      <c r="H2261" s="3">
        <v>3.8856666666666928E-2</v>
      </c>
    </row>
    <row r="2262" spans="7:8" x14ac:dyDescent="0.3">
      <c r="G2262" s="15">
        <v>6.2694444444444448</v>
      </c>
      <c r="H2262" s="3">
        <v>3.8855694444444706E-2</v>
      </c>
    </row>
    <row r="2263" spans="7:8" x14ac:dyDescent="0.3">
      <c r="G2263" s="15">
        <v>6.2722222222222221</v>
      </c>
      <c r="H2263" s="3">
        <v>3.8854722222222485E-2</v>
      </c>
    </row>
    <row r="2264" spans="7:8" x14ac:dyDescent="0.3">
      <c r="G2264" s="15">
        <v>6.2750000000000004</v>
      </c>
      <c r="H2264" s="3">
        <v>3.8853750000000263E-2</v>
      </c>
    </row>
    <row r="2265" spans="7:8" x14ac:dyDescent="0.3">
      <c r="G2265" s="15">
        <v>6.2777777777777777</v>
      </c>
      <c r="H2265" s="3">
        <v>3.8852777777778041E-2</v>
      </c>
    </row>
    <row r="2266" spans="7:8" x14ac:dyDescent="0.3">
      <c r="G2266" s="15">
        <v>6.2805555555555559</v>
      </c>
      <c r="H2266" s="3">
        <v>3.885180555555582E-2</v>
      </c>
    </row>
    <row r="2267" spans="7:8" x14ac:dyDescent="0.3">
      <c r="G2267" s="15">
        <v>6.2833333333333332</v>
      </c>
      <c r="H2267" s="3">
        <v>3.8850833333333598E-2</v>
      </c>
    </row>
    <row r="2268" spans="7:8" x14ac:dyDescent="0.3">
      <c r="G2268" s="15">
        <v>6.2861111111111114</v>
      </c>
      <c r="H2268" s="3">
        <v>3.8849861111111376E-2</v>
      </c>
    </row>
    <row r="2269" spans="7:8" x14ac:dyDescent="0.3">
      <c r="G2269" s="15">
        <v>6.2888888888888888</v>
      </c>
      <c r="H2269" s="3">
        <v>3.8848888888889155E-2</v>
      </c>
    </row>
    <row r="2270" spans="7:8" x14ac:dyDescent="0.3">
      <c r="G2270" s="15">
        <v>6.291666666666667</v>
      </c>
      <c r="H2270" s="3">
        <v>3.8847916666666933E-2</v>
      </c>
    </row>
    <row r="2271" spans="7:8" x14ac:dyDescent="0.3">
      <c r="G2271" s="15">
        <v>6.2944444444444443</v>
      </c>
      <c r="H2271" s="3">
        <v>3.8846944444444712E-2</v>
      </c>
    </row>
    <row r="2272" spans="7:8" x14ac:dyDescent="0.3">
      <c r="G2272" s="15">
        <v>6.2972222222222225</v>
      </c>
      <c r="H2272" s="3">
        <v>3.884597222222249E-2</v>
      </c>
    </row>
    <row r="2273" spans="7:8" x14ac:dyDescent="0.3">
      <c r="G2273" s="15">
        <v>6.3</v>
      </c>
      <c r="H2273" s="3">
        <v>3.8845000000000268E-2</v>
      </c>
    </row>
    <row r="2274" spans="7:8" x14ac:dyDescent="0.3">
      <c r="G2274" s="15">
        <v>6.302777777777778</v>
      </c>
      <c r="H2274" s="3">
        <v>3.8844027777778047E-2</v>
      </c>
    </row>
    <row r="2275" spans="7:8" x14ac:dyDescent="0.3">
      <c r="G2275" s="15">
        <v>6.3055555555555554</v>
      </c>
      <c r="H2275" s="3">
        <v>3.8843055555555825E-2</v>
      </c>
    </row>
    <row r="2276" spans="7:8" x14ac:dyDescent="0.3">
      <c r="G2276" s="15">
        <v>6.3083333333333336</v>
      </c>
      <c r="H2276" s="3">
        <v>3.8842083333333603E-2</v>
      </c>
    </row>
    <row r="2277" spans="7:8" x14ac:dyDescent="0.3">
      <c r="G2277" s="15">
        <v>6.3111111111111109</v>
      </c>
      <c r="H2277" s="3">
        <v>3.8841111111111382E-2</v>
      </c>
    </row>
    <row r="2278" spans="7:8" x14ac:dyDescent="0.3">
      <c r="G2278" s="15">
        <v>6.3138888888888891</v>
      </c>
      <c r="H2278" s="3">
        <v>3.884013888888916E-2</v>
      </c>
    </row>
    <row r="2279" spans="7:8" x14ac:dyDescent="0.3">
      <c r="G2279" s="15">
        <v>6.3166666666666664</v>
      </c>
      <c r="H2279" s="3">
        <v>3.8839166666666938E-2</v>
      </c>
    </row>
    <row r="2280" spans="7:8" x14ac:dyDescent="0.3">
      <c r="G2280" s="15">
        <v>6.3194444444444446</v>
      </c>
      <c r="H2280" s="3">
        <v>3.8838194444444717E-2</v>
      </c>
    </row>
    <row r="2281" spans="7:8" x14ac:dyDescent="0.3">
      <c r="G2281" s="15">
        <v>6.322222222222222</v>
      </c>
      <c r="H2281" s="3">
        <v>3.8837222222222495E-2</v>
      </c>
    </row>
    <row r="2282" spans="7:8" x14ac:dyDescent="0.3">
      <c r="G2282" s="15">
        <v>6.3250000000000002</v>
      </c>
      <c r="H2282" s="3">
        <v>3.8836250000000273E-2</v>
      </c>
    </row>
    <row r="2283" spans="7:8" x14ac:dyDescent="0.3">
      <c r="G2283" s="15">
        <v>6.3277777777777775</v>
      </c>
      <c r="H2283" s="3">
        <v>3.8835277777778052E-2</v>
      </c>
    </row>
    <row r="2284" spans="7:8" x14ac:dyDescent="0.3">
      <c r="G2284" s="15">
        <v>6.3305555555555557</v>
      </c>
      <c r="H2284" s="3">
        <v>3.883430555555583E-2</v>
      </c>
    </row>
    <row r="2285" spans="7:8" x14ac:dyDescent="0.3">
      <c r="G2285" s="15">
        <v>6.333333333333333</v>
      </c>
      <c r="H2285" s="3">
        <v>3.8833333333333608E-2</v>
      </c>
    </row>
    <row r="2286" spans="7:8" x14ac:dyDescent="0.3">
      <c r="G2286" s="15">
        <v>6.3361111111111112</v>
      </c>
      <c r="H2286" s="3">
        <v>3.8832361111111387E-2</v>
      </c>
    </row>
    <row r="2287" spans="7:8" x14ac:dyDescent="0.3">
      <c r="G2287" s="15">
        <v>6.3388888888888886</v>
      </c>
      <c r="H2287" s="3">
        <v>3.8831388888889165E-2</v>
      </c>
    </row>
    <row r="2288" spans="7:8" x14ac:dyDescent="0.3">
      <c r="G2288" s="15">
        <v>6.3416666666666668</v>
      </c>
      <c r="H2288" s="3">
        <v>3.8830416666666943E-2</v>
      </c>
    </row>
    <row r="2289" spans="7:8" x14ac:dyDescent="0.3">
      <c r="G2289" s="15">
        <v>6.3444444444444441</v>
      </c>
      <c r="H2289" s="3">
        <v>3.8829444444444722E-2</v>
      </c>
    </row>
    <row r="2290" spans="7:8" x14ac:dyDescent="0.3">
      <c r="G2290" s="15">
        <v>6.3472222222222223</v>
      </c>
      <c r="H2290" s="3">
        <v>3.88284722222225E-2</v>
      </c>
    </row>
    <row r="2291" spans="7:8" x14ac:dyDescent="0.3">
      <c r="G2291" s="15">
        <v>6.35</v>
      </c>
      <c r="H2291" s="3">
        <v>3.8827500000000278E-2</v>
      </c>
    </row>
    <row r="2292" spans="7:8" x14ac:dyDescent="0.3">
      <c r="G2292" s="15">
        <v>6.3527777777777779</v>
      </c>
      <c r="H2292" s="3">
        <v>3.8826527777778057E-2</v>
      </c>
    </row>
    <row r="2293" spans="7:8" x14ac:dyDescent="0.3">
      <c r="G2293" s="15">
        <v>6.3555555555555552</v>
      </c>
      <c r="H2293" s="3">
        <v>3.8825555555555835E-2</v>
      </c>
    </row>
    <row r="2294" spans="7:8" x14ac:dyDescent="0.3">
      <c r="G2294" s="15">
        <v>6.3583333333333334</v>
      </c>
      <c r="H2294" s="3">
        <v>3.8824583333333613E-2</v>
      </c>
    </row>
    <row r="2295" spans="7:8" x14ac:dyDescent="0.3">
      <c r="G2295" s="15">
        <v>6.3611111111111107</v>
      </c>
      <c r="H2295" s="3">
        <v>3.8823611111111392E-2</v>
      </c>
    </row>
    <row r="2296" spans="7:8" x14ac:dyDescent="0.3">
      <c r="G2296" s="15">
        <v>6.3638888888888889</v>
      </c>
      <c r="H2296" s="3">
        <v>3.882263888888917E-2</v>
      </c>
    </row>
    <row r="2297" spans="7:8" x14ac:dyDescent="0.3">
      <c r="G2297" s="15">
        <v>6.3666666666666663</v>
      </c>
      <c r="H2297" s="3">
        <v>3.8821666666666949E-2</v>
      </c>
    </row>
    <row r="2298" spans="7:8" x14ac:dyDescent="0.3">
      <c r="G2298" s="15">
        <v>6.3694444444444445</v>
      </c>
      <c r="H2298" s="3">
        <v>3.8820694444444727E-2</v>
      </c>
    </row>
    <row r="2299" spans="7:8" x14ac:dyDescent="0.3">
      <c r="G2299" s="15">
        <v>6.3722222222222218</v>
      </c>
      <c r="H2299" s="3">
        <v>3.8819722222222505E-2</v>
      </c>
    </row>
    <row r="2300" spans="7:8" x14ac:dyDescent="0.3">
      <c r="G2300" s="15">
        <v>6.375</v>
      </c>
      <c r="H2300" s="3">
        <v>3.8818750000000284E-2</v>
      </c>
    </row>
    <row r="2301" spans="7:8" x14ac:dyDescent="0.3">
      <c r="G2301" s="15">
        <v>6.3777777777777782</v>
      </c>
      <c r="H2301" s="3">
        <v>3.8817777777778062E-2</v>
      </c>
    </row>
    <row r="2302" spans="7:8" x14ac:dyDescent="0.3">
      <c r="G2302" s="15">
        <v>6.3805555555555555</v>
      </c>
      <c r="H2302" s="3">
        <v>3.881680555555584E-2</v>
      </c>
    </row>
    <row r="2303" spans="7:8" x14ac:dyDescent="0.3">
      <c r="G2303" s="15">
        <v>6.3833333333333337</v>
      </c>
      <c r="H2303" s="3">
        <v>3.8815833333333619E-2</v>
      </c>
    </row>
    <row r="2304" spans="7:8" x14ac:dyDescent="0.3">
      <c r="G2304" s="15">
        <v>6.3861111111111111</v>
      </c>
      <c r="H2304" s="3">
        <v>3.8814861111111397E-2</v>
      </c>
    </row>
    <row r="2305" spans="7:8" x14ac:dyDescent="0.3">
      <c r="G2305" s="15">
        <v>6.3888888888888893</v>
      </c>
      <c r="H2305" s="3">
        <v>3.8813888888889175E-2</v>
      </c>
    </row>
    <row r="2306" spans="7:8" x14ac:dyDescent="0.3">
      <c r="G2306" s="15">
        <v>6.3916666666666666</v>
      </c>
      <c r="H2306" s="3">
        <v>3.8812916666666954E-2</v>
      </c>
    </row>
    <row r="2307" spans="7:8" x14ac:dyDescent="0.3">
      <c r="G2307" s="15">
        <v>6.3944444444444448</v>
      </c>
      <c r="H2307" s="3">
        <v>3.8811944444444732E-2</v>
      </c>
    </row>
    <row r="2308" spans="7:8" x14ac:dyDescent="0.3">
      <c r="G2308" s="15">
        <v>6.3972222222222221</v>
      </c>
      <c r="H2308" s="3">
        <v>3.881097222222251E-2</v>
      </c>
    </row>
    <row r="2309" spans="7:8" x14ac:dyDescent="0.3">
      <c r="G2309" s="15">
        <v>6.4</v>
      </c>
      <c r="H2309" s="3">
        <v>3.8810000000000289E-2</v>
      </c>
    </row>
    <row r="2310" spans="7:8" x14ac:dyDescent="0.3">
      <c r="G2310" s="15">
        <v>6.4027777777777777</v>
      </c>
      <c r="H2310" s="3">
        <v>3.8809027777778067E-2</v>
      </c>
    </row>
    <row r="2311" spans="7:8" x14ac:dyDescent="0.3">
      <c r="G2311" s="15">
        <v>6.4055555555555559</v>
      </c>
      <c r="H2311" s="3">
        <v>3.8808055555555845E-2</v>
      </c>
    </row>
    <row r="2312" spans="7:8" x14ac:dyDescent="0.3">
      <c r="G2312" s="15">
        <v>6.4083333333333332</v>
      </c>
      <c r="H2312" s="3">
        <v>3.8807083333333624E-2</v>
      </c>
    </row>
    <row r="2313" spans="7:8" x14ac:dyDescent="0.3">
      <c r="G2313" s="15">
        <v>6.4111111111111114</v>
      </c>
      <c r="H2313" s="3">
        <v>3.8806111111111402E-2</v>
      </c>
    </row>
    <row r="2314" spans="7:8" x14ac:dyDescent="0.3">
      <c r="G2314" s="15">
        <v>6.4138888888888888</v>
      </c>
      <c r="H2314" s="3">
        <v>3.880513888888918E-2</v>
      </c>
    </row>
    <row r="2315" spans="7:8" x14ac:dyDescent="0.3">
      <c r="G2315" s="15">
        <v>6.416666666666667</v>
      </c>
      <c r="H2315" s="3">
        <v>3.8804166666666959E-2</v>
      </c>
    </row>
    <row r="2316" spans="7:8" x14ac:dyDescent="0.3">
      <c r="G2316" s="15">
        <v>6.4194444444444443</v>
      </c>
      <c r="H2316" s="3">
        <v>3.8803194444444737E-2</v>
      </c>
    </row>
    <row r="2317" spans="7:8" x14ac:dyDescent="0.3">
      <c r="G2317" s="15">
        <v>6.4222222222222225</v>
      </c>
      <c r="H2317" s="3">
        <v>3.8802222222222515E-2</v>
      </c>
    </row>
    <row r="2318" spans="7:8" x14ac:dyDescent="0.3">
      <c r="G2318" s="15">
        <v>6.4249999999999998</v>
      </c>
      <c r="H2318" s="3">
        <v>3.8801250000000294E-2</v>
      </c>
    </row>
    <row r="2319" spans="7:8" x14ac:dyDescent="0.3">
      <c r="G2319" s="15">
        <v>6.427777777777778</v>
      </c>
      <c r="H2319" s="3">
        <v>3.8800277777778072E-2</v>
      </c>
    </row>
    <row r="2320" spans="7:8" x14ac:dyDescent="0.3">
      <c r="G2320" s="15">
        <v>6.4305555555555554</v>
      </c>
      <c r="H2320" s="3">
        <v>3.8799305555555851E-2</v>
      </c>
    </row>
    <row r="2321" spans="7:8" x14ac:dyDescent="0.3">
      <c r="G2321" s="15">
        <v>6.4333333333333336</v>
      </c>
      <c r="H2321" s="3">
        <v>3.8798333333333629E-2</v>
      </c>
    </row>
    <row r="2322" spans="7:8" x14ac:dyDescent="0.3">
      <c r="G2322" s="15">
        <v>6.4361111111111109</v>
      </c>
      <c r="H2322" s="3">
        <v>3.8797361111111407E-2</v>
      </c>
    </row>
    <row r="2323" spans="7:8" x14ac:dyDescent="0.3">
      <c r="G2323" s="15">
        <v>6.4388888888888891</v>
      </c>
      <c r="H2323" s="3">
        <v>3.8796388888889186E-2</v>
      </c>
    </row>
    <row r="2324" spans="7:8" x14ac:dyDescent="0.3">
      <c r="G2324" s="15">
        <v>6.4416666666666664</v>
      </c>
      <c r="H2324" s="3">
        <v>3.8795416666666964E-2</v>
      </c>
    </row>
    <row r="2325" spans="7:8" x14ac:dyDescent="0.3">
      <c r="G2325" s="15">
        <v>6.4444444444444446</v>
      </c>
      <c r="H2325" s="3">
        <v>3.8794444444444742E-2</v>
      </c>
    </row>
    <row r="2326" spans="7:8" x14ac:dyDescent="0.3">
      <c r="G2326" s="15">
        <v>6.447222222222222</v>
      </c>
      <c r="H2326" s="3">
        <v>3.8793472222222521E-2</v>
      </c>
    </row>
    <row r="2327" spans="7:8" x14ac:dyDescent="0.3">
      <c r="G2327" s="15">
        <v>6.45</v>
      </c>
      <c r="H2327" s="3">
        <v>3.8792500000000299E-2</v>
      </c>
    </row>
    <row r="2328" spans="7:8" x14ac:dyDescent="0.3">
      <c r="G2328" s="15">
        <v>6.4527777777777775</v>
      </c>
      <c r="H2328" s="3">
        <v>3.8791527777778077E-2</v>
      </c>
    </row>
    <row r="2329" spans="7:8" x14ac:dyDescent="0.3">
      <c r="G2329" s="15">
        <v>6.4555555555555557</v>
      </c>
      <c r="H2329" s="3">
        <v>3.8790555555555856E-2</v>
      </c>
    </row>
    <row r="2330" spans="7:8" x14ac:dyDescent="0.3">
      <c r="G2330" s="15">
        <v>6.458333333333333</v>
      </c>
      <c r="H2330" s="3">
        <v>3.8789583333333634E-2</v>
      </c>
    </row>
    <row r="2331" spans="7:8" x14ac:dyDescent="0.3">
      <c r="G2331" s="15">
        <v>6.4611111111111112</v>
      </c>
      <c r="H2331" s="3">
        <v>3.8788611111111412E-2</v>
      </c>
    </row>
    <row r="2332" spans="7:8" x14ac:dyDescent="0.3">
      <c r="G2332" s="15">
        <v>6.4638888888888886</v>
      </c>
      <c r="H2332" s="3">
        <v>3.8787638888889191E-2</v>
      </c>
    </row>
    <row r="2333" spans="7:8" x14ac:dyDescent="0.3">
      <c r="G2333" s="15">
        <v>6.4666666666666668</v>
      </c>
      <c r="H2333" s="3">
        <v>3.8786666666666969E-2</v>
      </c>
    </row>
    <row r="2334" spans="7:8" x14ac:dyDescent="0.3">
      <c r="G2334" s="15">
        <v>6.4694444444444441</v>
      </c>
      <c r="H2334" s="3">
        <v>3.8785694444444747E-2</v>
      </c>
    </row>
    <row r="2335" spans="7:8" x14ac:dyDescent="0.3">
      <c r="G2335" s="15">
        <v>6.4722222222222223</v>
      </c>
      <c r="H2335" s="3">
        <v>3.8784722222222526E-2</v>
      </c>
    </row>
    <row r="2336" spans="7:8" x14ac:dyDescent="0.3">
      <c r="G2336" s="15">
        <v>6.4749999999999996</v>
      </c>
      <c r="H2336" s="3">
        <v>3.8783750000000304E-2</v>
      </c>
    </row>
    <row r="2337" spans="7:8" x14ac:dyDescent="0.3">
      <c r="G2337" s="15">
        <v>6.4777777777777779</v>
      </c>
      <c r="H2337" s="3">
        <v>3.8782777777778082E-2</v>
      </c>
    </row>
    <row r="2338" spans="7:8" x14ac:dyDescent="0.3">
      <c r="G2338" s="15">
        <v>6.4805555555555552</v>
      </c>
      <c r="H2338" s="3">
        <v>3.8781805555555861E-2</v>
      </c>
    </row>
    <row r="2339" spans="7:8" x14ac:dyDescent="0.3">
      <c r="G2339" s="15">
        <v>6.4833333333333334</v>
      </c>
      <c r="H2339" s="3">
        <v>3.8780833333333639E-2</v>
      </c>
    </row>
    <row r="2340" spans="7:8" x14ac:dyDescent="0.3">
      <c r="G2340" s="15">
        <v>6.4861111111111107</v>
      </c>
      <c r="H2340" s="3">
        <v>3.8779861111111417E-2</v>
      </c>
    </row>
    <row r="2341" spans="7:8" x14ac:dyDescent="0.3">
      <c r="G2341" s="15">
        <v>6.4888888888888889</v>
      </c>
      <c r="H2341" s="3">
        <v>3.8778888888889196E-2</v>
      </c>
    </row>
    <row r="2342" spans="7:8" x14ac:dyDescent="0.3">
      <c r="G2342" s="15">
        <v>6.4916666666666663</v>
      </c>
      <c r="H2342" s="3">
        <v>3.8777916666666974E-2</v>
      </c>
    </row>
    <row r="2343" spans="7:8" x14ac:dyDescent="0.3">
      <c r="G2343" s="15">
        <v>6.4944444444444445</v>
      </c>
      <c r="H2343" s="3">
        <v>3.8776944444444753E-2</v>
      </c>
    </row>
    <row r="2344" spans="7:8" x14ac:dyDescent="0.3">
      <c r="G2344" s="15">
        <v>6.4972222222222218</v>
      </c>
      <c r="H2344" s="3">
        <v>3.8775972222222531E-2</v>
      </c>
    </row>
    <row r="2345" spans="7:8" x14ac:dyDescent="0.3">
      <c r="G2345" s="15">
        <v>6.5</v>
      </c>
      <c r="H2345" s="3">
        <v>3.8775000000000309E-2</v>
      </c>
    </row>
    <row r="2346" spans="7:8" x14ac:dyDescent="0.3">
      <c r="G2346" s="15">
        <v>6.5027777777777782</v>
      </c>
      <c r="H2346" s="3">
        <v>3.8774027777778088E-2</v>
      </c>
    </row>
    <row r="2347" spans="7:8" x14ac:dyDescent="0.3">
      <c r="G2347" s="15">
        <v>6.5055555555555555</v>
      </c>
      <c r="H2347" s="3">
        <v>3.8773055555555866E-2</v>
      </c>
    </row>
    <row r="2348" spans="7:8" x14ac:dyDescent="0.3">
      <c r="G2348" s="15">
        <v>6.5083333333333337</v>
      </c>
      <c r="H2348" s="3">
        <v>3.8772083333333644E-2</v>
      </c>
    </row>
    <row r="2349" spans="7:8" x14ac:dyDescent="0.3">
      <c r="G2349" s="15">
        <v>6.5111111111111111</v>
      </c>
      <c r="H2349" s="3">
        <v>3.8771111111111423E-2</v>
      </c>
    </row>
    <row r="2350" spans="7:8" x14ac:dyDescent="0.3">
      <c r="G2350" s="15">
        <v>6.5138888888888893</v>
      </c>
      <c r="H2350" s="3">
        <v>3.8770138888889201E-2</v>
      </c>
    </row>
    <row r="2351" spans="7:8" x14ac:dyDescent="0.3">
      <c r="G2351" s="15">
        <v>6.5166666666666666</v>
      </c>
      <c r="H2351" s="3">
        <v>3.8769166666666979E-2</v>
      </c>
    </row>
    <row r="2352" spans="7:8" x14ac:dyDescent="0.3">
      <c r="G2352" s="15">
        <v>6.5194444444444448</v>
      </c>
      <c r="H2352" s="3">
        <v>3.8768194444444758E-2</v>
      </c>
    </row>
    <row r="2353" spans="7:8" x14ac:dyDescent="0.3">
      <c r="G2353" s="15">
        <v>6.5222222222222221</v>
      </c>
      <c r="H2353" s="3">
        <v>3.8767222222222536E-2</v>
      </c>
    </row>
    <row r="2354" spans="7:8" x14ac:dyDescent="0.3">
      <c r="G2354" s="15">
        <v>6.5250000000000004</v>
      </c>
      <c r="H2354" s="3">
        <v>3.8766250000000314E-2</v>
      </c>
    </row>
    <row r="2355" spans="7:8" x14ac:dyDescent="0.3">
      <c r="G2355" s="15">
        <v>6.5277777777777777</v>
      </c>
      <c r="H2355" s="3">
        <v>3.8765277777778093E-2</v>
      </c>
    </row>
    <row r="2356" spans="7:8" x14ac:dyDescent="0.3">
      <c r="G2356" s="15">
        <v>6.5305555555555559</v>
      </c>
      <c r="H2356" s="3">
        <v>3.8764305555555871E-2</v>
      </c>
    </row>
    <row r="2357" spans="7:8" x14ac:dyDescent="0.3">
      <c r="G2357" s="15">
        <v>6.5333333333333332</v>
      </c>
      <c r="H2357" s="3">
        <v>3.8763333333333649E-2</v>
      </c>
    </row>
    <row r="2358" spans="7:8" x14ac:dyDescent="0.3">
      <c r="G2358" s="15">
        <v>6.5361111111111114</v>
      </c>
      <c r="H2358" s="3">
        <v>3.8762361111111428E-2</v>
      </c>
    </row>
    <row r="2359" spans="7:8" x14ac:dyDescent="0.3">
      <c r="G2359" s="15">
        <v>6.5388888888888888</v>
      </c>
      <c r="H2359" s="3">
        <v>3.8761388888889206E-2</v>
      </c>
    </row>
    <row r="2360" spans="7:8" x14ac:dyDescent="0.3">
      <c r="G2360" s="15">
        <v>6.541666666666667</v>
      </c>
      <c r="H2360" s="3">
        <v>3.8760416666666984E-2</v>
      </c>
    </row>
    <row r="2361" spans="7:8" x14ac:dyDescent="0.3">
      <c r="G2361" s="15">
        <v>6.5444444444444443</v>
      </c>
      <c r="H2361" s="3">
        <v>3.8759444444444763E-2</v>
      </c>
    </row>
    <row r="2362" spans="7:8" x14ac:dyDescent="0.3">
      <c r="G2362" s="15">
        <v>6.5472222222222225</v>
      </c>
      <c r="H2362" s="3">
        <v>3.8758472222222541E-2</v>
      </c>
    </row>
    <row r="2363" spans="7:8" x14ac:dyDescent="0.3">
      <c r="G2363" s="15">
        <v>6.55</v>
      </c>
      <c r="H2363" s="3">
        <v>3.8757500000000319E-2</v>
      </c>
    </row>
    <row r="2364" spans="7:8" x14ac:dyDescent="0.3">
      <c r="G2364" s="15">
        <v>6.552777777777778</v>
      </c>
      <c r="H2364" s="3">
        <v>3.8756527777778098E-2</v>
      </c>
    </row>
    <row r="2365" spans="7:8" x14ac:dyDescent="0.3">
      <c r="G2365" s="15">
        <v>6.5555555555555554</v>
      </c>
      <c r="H2365" s="3">
        <v>3.8755555555555876E-2</v>
      </c>
    </row>
    <row r="2366" spans="7:8" x14ac:dyDescent="0.3">
      <c r="G2366" s="15">
        <v>6.5583333333333336</v>
      </c>
      <c r="H2366" s="3">
        <v>3.8754583333333655E-2</v>
      </c>
    </row>
    <row r="2367" spans="7:8" x14ac:dyDescent="0.3">
      <c r="G2367" s="15">
        <v>6.5611111111111109</v>
      </c>
      <c r="H2367" s="3">
        <v>3.8753611111111433E-2</v>
      </c>
    </row>
    <row r="2368" spans="7:8" x14ac:dyDescent="0.3">
      <c r="G2368" s="15">
        <v>6.5638888888888891</v>
      </c>
      <c r="H2368" s="3">
        <v>3.8752638888889211E-2</v>
      </c>
    </row>
    <row r="2369" spans="7:8" x14ac:dyDescent="0.3">
      <c r="G2369" s="15">
        <v>6.5666666666666664</v>
      </c>
      <c r="H2369" s="3">
        <v>3.875166666666699E-2</v>
      </c>
    </row>
    <row r="2370" spans="7:8" x14ac:dyDescent="0.3">
      <c r="G2370" s="15">
        <v>6.5694444444444446</v>
      </c>
      <c r="H2370" s="3">
        <v>3.8750694444444768E-2</v>
      </c>
    </row>
    <row r="2371" spans="7:8" x14ac:dyDescent="0.3">
      <c r="G2371" s="15">
        <v>6.572222222222222</v>
      </c>
      <c r="H2371" s="3">
        <v>3.8749722222222546E-2</v>
      </c>
    </row>
    <row r="2372" spans="7:8" x14ac:dyDescent="0.3">
      <c r="G2372" s="15">
        <v>6.5750000000000002</v>
      </c>
      <c r="H2372" s="3">
        <v>3.8748750000000325E-2</v>
      </c>
    </row>
    <row r="2373" spans="7:8" x14ac:dyDescent="0.3">
      <c r="G2373" s="15">
        <v>6.5777777777777775</v>
      </c>
      <c r="H2373" s="3">
        <v>3.8747777777778103E-2</v>
      </c>
    </row>
    <row r="2374" spans="7:8" x14ac:dyDescent="0.3">
      <c r="G2374" s="15">
        <v>6.5805555555555557</v>
      </c>
      <c r="H2374" s="3">
        <v>3.8746805555555881E-2</v>
      </c>
    </row>
    <row r="2375" spans="7:8" x14ac:dyDescent="0.3">
      <c r="G2375" s="15">
        <v>6.583333333333333</v>
      </c>
      <c r="H2375" s="3">
        <v>3.874583333333366E-2</v>
      </c>
    </row>
    <row r="2376" spans="7:8" x14ac:dyDescent="0.3">
      <c r="G2376" s="15">
        <v>6.5861111111111112</v>
      </c>
      <c r="H2376" s="3">
        <v>3.8744861111111438E-2</v>
      </c>
    </row>
    <row r="2377" spans="7:8" x14ac:dyDescent="0.3">
      <c r="G2377" s="15">
        <v>6.5888888888888886</v>
      </c>
      <c r="H2377" s="3">
        <v>3.8743888888889216E-2</v>
      </c>
    </row>
    <row r="2378" spans="7:8" x14ac:dyDescent="0.3">
      <c r="G2378" s="15">
        <v>6.5916666666666668</v>
      </c>
      <c r="H2378" s="3">
        <v>3.8742916666666995E-2</v>
      </c>
    </row>
    <row r="2379" spans="7:8" x14ac:dyDescent="0.3">
      <c r="G2379" s="15">
        <v>6.5944444444444441</v>
      </c>
      <c r="H2379" s="3">
        <v>3.8741944444444773E-2</v>
      </c>
    </row>
    <row r="2380" spans="7:8" x14ac:dyDescent="0.3">
      <c r="G2380" s="15">
        <v>6.5972222222222223</v>
      </c>
      <c r="H2380" s="3">
        <v>3.8740972222222551E-2</v>
      </c>
    </row>
    <row r="2381" spans="7:8" x14ac:dyDescent="0.3">
      <c r="G2381" s="15">
        <v>6.6</v>
      </c>
      <c r="H2381" s="3">
        <v>3.874000000000033E-2</v>
      </c>
    </row>
    <row r="2382" spans="7:8" x14ac:dyDescent="0.3">
      <c r="G2382" s="15">
        <v>6.6027777777777779</v>
      </c>
      <c r="H2382" s="3">
        <v>3.8739027777778108E-2</v>
      </c>
    </row>
    <row r="2383" spans="7:8" x14ac:dyDescent="0.3">
      <c r="G2383" s="15">
        <v>6.6055555555555552</v>
      </c>
      <c r="H2383" s="3">
        <v>3.8738055555555886E-2</v>
      </c>
    </row>
    <row r="2384" spans="7:8" x14ac:dyDescent="0.3">
      <c r="G2384" s="15">
        <v>6.6083333333333334</v>
      </c>
      <c r="H2384" s="3">
        <v>3.8737083333333665E-2</v>
      </c>
    </row>
    <row r="2385" spans="7:8" x14ac:dyDescent="0.3">
      <c r="G2385" s="15">
        <v>6.6111111111111107</v>
      </c>
      <c r="H2385" s="3">
        <v>3.8736111111111443E-2</v>
      </c>
    </row>
    <row r="2386" spans="7:8" x14ac:dyDescent="0.3">
      <c r="G2386" s="15">
        <v>6.6138888888888889</v>
      </c>
      <c r="H2386" s="3">
        <v>3.8735138888889221E-2</v>
      </c>
    </row>
    <row r="2387" spans="7:8" x14ac:dyDescent="0.3">
      <c r="G2387" s="15">
        <v>6.6166666666666663</v>
      </c>
      <c r="H2387" s="3">
        <v>3.8734166666667E-2</v>
      </c>
    </row>
    <row r="2388" spans="7:8" x14ac:dyDescent="0.3">
      <c r="G2388" s="15">
        <v>6.6194444444444445</v>
      </c>
      <c r="H2388" s="3">
        <v>3.8733194444444778E-2</v>
      </c>
    </row>
    <row r="2389" spans="7:8" x14ac:dyDescent="0.3">
      <c r="G2389" s="15">
        <v>6.6222222222222218</v>
      </c>
      <c r="H2389" s="3">
        <v>3.8732222222222557E-2</v>
      </c>
    </row>
    <row r="2390" spans="7:8" x14ac:dyDescent="0.3">
      <c r="G2390" s="15">
        <v>6.625</v>
      </c>
      <c r="H2390" s="3">
        <v>3.8731250000000335E-2</v>
      </c>
    </row>
    <row r="2391" spans="7:8" x14ac:dyDescent="0.3">
      <c r="G2391" s="15">
        <v>6.6277777777777782</v>
      </c>
      <c r="H2391" s="3">
        <v>3.8730277777778113E-2</v>
      </c>
    </row>
    <row r="2392" spans="7:8" x14ac:dyDescent="0.3">
      <c r="G2392" s="15">
        <v>6.6305555555555555</v>
      </c>
      <c r="H2392" s="3">
        <v>3.8729305555555892E-2</v>
      </c>
    </row>
    <row r="2393" spans="7:8" x14ac:dyDescent="0.3">
      <c r="G2393" s="15">
        <v>6.6333333333333337</v>
      </c>
      <c r="H2393" s="3">
        <v>3.872833333333367E-2</v>
      </c>
    </row>
    <row r="2394" spans="7:8" x14ac:dyDescent="0.3">
      <c r="G2394" s="15">
        <v>6.6361111111111111</v>
      </c>
      <c r="H2394" s="3">
        <v>3.8727361111111448E-2</v>
      </c>
    </row>
    <row r="2395" spans="7:8" x14ac:dyDescent="0.3">
      <c r="G2395" s="15">
        <v>6.6388888888888893</v>
      </c>
      <c r="H2395" s="3">
        <v>3.8726388888889227E-2</v>
      </c>
    </row>
    <row r="2396" spans="7:8" x14ac:dyDescent="0.3">
      <c r="G2396" s="15">
        <v>6.6416666666666666</v>
      </c>
      <c r="H2396" s="3">
        <v>3.8725416666667005E-2</v>
      </c>
    </row>
    <row r="2397" spans="7:8" x14ac:dyDescent="0.3">
      <c r="G2397" s="15">
        <v>6.6444444444444448</v>
      </c>
      <c r="H2397" s="3">
        <v>3.8724444444444783E-2</v>
      </c>
    </row>
    <row r="2398" spans="7:8" x14ac:dyDescent="0.3">
      <c r="G2398" s="15">
        <v>6.6472222222222221</v>
      </c>
      <c r="H2398" s="3">
        <v>3.8723472222222562E-2</v>
      </c>
    </row>
    <row r="2399" spans="7:8" x14ac:dyDescent="0.3">
      <c r="G2399" s="15">
        <v>6.65</v>
      </c>
      <c r="H2399" s="3">
        <v>3.872250000000034E-2</v>
      </c>
    </row>
    <row r="2400" spans="7:8" x14ac:dyDescent="0.3">
      <c r="G2400" s="15">
        <v>6.6527777777777777</v>
      </c>
      <c r="H2400" s="3">
        <v>3.8721527777778118E-2</v>
      </c>
    </row>
    <row r="2401" spans="7:8" x14ac:dyDescent="0.3">
      <c r="G2401" s="15">
        <v>6.6555555555555559</v>
      </c>
      <c r="H2401" s="3">
        <v>3.8720555555555897E-2</v>
      </c>
    </row>
    <row r="2402" spans="7:8" x14ac:dyDescent="0.3">
      <c r="G2402" s="15">
        <v>6.6583333333333332</v>
      </c>
      <c r="H2402" s="3">
        <v>3.8719583333333675E-2</v>
      </c>
    </row>
    <row r="2403" spans="7:8" x14ac:dyDescent="0.3">
      <c r="G2403" s="15">
        <v>6.6611111111111114</v>
      </c>
      <c r="H2403" s="3">
        <v>3.8718611111111453E-2</v>
      </c>
    </row>
    <row r="2404" spans="7:8" x14ac:dyDescent="0.3">
      <c r="G2404" s="15">
        <v>6.6638888888888888</v>
      </c>
      <c r="H2404" s="3">
        <v>3.8717638888889232E-2</v>
      </c>
    </row>
    <row r="2405" spans="7:8" x14ac:dyDescent="0.3">
      <c r="G2405" s="15">
        <v>6.666666666666667</v>
      </c>
      <c r="H2405" s="3">
        <v>3.871666666666701E-2</v>
      </c>
    </row>
    <row r="2406" spans="7:8" x14ac:dyDescent="0.3">
      <c r="G2406" s="15">
        <v>6.6694444444444443</v>
      </c>
      <c r="H2406" s="3">
        <v>3.8715694444444781E-2</v>
      </c>
    </row>
    <row r="2407" spans="7:8" x14ac:dyDescent="0.3">
      <c r="G2407" s="15">
        <v>6.6722222222222225</v>
      </c>
      <c r="H2407" s="3">
        <v>3.871472222222256E-2</v>
      </c>
    </row>
    <row r="2408" spans="7:8" x14ac:dyDescent="0.3">
      <c r="G2408" s="15">
        <v>6.6749999999999998</v>
      </c>
      <c r="H2408" s="3">
        <v>3.8713750000000338E-2</v>
      </c>
    </row>
    <row r="2409" spans="7:8" x14ac:dyDescent="0.3">
      <c r="G2409" s="15">
        <v>6.677777777777778</v>
      </c>
      <c r="H2409" s="3">
        <v>3.871277777777811E-2</v>
      </c>
    </row>
    <row r="2410" spans="7:8" x14ac:dyDescent="0.3">
      <c r="G2410" s="15">
        <v>6.6805555555555554</v>
      </c>
      <c r="H2410" s="3">
        <v>3.8711805555555881E-2</v>
      </c>
    </row>
    <row r="2411" spans="7:8" x14ac:dyDescent="0.3">
      <c r="G2411" s="15">
        <v>6.6833333333333336</v>
      </c>
      <c r="H2411" s="3">
        <v>3.8710833333333659E-2</v>
      </c>
    </row>
    <row r="2412" spans="7:8" x14ac:dyDescent="0.3">
      <c r="G2412" s="15">
        <v>6.6861111111111109</v>
      </c>
      <c r="H2412" s="3">
        <v>3.8709861111111438E-2</v>
      </c>
    </row>
    <row r="2413" spans="7:8" x14ac:dyDescent="0.3">
      <c r="G2413" s="15">
        <v>6.6888888888888891</v>
      </c>
      <c r="H2413" s="3">
        <v>3.8708888888889209E-2</v>
      </c>
    </row>
    <row r="2414" spans="7:8" x14ac:dyDescent="0.3">
      <c r="G2414" s="15">
        <v>6.6916666666666664</v>
      </c>
      <c r="H2414" s="3">
        <v>3.870791666666698E-2</v>
      </c>
    </row>
    <row r="2415" spans="7:8" x14ac:dyDescent="0.3">
      <c r="G2415" s="15">
        <v>6.6944444444444446</v>
      </c>
      <c r="H2415" s="3">
        <v>3.8706944444444759E-2</v>
      </c>
    </row>
    <row r="2416" spans="7:8" x14ac:dyDescent="0.3">
      <c r="G2416" s="15">
        <v>6.697222222222222</v>
      </c>
      <c r="H2416" s="3">
        <v>3.8705972222222537E-2</v>
      </c>
    </row>
    <row r="2417" spans="7:8" x14ac:dyDescent="0.3">
      <c r="G2417" s="15">
        <v>6.7</v>
      </c>
      <c r="H2417" s="3">
        <v>3.8705000000000309E-2</v>
      </c>
    </row>
    <row r="2418" spans="7:8" x14ac:dyDescent="0.3">
      <c r="G2418" s="15">
        <v>6.7027777777777775</v>
      </c>
      <c r="H2418" s="3">
        <v>3.870402777777808E-2</v>
      </c>
    </row>
    <row r="2419" spans="7:8" x14ac:dyDescent="0.3">
      <c r="G2419" s="15">
        <v>6.7055555555555557</v>
      </c>
      <c r="H2419" s="3">
        <v>3.8703055555555858E-2</v>
      </c>
    </row>
    <row r="2420" spans="7:8" x14ac:dyDescent="0.3">
      <c r="G2420" s="15">
        <v>6.708333333333333</v>
      </c>
      <c r="H2420" s="3">
        <v>3.8702083333333637E-2</v>
      </c>
    </row>
    <row r="2421" spans="7:8" x14ac:dyDescent="0.3">
      <c r="G2421" s="15">
        <v>6.7111111111111112</v>
      </c>
      <c r="H2421" s="3">
        <v>3.8701111111111408E-2</v>
      </c>
    </row>
    <row r="2422" spans="7:8" x14ac:dyDescent="0.3">
      <c r="G2422" s="15">
        <v>6.7138888888888886</v>
      </c>
      <c r="H2422" s="3">
        <v>3.870013888888918E-2</v>
      </c>
    </row>
    <row r="2423" spans="7:8" x14ac:dyDescent="0.3">
      <c r="G2423" s="15">
        <v>6.7166666666666668</v>
      </c>
      <c r="H2423" s="3">
        <v>3.8699166666666958E-2</v>
      </c>
    </row>
    <row r="2424" spans="7:8" x14ac:dyDescent="0.3">
      <c r="G2424" s="15">
        <v>6.7194444444444441</v>
      </c>
      <c r="H2424" s="3">
        <v>3.8698194444444736E-2</v>
      </c>
    </row>
    <row r="2425" spans="7:8" x14ac:dyDescent="0.3">
      <c r="G2425" s="15">
        <v>6.7222222222222223</v>
      </c>
      <c r="H2425" s="3">
        <v>3.8697222222222508E-2</v>
      </c>
    </row>
    <row r="2426" spans="7:8" x14ac:dyDescent="0.3">
      <c r="G2426" s="15">
        <v>6.7249999999999996</v>
      </c>
      <c r="H2426" s="3">
        <v>3.8696250000000279E-2</v>
      </c>
    </row>
    <row r="2427" spans="7:8" x14ac:dyDescent="0.3">
      <c r="G2427" s="15">
        <v>6.7277777777777779</v>
      </c>
      <c r="H2427" s="3">
        <v>3.8695277777778057E-2</v>
      </c>
    </row>
    <row r="2428" spans="7:8" x14ac:dyDescent="0.3">
      <c r="G2428" s="15">
        <v>6.7305555555555552</v>
      </c>
      <c r="H2428" s="3">
        <v>3.8694305555555836E-2</v>
      </c>
    </row>
    <row r="2429" spans="7:8" x14ac:dyDescent="0.3">
      <c r="G2429" s="15">
        <v>6.7333333333333334</v>
      </c>
      <c r="H2429" s="3">
        <v>3.8693333333333607E-2</v>
      </c>
    </row>
    <row r="2430" spans="7:8" x14ac:dyDescent="0.3">
      <c r="G2430" s="15">
        <v>6.7361111111111107</v>
      </c>
      <c r="H2430" s="3">
        <v>3.8692361111111379E-2</v>
      </c>
    </row>
    <row r="2431" spans="7:8" x14ac:dyDescent="0.3">
      <c r="G2431" s="15">
        <v>6.7388888888888889</v>
      </c>
      <c r="H2431" s="3">
        <v>3.8691388888889157E-2</v>
      </c>
    </row>
    <row r="2432" spans="7:8" x14ac:dyDescent="0.3">
      <c r="G2432" s="15">
        <v>6.7416666666666663</v>
      </c>
      <c r="H2432" s="3">
        <v>3.8690416666666935E-2</v>
      </c>
    </row>
    <row r="2433" spans="7:8" x14ac:dyDescent="0.3">
      <c r="G2433" s="15">
        <v>6.7444444444444445</v>
      </c>
      <c r="H2433" s="3">
        <v>3.8689444444444707E-2</v>
      </c>
    </row>
    <row r="2434" spans="7:8" x14ac:dyDescent="0.3">
      <c r="G2434" s="15">
        <v>6.7472222222222218</v>
      </c>
      <c r="H2434" s="3">
        <v>3.8688472222222478E-2</v>
      </c>
    </row>
    <row r="2435" spans="7:8" x14ac:dyDescent="0.3">
      <c r="G2435" s="15">
        <v>6.75</v>
      </c>
      <c r="H2435" s="3">
        <v>3.8687500000000256E-2</v>
      </c>
    </row>
    <row r="2436" spans="7:8" x14ac:dyDescent="0.3">
      <c r="G2436" s="15">
        <v>6.7527777777777782</v>
      </c>
      <c r="H2436" s="3">
        <v>3.8686527777778035E-2</v>
      </c>
    </row>
    <row r="2437" spans="7:8" x14ac:dyDescent="0.3">
      <c r="G2437" s="15">
        <v>6.7555555555555555</v>
      </c>
      <c r="H2437" s="3">
        <v>3.8685555555555806E-2</v>
      </c>
    </row>
    <row r="2438" spans="7:8" x14ac:dyDescent="0.3">
      <c r="G2438" s="15">
        <v>6.7583333333333337</v>
      </c>
      <c r="H2438" s="3">
        <v>3.8684583333333578E-2</v>
      </c>
    </row>
    <row r="2439" spans="7:8" x14ac:dyDescent="0.3">
      <c r="G2439" s="15">
        <v>6.7611111111111111</v>
      </c>
      <c r="H2439" s="3">
        <v>3.8683611111111356E-2</v>
      </c>
    </row>
    <row r="2440" spans="7:8" x14ac:dyDescent="0.3">
      <c r="G2440" s="15">
        <v>6.7638888888888893</v>
      </c>
      <c r="H2440" s="3">
        <v>3.8682638888889134E-2</v>
      </c>
    </row>
    <row r="2441" spans="7:8" x14ac:dyDescent="0.3">
      <c r="G2441" s="15">
        <v>6.7666666666666666</v>
      </c>
      <c r="H2441" s="3">
        <v>3.8681666666666906E-2</v>
      </c>
    </row>
    <row r="2442" spans="7:8" x14ac:dyDescent="0.3">
      <c r="G2442" s="15">
        <v>6.7694444444444448</v>
      </c>
      <c r="H2442" s="3">
        <v>3.8680694444444677E-2</v>
      </c>
    </row>
    <row r="2443" spans="7:8" x14ac:dyDescent="0.3">
      <c r="G2443" s="15">
        <v>6.7722222222222221</v>
      </c>
      <c r="H2443" s="3">
        <v>3.8679722222222455E-2</v>
      </c>
    </row>
    <row r="2444" spans="7:8" x14ac:dyDescent="0.3">
      <c r="G2444" s="15">
        <v>6.7750000000000004</v>
      </c>
      <c r="H2444" s="3">
        <v>3.8678750000000234E-2</v>
      </c>
    </row>
    <row r="2445" spans="7:8" x14ac:dyDescent="0.3">
      <c r="G2445" s="15">
        <v>6.7777777777777777</v>
      </c>
      <c r="H2445" s="3">
        <v>3.8677777777778005E-2</v>
      </c>
    </row>
    <row r="2446" spans="7:8" x14ac:dyDescent="0.3">
      <c r="G2446" s="15">
        <v>6.7805555555555559</v>
      </c>
      <c r="H2446" s="3">
        <v>3.8676805555555777E-2</v>
      </c>
    </row>
    <row r="2447" spans="7:8" x14ac:dyDescent="0.3">
      <c r="G2447" s="15">
        <v>6.7833333333333332</v>
      </c>
      <c r="H2447" s="3">
        <v>3.8675833333333555E-2</v>
      </c>
    </row>
    <row r="2448" spans="7:8" x14ac:dyDescent="0.3">
      <c r="G2448" s="15">
        <v>6.7861111111111114</v>
      </c>
      <c r="H2448" s="3">
        <v>3.8674861111111333E-2</v>
      </c>
    </row>
    <row r="2449" spans="7:8" x14ac:dyDescent="0.3">
      <c r="G2449" s="15">
        <v>6.7888888888888888</v>
      </c>
      <c r="H2449" s="3">
        <v>3.8673888888889105E-2</v>
      </c>
    </row>
    <row r="2450" spans="7:8" x14ac:dyDescent="0.3">
      <c r="G2450" s="15">
        <v>6.791666666666667</v>
      </c>
      <c r="H2450" s="3">
        <v>3.8672916666666876E-2</v>
      </c>
    </row>
    <row r="2451" spans="7:8" x14ac:dyDescent="0.3">
      <c r="G2451" s="15">
        <v>6.7944444444444443</v>
      </c>
      <c r="H2451" s="3">
        <v>3.8671944444444654E-2</v>
      </c>
    </row>
    <row r="2452" spans="7:8" x14ac:dyDescent="0.3">
      <c r="G2452" s="15">
        <v>6.7972222222222225</v>
      </c>
      <c r="H2452" s="3">
        <v>3.8670972222222433E-2</v>
      </c>
    </row>
    <row r="2453" spans="7:8" x14ac:dyDescent="0.3">
      <c r="G2453" s="15">
        <v>6.8</v>
      </c>
      <c r="H2453" s="3">
        <v>3.8670000000000204E-2</v>
      </c>
    </row>
    <row r="2454" spans="7:8" x14ac:dyDescent="0.3">
      <c r="G2454" s="15">
        <v>6.802777777777778</v>
      </c>
      <c r="H2454" s="3">
        <v>3.8669027777777976E-2</v>
      </c>
    </row>
    <row r="2455" spans="7:8" x14ac:dyDescent="0.3">
      <c r="G2455" s="15">
        <v>6.8055555555555554</v>
      </c>
      <c r="H2455" s="3">
        <v>3.8668055555555754E-2</v>
      </c>
    </row>
    <row r="2456" spans="7:8" x14ac:dyDescent="0.3">
      <c r="G2456" s="15">
        <v>6.8083333333333336</v>
      </c>
      <c r="H2456" s="3">
        <v>3.8667083333333532E-2</v>
      </c>
    </row>
    <row r="2457" spans="7:8" x14ac:dyDescent="0.3">
      <c r="G2457" s="15">
        <v>6.8111111111111109</v>
      </c>
      <c r="H2457" s="3">
        <v>3.8666111111111304E-2</v>
      </c>
    </row>
    <row r="2458" spans="7:8" x14ac:dyDescent="0.3">
      <c r="G2458" s="15">
        <v>6.8138888888888891</v>
      </c>
      <c r="H2458" s="3">
        <v>3.8665138888889075E-2</v>
      </c>
    </row>
    <row r="2459" spans="7:8" x14ac:dyDescent="0.3">
      <c r="G2459" s="15">
        <v>6.8166666666666664</v>
      </c>
      <c r="H2459" s="3">
        <v>3.8664166666666853E-2</v>
      </c>
    </row>
    <row r="2460" spans="7:8" x14ac:dyDescent="0.3">
      <c r="G2460" s="15">
        <v>6.8194444444444446</v>
      </c>
      <c r="H2460" s="3">
        <v>3.8663194444444632E-2</v>
      </c>
    </row>
    <row r="2461" spans="7:8" x14ac:dyDescent="0.3">
      <c r="G2461" s="15">
        <v>6.822222222222222</v>
      </c>
      <c r="H2461" s="3">
        <v>3.8662222222222403E-2</v>
      </c>
    </row>
    <row r="2462" spans="7:8" x14ac:dyDescent="0.3">
      <c r="G2462" s="15">
        <v>6.8250000000000002</v>
      </c>
      <c r="H2462" s="3">
        <v>3.8661250000000175E-2</v>
      </c>
    </row>
    <row r="2463" spans="7:8" x14ac:dyDescent="0.3">
      <c r="G2463" s="15">
        <v>6.8277777777777775</v>
      </c>
      <c r="H2463" s="3">
        <v>3.8660277777777953E-2</v>
      </c>
    </row>
    <row r="2464" spans="7:8" x14ac:dyDescent="0.3">
      <c r="G2464" s="15">
        <v>6.8305555555555557</v>
      </c>
      <c r="H2464" s="3">
        <v>3.8659305555555731E-2</v>
      </c>
    </row>
    <row r="2465" spans="7:8" x14ac:dyDescent="0.3">
      <c r="G2465" s="15">
        <v>6.833333333333333</v>
      </c>
      <c r="H2465" s="3">
        <v>3.8658333333333503E-2</v>
      </c>
    </row>
    <row r="2466" spans="7:8" x14ac:dyDescent="0.3">
      <c r="G2466" s="15">
        <v>6.8361111111111112</v>
      </c>
      <c r="H2466" s="3">
        <v>3.8657361111111274E-2</v>
      </c>
    </row>
    <row r="2467" spans="7:8" x14ac:dyDescent="0.3">
      <c r="G2467" s="15">
        <v>6.8388888888888886</v>
      </c>
      <c r="H2467" s="3">
        <v>3.8656388888889053E-2</v>
      </c>
    </row>
    <row r="2468" spans="7:8" x14ac:dyDescent="0.3">
      <c r="G2468" s="15">
        <v>6.8416666666666668</v>
      </c>
      <c r="H2468" s="3">
        <v>3.8655416666666831E-2</v>
      </c>
    </row>
    <row r="2469" spans="7:8" x14ac:dyDescent="0.3">
      <c r="G2469" s="15">
        <v>6.8444444444444441</v>
      </c>
      <c r="H2469" s="3">
        <v>3.8654444444444602E-2</v>
      </c>
    </row>
    <row r="2470" spans="7:8" x14ac:dyDescent="0.3">
      <c r="G2470" s="15">
        <v>6.8472222222222223</v>
      </c>
      <c r="H2470" s="3">
        <v>3.8653472222222374E-2</v>
      </c>
    </row>
    <row r="2471" spans="7:8" x14ac:dyDescent="0.3">
      <c r="G2471" s="15">
        <v>6.85</v>
      </c>
      <c r="H2471" s="3">
        <v>3.8652500000000152E-2</v>
      </c>
    </row>
    <row r="2472" spans="7:8" x14ac:dyDescent="0.3">
      <c r="G2472" s="15">
        <v>6.8527777777777779</v>
      </c>
      <c r="H2472" s="3">
        <v>3.865152777777793E-2</v>
      </c>
    </row>
    <row r="2473" spans="7:8" x14ac:dyDescent="0.3">
      <c r="G2473" s="15">
        <v>6.8555555555555552</v>
      </c>
      <c r="H2473" s="3">
        <v>3.8650555555555702E-2</v>
      </c>
    </row>
    <row r="2474" spans="7:8" x14ac:dyDescent="0.3">
      <c r="G2474" s="15">
        <v>6.8583333333333334</v>
      </c>
      <c r="H2474" s="3">
        <v>3.8649583333333473E-2</v>
      </c>
    </row>
    <row r="2475" spans="7:8" x14ac:dyDescent="0.3">
      <c r="G2475" s="15">
        <v>6.8611111111111107</v>
      </c>
      <c r="H2475" s="3">
        <v>3.8648611111111252E-2</v>
      </c>
    </row>
    <row r="2476" spans="7:8" x14ac:dyDescent="0.3">
      <c r="G2476" s="15">
        <v>6.8638888888888889</v>
      </c>
      <c r="H2476" s="3">
        <v>3.864763888888903E-2</v>
      </c>
    </row>
    <row r="2477" spans="7:8" x14ac:dyDescent="0.3">
      <c r="G2477" s="15">
        <v>6.8666666666666663</v>
      </c>
      <c r="H2477" s="3">
        <v>3.8646666666666801E-2</v>
      </c>
    </row>
    <row r="2478" spans="7:8" x14ac:dyDescent="0.3">
      <c r="G2478" s="15">
        <v>6.8694444444444445</v>
      </c>
      <c r="H2478" s="3">
        <v>3.8645694444444573E-2</v>
      </c>
    </row>
    <row r="2479" spans="7:8" x14ac:dyDescent="0.3">
      <c r="G2479" s="15">
        <v>6.8722222222222218</v>
      </c>
      <c r="H2479" s="3">
        <v>3.8644722222222351E-2</v>
      </c>
    </row>
    <row r="2480" spans="7:8" x14ac:dyDescent="0.3">
      <c r="G2480" s="15">
        <v>6.875</v>
      </c>
      <c r="H2480" s="3">
        <v>3.8643750000000129E-2</v>
      </c>
    </row>
    <row r="2481" spans="7:8" x14ac:dyDescent="0.3">
      <c r="G2481" s="15">
        <v>6.8777777777777782</v>
      </c>
      <c r="H2481" s="3">
        <v>3.8642777777777901E-2</v>
      </c>
    </row>
    <row r="2482" spans="7:8" x14ac:dyDescent="0.3">
      <c r="G2482" s="15">
        <v>6.8805555555555555</v>
      </c>
      <c r="H2482" s="3">
        <v>3.8641805555555672E-2</v>
      </c>
    </row>
    <row r="2483" spans="7:8" x14ac:dyDescent="0.3">
      <c r="G2483" s="15">
        <v>6.8833333333333337</v>
      </c>
      <c r="H2483" s="3">
        <v>3.8640833333333451E-2</v>
      </c>
    </row>
    <row r="2484" spans="7:8" x14ac:dyDescent="0.3">
      <c r="G2484" s="15">
        <v>6.8861111111111111</v>
      </c>
      <c r="H2484" s="3">
        <v>3.8639861111111229E-2</v>
      </c>
    </row>
    <row r="2485" spans="7:8" x14ac:dyDescent="0.3">
      <c r="G2485" s="15">
        <v>6.8888888888888893</v>
      </c>
      <c r="H2485" s="3">
        <v>3.8638888888889E-2</v>
      </c>
    </row>
    <row r="2486" spans="7:8" x14ac:dyDescent="0.3">
      <c r="G2486" s="15">
        <v>6.8916666666666666</v>
      </c>
      <c r="H2486" s="3">
        <v>3.8637916666666772E-2</v>
      </c>
    </row>
    <row r="2487" spans="7:8" x14ac:dyDescent="0.3">
      <c r="G2487" s="15">
        <v>6.8944444444444448</v>
      </c>
      <c r="H2487" s="3">
        <v>3.863694444444455E-2</v>
      </c>
    </row>
    <row r="2488" spans="7:8" x14ac:dyDescent="0.3">
      <c r="G2488" s="15">
        <v>6.8972222222222221</v>
      </c>
      <c r="H2488" s="3">
        <v>3.8635972222222328E-2</v>
      </c>
    </row>
    <row r="2489" spans="7:8" x14ac:dyDescent="0.3">
      <c r="G2489" s="15">
        <v>6.9</v>
      </c>
      <c r="H2489" s="3">
        <v>3.86350000000001E-2</v>
      </c>
    </row>
    <row r="2490" spans="7:8" x14ac:dyDescent="0.3">
      <c r="G2490" s="15">
        <v>6.9027777777777777</v>
      </c>
      <c r="H2490" s="3">
        <v>3.8634027777777871E-2</v>
      </c>
    </row>
    <row r="2491" spans="7:8" x14ac:dyDescent="0.3">
      <c r="G2491" s="15">
        <v>6.9055555555555559</v>
      </c>
      <c r="H2491" s="3">
        <v>3.863305555555565E-2</v>
      </c>
    </row>
    <row r="2492" spans="7:8" x14ac:dyDescent="0.3">
      <c r="G2492" s="15">
        <v>6.9083333333333332</v>
      </c>
      <c r="H2492" s="3">
        <v>3.8632083333333428E-2</v>
      </c>
    </row>
    <row r="2493" spans="7:8" x14ac:dyDescent="0.3">
      <c r="G2493" s="15">
        <v>6.9111111111111114</v>
      </c>
      <c r="H2493" s="3">
        <v>3.8631111111111199E-2</v>
      </c>
    </row>
    <row r="2494" spans="7:8" x14ac:dyDescent="0.3">
      <c r="G2494" s="15">
        <v>6.9138888888888888</v>
      </c>
      <c r="H2494" s="3">
        <v>3.8630138888888971E-2</v>
      </c>
    </row>
    <row r="2495" spans="7:8" x14ac:dyDescent="0.3">
      <c r="G2495" s="15">
        <v>6.916666666666667</v>
      </c>
      <c r="H2495" s="3">
        <v>3.8629166666666749E-2</v>
      </c>
    </row>
    <row r="2496" spans="7:8" x14ac:dyDescent="0.3">
      <c r="G2496" s="15">
        <v>6.9194444444444443</v>
      </c>
      <c r="H2496" s="3">
        <v>3.8628194444444527E-2</v>
      </c>
    </row>
    <row r="2497" spans="7:8" x14ac:dyDescent="0.3">
      <c r="G2497" s="15">
        <v>6.9222222222222225</v>
      </c>
      <c r="H2497" s="3">
        <v>3.8627222222222299E-2</v>
      </c>
    </row>
    <row r="2498" spans="7:8" x14ac:dyDescent="0.3">
      <c r="G2498" s="15">
        <v>6.9249999999999998</v>
      </c>
      <c r="H2498" s="3">
        <v>3.862625000000007E-2</v>
      </c>
    </row>
    <row r="2499" spans="7:8" x14ac:dyDescent="0.3">
      <c r="G2499" s="15">
        <v>6.927777777777778</v>
      </c>
      <c r="H2499" s="3">
        <v>3.8625277777777849E-2</v>
      </c>
    </row>
    <row r="2500" spans="7:8" x14ac:dyDescent="0.3">
      <c r="G2500" s="15">
        <v>6.9305555555555554</v>
      </c>
      <c r="H2500" s="3">
        <v>3.8624305555555627E-2</v>
      </c>
    </row>
    <row r="2501" spans="7:8" x14ac:dyDescent="0.3">
      <c r="G2501" s="15">
        <v>6.9333333333333336</v>
      </c>
      <c r="H2501" s="3">
        <v>3.8623333333333398E-2</v>
      </c>
    </row>
    <row r="2502" spans="7:8" x14ac:dyDescent="0.3">
      <c r="G2502" s="15">
        <v>6.9361111111111109</v>
      </c>
      <c r="H2502" s="3">
        <v>3.862236111111117E-2</v>
      </c>
    </row>
    <row r="2503" spans="7:8" x14ac:dyDescent="0.3">
      <c r="G2503" s="15">
        <v>6.9388888888888891</v>
      </c>
      <c r="H2503" s="3">
        <v>3.8621388888888948E-2</v>
      </c>
    </row>
    <row r="2504" spans="7:8" x14ac:dyDescent="0.3">
      <c r="G2504" s="15">
        <v>6.9416666666666664</v>
      </c>
      <c r="H2504" s="3">
        <v>3.8620416666666726E-2</v>
      </c>
    </row>
    <row r="2505" spans="7:8" x14ac:dyDescent="0.3">
      <c r="G2505" s="15">
        <v>6.9444444444444446</v>
      </c>
      <c r="H2505" s="3">
        <v>3.8619444444444498E-2</v>
      </c>
    </row>
    <row r="2506" spans="7:8" x14ac:dyDescent="0.3">
      <c r="G2506" s="15">
        <v>6.947222222222222</v>
      </c>
      <c r="H2506" s="3">
        <v>3.8618472222222269E-2</v>
      </c>
    </row>
    <row r="2507" spans="7:8" x14ac:dyDescent="0.3">
      <c r="G2507" s="15">
        <v>6.95</v>
      </c>
      <c r="H2507" s="3">
        <v>3.8617500000000048E-2</v>
      </c>
    </row>
    <row r="2508" spans="7:8" x14ac:dyDescent="0.3">
      <c r="G2508" s="15">
        <v>6.9527777777777775</v>
      </c>
      <c r="H2508" s="3">
        <v>3.8616527777777826E-2</v>
      </c>
    </row>
    <row r="2509" spans="7:8" x14ac:dyDescent="0.3">
      <c r="G2509" s="15">
        <v>6.9555555555555557</v>
      </c>
      <c r="H2509" s="3">
        <v>3.8615555555555597E-2</v>
      </c>
    </row>
    <row r="2510" spans="7:8" x14ac:dyDescent="0.3">
      <c r="G2510" s="15">
        <v>6.958333333333333</v>
      </c>
      <c r="H2510" s="3">
        <v>3.8614583333333369E-2</v>
      </c>
    </row>
    <row r="2511" spans="7:8" x14ac:dyDescent="0.3">
      <c r="G2511" s="15">
        <v>6.9611111111111112</v>
      </c>
      <c r="H2511" s="3">
        <v>3.8613611111111147E-2</v>
      </c>
    </row>
    <row r="2512" spans="7:8" x14ac:dyDescent="0.3">
      <c r="G2512" s="15">
        <v>6.9638888888888886</v>
      </c>
      <c r="H2512" s="3">
        <v>3.8612638888888925E-2</v>
      </c>
    </row>
    <row r="2513" spans="7:8" x14ac:dyDescent="0.3">
      <c r="G2513" s="15">
        <v>6.9666666666666668</v>
      </c>
      <c r="H2513" s="3">
        <v>3.8611666666666697E-2</v>
      </c>
    </row>
    <row r="2514" spans="7:8" x14ac:dyDescent="0.3">
      <c r="G2514" s="15">
        <v>6.9694444444444441</v>
      </c>
      <c r="H2514" s="3">
        <v>3.8610694444444468E-2</v>
      </c>
    </row>
    <row r="2515" spans="7:8" x14ac:dyDescent="0.3">
      <c r="G2515" s="15">
        <v>6.9722222222222223</v>
      </c>
      <c r="H2515" s="3">
        <v>3.8609722222222247E-2</v>
      </c>
    </row>
    <row r="2516" spans="7:8" x14ac:dyDescent="0.3">
      <c r="G2516" s="15">
        <v>6.9749999999999996</v>
      </c>
      <c r="H2516" s="3">
        <v>3.8608750000000025E-2</v>
      </c>
    </row>
    <row r="2517" spans="7:8" x14ac:dyDescent="0.3">
      <c r="G2517" s="15">
        <v>6.9777777777777779</v>
      </c>
      <c r="H2517" s="3">
        <v>3.8607777777777796E-2</v>
      </c>
    </row>
    <row r="2518" spans="7:8" x14ac:dyDescent="0.3">
      <c r="G2518" s="15">
        <v>6.9805555555555552</v>
      </c>
      <c r="H2518" s="3">
        <v>3.8606805555555568E-2</v>
      </c>
    </row>
    <row r="2519" spans="7:8" x14ac:dyDescent="0.3">
      <c r="G2519" s="15">
        <v>6.9833333333333334</v>
      </c>
      <c r="H2519" s="3">
        <v>3.8605833333333346E-2</v>
      </c>
    </row>
    <row r="2520" spans="7:8" x14ac:dyDescent="0.3">
      <c r="G2520" s="15">
        <v>6.9861111111111107</v>
      </c>
      <c r="H2520" s="3">
        <v>3.8604861111111125E-2</v>
      </c>
    </row>
    <row r="2521" spans="7:8" x14ac:dyDescent="0.3">
      <c r="G2521" s="15">
        <v>6.9888888888888889</v>
      </c>
      <c r="H2521" s="3">
        <v>3.8603888888888896E-2</v>
      </c>
    </row>
    <row r="2522" spans="7:8" x14ac:dyDescent="0.3">
      <c r="G2522" s="15">
        <v>6.9916666666666663</v>
      </c>
      <c r="H2522" s="3">
        <v>3.8602916666666667E-2</v>
      </c>
    </row>
    <row r="2523" spans="7:8" x14ac:dyDescent="0.3">
      <c r="G2523" s="15">
        <v>6.9944444444444445</v>
      </c>
      <c r="H2523" s="3">
        <v>3.8601944444444446E-2</v>
      </c>
    </row>
    <row r="2524" spans="7:8" x14ac:dyDescent="0.3">
      <c r="G2524" s="15">
        <v>6.9972222222222218</v>
      </c>
      <c r="H2524" s="3">
        <v>3.8600972222222224E-2</v>
      </c>
    </row>
    <row r="2525" spans="7:8" x14ac:dyDescent="0.3">
      <c r="G2525" s="15">
        <v>7</v>
      </c>
      <c r="H2525" s="3">
        <v>3.8599999999999995E-2</v>
      </c>
    </row>
    <row r="2526" spans="7:8" x14ac:dyDescent="0.3">
      <c r="G2526" s="15">
        <v>7.0027777777777782</v>
      </c>
      <c r="H2526" s="3">
        <v>3.859907407407407E-2</v>
      </c>
    </row>
    <row r="2527" spans="7:8" x14ac:dyDescent="0.3">
      <c r="G2527" s="15">
        <v>7.0055555555555555</v>
      </c>
      <c r="H2527" s="3">
        <v>3.8598148148148145E-2</v>
      </c>
    </row>
    <row r="2528" spans="7:8" x14ac:dyDescent="0.3">
      <c r="G2528" s="15">
        <v>7.0083333333333337</v>
      </c>
      <c r="H2528" s="3">
        <v>3.859722222222222E-2</v>
      </c>
    </row>
    <row r="2529" spans="7:8" x14ac:dyDescent="0.3">
      <c r="G2529" s="15">
        <v>7.0111111111111111</v>
      </c>
      <c r="H2529" s="3">
        <v>3.8596296296296295E-2</v>
      </c>
    </row>
    <row r="2530" spans="7:8" x14ac:dyDescent="0.3">
      <c r="G2530" s="15">
        <v>7.0138888888888893</v>
      </c>
      <c r="H2530" s="3">
        <v>3.859537037037037E-2</v>
      </c>
    </row>
    <row r="2531" spans="7:8" x14ac:dyDescent="0.3">
      <c r="G2531" s="15">
        <v>7.0166666666666666</v>
      </c>
      <c r="H2531" s="3">
        <v>3.8594444444444445E-2</v>
      </c>
    </row>
    <row r="2532" spans="7:8" x14ac:dyDescent="0.3">
      <c r="G2532" s="15">
        <v>7.0194444444444448</v>
      </c>
      <c r="H2532" s="3">
        <v>3.859351851851852E-2</v>
      </c>
    </row>
    <row r="2533" spans="7:8" x14ac:dyDescent="0.3">
      <c r="G2533" s="15">
        <v>7.0222222222222221</v>
      </c>
      <c r="H2533" s="3">
        <v>3.8592592592592595E-2</v>
      </c>
    </row>
    <row r="2534" spans="7:8" x14ac:dyDescent="0.3">
      <c r="G2534" s="15">
        <v>7.0250000000000004</v>
      </c>
      <c r="H2534" s="3">
        <v>3.859166666666667E-2</v>
      </c>
    </row>
    <row r="2535" spans="7:8" x14ac:dyDescent="0.3">
      <c r="G2535" s="15">
        <v>7.0277777777777777</v>
      </c>
      <c r="H2535" s="3">
        <v>3.8590740740740745E-2</v>
      </c>
    </row>
    <row r="2536" spans="7:8" x14ac:dyDescent="0.3">
      <c r="G2536" s="15">
        <v>7.0305555555555559</v>
      </c>
      <c r="H2536" s="3">
        <v>3.858981481481482E-2</v>
      </c>
    </row>
    <row r="2537" spans="7:8" x14ac:dyDescent="0.3">
      <c r="G2537" s="15">
        <v>7.0333333333333332</v>
      </c>
      <c r="H2537" s="3">
        <v>3.8588888888888895E-2</v>
      </c>
    </row>
    <row r="2538" spans="7:8" x14ac:dyDescent="0.3">
      <c r="G2538" s="15">
        <v>7.0361111111111114</v>
      </c>
      <c r="H2538" s="3">
        <v>3.858796296296297E-2</v>
      </c>
    </row>
    <row r="2539" spans="7:8" x14ac:dyDescent="0.3">
      <c r="G2539" s="15">
        <v>7.0388888888888888</v>
      </c>
      <c r="H2539" s="3">
        <v>3.8587037037037045E-2</v>
      </c>
    </row>
    <row r="2540" spans="7:8" x14ac:dyDescent="0.3">
      <c r="G2540" s="15">
        <v>7.041666666666667</v>
      </c>
      <c r="H2540" s="3">
        <v>3.858611111111112E-2</v>
      </c>
    </row>
    <row r="2541" spans="7:8" x14ac:dyDescent="0.3">
      <c r="G2541" s="15">
        <v>7.0444444444444443</v>
      </c>
      <c r="H2541" s="3">
        <v>3.8585185185185195E-2</v>
      </c>
    </row>
    <row r="2542" spans="7:8" x14ac:dyDescent="0.3">
      <c r="G2542" s="15">
        <v>7.0472222222222225</v>
      </c>
      <c r="H2542" s="3">
        <v>3.858425925925927E-2</v>
      </c>
    </row>
    <row r="2543" spans="7:8" x14ac:dyDescent="0.3">
      <c r="G2543" s="15">
        <v>7.05</v>
      </c>
      <c r="H2543" s="3">
        <v>3.8583333333333344E-2</v>
      </c>
    </row>
    <row r="2544" spans="7:8" x14ac:dyDescent="0.3">
      <c r="G2544" s="15">
        <v>7.052777777777778</v>
      </c>
      <c r="H2544" s="3">
        <v>3.8582407407407419E-2</v>
      </c>
    </row>
    <row r="2545" spans="7:8" x14ac:dyDescent="0.3">
      <c r="G2545" s="15">
        <v>7.0555555555555554</v>
      </c>
      <c r="H2545" s="3">
        <v>3.8581481481481494E-2</v>
      </c>
    </row>
    <row r="2546" spans="7:8" x14ac:dyDescent="0.3">
      <c r="G2546" s="15">
        <v>7.0583333333333336</v>
      </c>
      <c r="H2546" s="3">
        <v>3.8580555555555569E-2</v>
      </c>
    </row>
    <row r="2547" spans="7:8" x14ac:dyDescent="0.3">
      <c r="G2547" s="15">
        <v>7.0611111111111109</v>
      </c>
      <c r="H2547" s="3">
        <v>3.8579629629629644E-2</v>
      </c>
    </row>
    <row r="2548" spans="7:8" x14ac:dyDescent="0.3">
      <c r="G2548" s="15">
        <v>7.0638888888888891</v>
      </c>
      <c r="H2548" s="3">
        <v>3.8578703703703719E-2</v>
      </c>
    </row>
    <row r="2549" spans="7:8" x14ac:dyDescent="0.3">
      <c r="G2549" s="15">
        <v>7.0666666666666664</v>
      </c>
      <c r="H2549" s="3">
        <v>3.8577777777777794E-2</v>
      </c>
    </row>
    <row r="2550" spans="7:8" x14ac:dyDescent="0.3">
      <c r="G2550" s="15">
        <v>7.0694444444444446</v>
      </c>
      <c r="H2550" s="3">
        <v>3.8576851851851869E-2</v>
      </c>
    </row>
    <row r="2551" spans="7:8" x14ac:dyDescent="0.3">
      <c r="G2551" s="15">
        <v>7.072222222222222</v>
      </c>
      <c r="H2551" s="3">
        <v>3.8575925925925944E-2</v>
      </c>
    </row>
    <row r="2552" spans="7:8" x14ac:dyDescent="0.3">
      <c r="G2552" s="15">
        <v>7.0750000000000002</v>
      </c>
      <c r="H2552" s="3">
        <v>3.8575000000000019E-2</v>
      </c>
    </row>
    <row r="2553" spans="7:8" x14ac:dyDescent="0.3">
      <c r="G2553" s="15">
        <v>7.0777777777777775</v>
      </c>
      <c r="H2553" s="3">
        <v>3.8574074074074094E-2</v>
      </c>
    </row>
    <row r="2554" spans="7:8" x14ac:dyDescent="0.3">
      <c r="G2554" s="15">
        <v>7.0805555555555557</v>
      </c>
      <c r="H2554" s="3">
        <v>3.8573148148148169E-2</v>
      </c>
    </row>
    <row r="2555" spans="7:8" x14ac:dyDescent="0.3">
      <c r="G2555" s="15">
        <v>7.083333333333333</v>
      </c>
      <c r="H2555" s="3">
        <v>3.8572222222222244E-2</v>
      </c>
    </row>
    <row r="2556" spans="7:8" x14ac:dyDescent="0.3">
      <c r="G2556" s="15">
        <v>7.0861111111111112</v>
      </c>
      <c r="H2556" s="3">
        <v>3.8571296296296319E-2</v>
      </c>
    </row>
    <row r="2557" spans="7:8" x14ac:dyDescent="0.3">
      <c r="G2557" s="15">
        <v>7.0888888888888886</v>
      </c>
      <c r="H2557" s="3">
        <v>3.8570370370370394E-2</v>
      </c>
    </row>
    <row r="2558" spans="7:8" x14ac:dyDescent="0.3">
      <c r="G2558" s="15">
        <v>7.0916666666666668</v>
      </c>
      <c r="H2558" s="3">
        <v>3.8569444444444469E-2</v>
      </c>
    </row>
    <row r="2559" spans="7:8" x14ac:dyDescent="0.3">
      <c r="G2559" s="15">
        <v>7.0944444444444441</v>
      </c>
      <c r="H2559" s="3">
        <v>3.8568518518518544E-2</v>
      </c>
    </row>
    <row r="2560" spans="7:8" x14ac:dyDescent="0.3">
      <c r="G2560" s="15">
        <v>7.0972222222222223</v>
      </c>
      <c r="H2560" s="3">
        <v>3.8567592592592619E-2</v>
      </c>
    </row>
    <row r="2561" spans="7:8" x14ac:dyDescent="0.3">
      <c r="G2561" s="15">
        <v>7.1</v>
      </c>
      <c r="H2561" s="3">
        <v>3.8566666666666694E-2</v>
      </c>
    </row>
    <row r="2562" spans="7:8" x14ac:dyDescent="0.3">
      <c r="G2562" s="15">
        <v>7.1027777777777779</v>
      </c>
      <c r="H2562" s="3">
        <v>3.8565740740740768E-2</v>
      </c>
    </row>
    <row r="2563" spans="7:8" x14ac:dyDescent="0.3">
      <c r="G2563" s="15">
        <v>7.1055555555555552</v>
      </c>
      <c r="H2563" s="3">
        <v>3.8564814814814843E-2</v>
      </c>
    </row>
    <row r="2564" spans="7:8" x14ac:dyDescent="0.3">
      <c r="G2564" s="15">
        <v>7.1083333333333334</v>
      </c>
      <c r="H2564" s="3">
        <v>3.8563888888888918E-2</v>
      </c>
    </row>
    <row r="2565" spans="7:8" x14ac:dyDescent="0.3">
      <c r="G2565" s="15">
        <v>7.1111111111111107</v>
      </c>
      <c r="H2565" s="3">
        <v>3.8562962962962993E-2</v>
      </c>
    </row>
    <row r="2566" spans="7:8" x14ac:dyDescent="0.3">
      <c r="G2566" s="15">
        <v>7.1138888888888889</v>
      </c>
      <c r="H2566" s="3">
        <v>3.8562037037037068E-2</v>
      </c>
    </row>
    <row r="2567" spans="7:8" x14ac:dyDescent="0.3">
      <c r="G2567" s="15">
        <v>7.1166666666666663</v>
      </c>
      <c r="H2567" s="3">
        <v>3.8561111111111143E-2</v>
      </c>
    </row>
    <row r="2568" spans="7:8" x14ac:dyDescent="0.3">
      <c r="G2568" s="15">
        <v>7.1194444444444445</v>
      </c>
      <c r="H2568" s="3">
        <v>3.8560185185185218E-2</v>
      </c>
    </row>
    <row r="2569" spans="7:8" x14ac:dyDescent="0.3">
      <c r="G2569" s="15">
        <v>7.1222222222222218</v>
      </c>
      <c r="H2569" s="3">
        <v>3.8559259259259293E-2</v>
      </c>
    </row>
    <row r="2570" spans="7:8" x14ac:dyDescent="0.3">
      <c r="G2570" s="15">
        <v>7.125</v>
      </c>
      <c r="H2570" s="3">
        <v>3.8558333333333368E-2</v>
      </c>
    </row>
    <row r="2571" spans="7:8" x14ac:dyDescent="0.3">
      <c r="G2571" s="15">
        <v>7.1277777777777782</v>
      </c>
      <c r="H2571" s="3">
        <v>3.8557407407407443E-2</v>
      </c>
    </row>
    <row r="2572" spans="7:8" x14ac:dyDescent="0.3">
      <c r="G2572" s="15">
        <v>7.1305555555555555</v>
      </c>
      <c r="H2572" s="3">
        <v>3.8556481481481518E-2</v>
      </c>
    </row>
    <row r="2573" spans="7:8" x14ac:dyDescent="0.3">
      <c r="G2573" s="15">
        <v>7.1333333333333337</v>
      </c>
      <c r="H2573" s="3">
        <v>3.8555555555555593E-2</v>
      </c>
    </row>
    <row r="2574" spans="7:8" x14ac:dyDescent="0.3">
      <c r="G2574" s="15">
        <v>7.1361111111111111</v>
      </c>
      <c r="H2574" s="3">
        <v>3.8554629629629668E-2</v>
      </c>
    </row>
    <row r="2575" spans="7:8" x14ac:dyDescent="0.3">
      <c r="G2575" s="15">
        <v>7.1388888888888893</v>
      </c>
      <c r="H2575" s="3">
        <v>3.8553703703703743E-2</v>
      </c>
    </row>
    <row r="2576" spans="7:8" x14ac:dyDescent="0.3">
      <c r="G2576" s="15">
        <v>7.1416666666666666</v>
      </c>
      <c r="H2576" s="3">
        <v>3.8552777777777818E-2</v>
      </c>
    </row>
    <row r="2577" spans="7:8" x14ac:dyDescent="0.3">
      <c r="G2577" s="15">
        <v>7.1444444444444448</v>
      </c>
      <c r="H2577" s="3">
        <v>3.8551851851851893E-2</v>
      </c>
    </row>
    <row r="2578" spans="7:8" x14ac:dyDescent="0.3">
      <c r="G2578" s="15">
        <v>7.1472222222222221</v>
      </c>
      <c r="H2578" s="3">
        <v>3.8550925925925968E-2</v>
      </c>
    </row>
    <row r="2579" spans="7:8" x14ac:dyDescent="0.3">
      <c r="G2579" s="15">
        <v>7.15</v>
      </c>
      <c r="H2579" s="3">
        <v>3.8550000000000043E-2</v>
      </c>
    </row>
    <row r="2580" spans="7:8" x14ac:dyDescent="0.3">
      <c r="G2580" s="15">
        <v>7.1527777777777777</v>
      </c>
      <c r="H2580" s="3">
        <v>3.8549074074074118E-2</v>
      </c>
    </row>
    <row r="2581" spans="7:8" x14ac:dyDescent="0.3">
      <c r="G2581" s="15">
        <v>7.1555555555555559</v>
      </c>
      <c r="H2581" s="3">
        <v>3.8548148148148192E-2</v>
      </c>
    </row>
    <row r="2582" spans="7:8" x14ac:dyDescent="0.3">
      <c r="G2582" s="15">
        <v>7.1583333333333332</v>
      </c>
      <c r="H2582" s="3">
        <v>3.8547222222222267E-2</v>
      </c>
    </row>
    <row r="2583" spans="7:8" x14ac:dyDescent="0.3">
      <c r="G2583" s="15">
        <v>7.1611111111111114</v>
      </c>
      <c r="H2583" s="3">
        <v>3.8546296296296342E-2</v>
      </c>
    </row>
    <row r="2584" spans="7:8" x14ac:dyDescent="0.3">
      <c r="G2584" s="15">
        <v>7.1638888888888888</v>
      </c>
      <c r="H2584" s="3">
        <v>3.8545370370370417E-2</v>
      </c>
    </row>
    <row r="2585" spans="7:8" x14ac:dyDescent="0.3">
      <c r="G2585" s="15">
        <v>7.166666666666667</v>
      </c>
      <c r="H2585" s="3">
        <v>3.8544444444444492E-2</v>
      </c>
    </row>
    <row r="2586" spans="7:8" x14ac:dyDescent="0.3">
      <c r="G2586" s="15">
        <v>7.1694444444444443</v>
      </c>
      <c r="H2586" s="3">
        <v>3.8543518518518567E-2</v>
      </c>
    </row>
    <row r="2587" spans="7:8" x14ac:dyDescent="0.3">
      <c r="G2587" s="15">
        <v>7.1722222222222225</v>
      </c>
      <c r="H2587" s="3">
        <v>3.8542592592592642E-2</v>
      </c>
    </row>
    <row r="2588" spans="7:8" x14ac:dyDescent="0.3">
      <c r="G2588" s="15">
        <v>7.1749999999999998</v>
      </c>
      <c r="H2588" s="3">
        <v>3.8541666666666717E-2</v>
      </c>
    </row>
    <row r="2589" spans="7:8" x14ac:dyDescent="0.3">
      <c r="G2589" s="15">
        <v>7.177777777777778</v>
      </c>
      <c r="H2589" s="3">
        <v>3.8540740740740792E-2</v>
      </c>
    </row>
    <row r="2590" spans="7:8" x14ac:dyDescent="0.3">
      <c r="G2590" s="15">
        <v>7.1805555555555554</v>
      </c>
      <c r="H2590" s="3">
        <v>3.8539814814814867E-2</v>
      </c>
    </row>
    <row r="2591" spans="7:8" x14ac:dyDescent="0.3">
      <c r="G2591" s="15">
        <v>7.1833333333333336</v>
      </c>
      <c r="H2591" s="3">
        <v>3.8538888888888942E-2</v>
      </c>
    </row>
    <row r="2592" spans="7:8" x14ac:dyDescent="0.3">
      <c r="G2592" s="15">
        <v>7.1861111111111109</v>
      </c>
      <c r="H2592" s="3">
        <v>3.8537962962963017E-2</v>
      </c>
    </row>
    <row r="2593" spans="7:8" x14ac:dyDescent="0.3">
      <c r="G2593" s="15">
        <v>7.1888888888888891</v>
      </c>
      <c r="H2593" s="3">
        <v>3.8537037037037092E-2</v>
      </c>
    </row>
    <row r="2594" spans="7:8" x14ac:dyDescent="0.3">
      <c r="G2594" s="15">
        <v>7.1916666666666664</v>
      </c>
      <c r="H2594" s="3">
        <v>3.8536111111111167E-2</v>
      </c>
    </row>
    <row r="2595" spans="7:8" x14ac:dyDescent="0.3">
      <c r="G2595" s="15">
        <v>7.1944444444444446</v>
      </c>
      <c r="H2595" s="3">
        <v>3.8535185185185242E-2</v>
      </c>
    </row>
    <row r="2596" spans="7:8" x14ac:dyDescent="0.3">
      <c r="G2596" s="15">
        <v>7.197222222222222</v>
      </c>
      <c r="H2596" s="3">
        <v>3.8534259259259317E-2</v>
      </c>
    </row>
    <row r="2597" spans="7:8" x14ac:dyDescent="0.3">
      <c r="G2597" s="15">
        <v>7.2</v>
      </c>
      <c r="H2597" s="3">
        <v>3.8533333333333392E-2</v>
      </c>
    </row>
    <row r="2598" spans="7:8" x14ac:dyDescent="0.3">
      <c r="G2598" s="15">
        <v>7.2027777777777775</v>
      </c>
      <c r="H2598" s="3">
        <v>3.8532407407407467E-2</v>
      </c>
    </row>
    <row r="2599" spans="7:8" x14ac:dyDescent="0.3">
      <c r="G2599" s="15">
        <v>7.2055555555555557</v>
      </c>
      <c r="H2599" s="3">
        <v>3.8531481481481542E-2</v>
      </c>
    </row>
    <row r="2600" spans="7:8" x14ac:dyDescent="0.3">
      <c r="G2600" s="15">
        <v>7.208333333333333</v>
      </c>
      <c r="H2600" s="3">
        <v>3.8530555555555616E-2</v>
      </c>
    </row>
    <row r="2601" spans="7:8" x14ac:dyDescent="0.3">
      <c r="G2601" s="15">
        <v>7.2111111111111112</v>
      </c>
      <c r="H2601" s="3">
        <v>3.8529629629629691E-2</v>
      </c>
    </row>
    <row r="2602" spans="7:8" x14ac:dyDescent="0.3">
      <c r="G2602" s="15">
        <v>7.2138888888888886</v>
      </c>
      <c r="H2602" s="3">
        <v>3.8528703703703766E-2</v>
      </c>
    </row>
    <row r="2603" spans="7:8" x14ac:dyDescent="0.3">
      <c r="G2603" s="15">
        <v>7.2166666666666668</v>
      </c>
      <c r="H2603" s="3">
        <v>3.8527777777777841E-2</v>
      </c>
    </row>
    <row r="2604" spans="7:8" x14ac:dyDescent="0.3">
      <c r="G2604" s="15">
        <v>7.2194444444444441</v>
      </c>
      <c r="H2604" s="3">
        <v>3.8526851851851916E-2</v>
      </c>
    </row>
    <row r="2605" spans="7:8" x14ac:dyDescent="0.3">
      <c r="G2605" s="15">
        <v>7.2222222222222223</v>
      </c>
      <c r="H2605" s="3">
        <v>3.8525925925925991E-2</v>
      </c>
    </row>
    <row r="2606" spans="7:8" x14ac:dyDescent="0.3">
      <c r="G2606" s="15">
        <v>7.2249999999999996</v>
      </c>
      <c r="H2606" s="3">
        <v>3.8525000000000066E-2</v>
      </c>
    </row>
    <row r="2607" spans="7:8" x14ac:dyDescent="0.3">
      <c r="G2607" s="15">
        <v>7.2277777777777779</v>
      </c>
      <c r="H2607" s="3">
        <v>3.8524074074074141E-2</v>
      </c>
    </row>
    <row r="2608" spans="7:8" x14ac:dyDescent="0.3">
      <c r="G2608" s="15">
        <v>7.2305555555555552</v>
      </c>
      <c r="H2608" s="3">
        <v>3.8523148148148216E-2</v>
      </c>
    </row>
    <row r="2609" spans="7:8" x14ac:dyDescent="0.3">
      <c r="G2609" s="15">
        <v>7.2333333333333334</v>
      </c>
      <c r="H2609" s="3">
        <v>3.8522222222222291E-2</v>
      </c>
    </row>
    <row r="2610" spans="7:8" x14ac:dyDescent="0.3">
      <c r="G2610" s="15">
        <v>7.2361111111111107</v>
      </c>
      <c r="H2610" s="3">
        <v>3.8521296296296366E-2</v>
      </c>
    </row>
    <row r="2611" spans="7:8" x14ac:dyDescent="0.3">
      <c r="G2611" s="15">
        <v>7.2388888888888889</v>
      </c>
      <c r="H2611" s="3">
        <v>3.8520370370370441E-2</v>
      </c>
    </row>
    <row r="2612" spans="7:8" x14ac:dyDescent="0.3">
      <c r="G2612" s="15">
        <v>7.2416666666666663</v>
      </c>
      <c r="H2612" s="3">
        <v>3.8519444444444516E-2</v>
      </c>
    </row>
    <row r="2613" spans="7:8" x14ac:dyDescent="0.3">
      <c r="G2613" s="15">
        <v>7.2444444444444445</v>
      </c>
      <c r="H2613" s="3">
        <v>3.8518518518518591E-2</v>
      </c>
    </row>
    <row r="2614" spans="7:8" x14ac:dyDescent="0.3">
      <c r="G2614" s="15">
        <v>7.2472222222222218</v>
      </c>
      <c r="H2614" s="3">
        <v>3.8517592592592666E-2</v>
      </c>
    </row>
    <row r="2615" spans="7:8" x14ac:dyDescent="0.3">
      <c r="G2615" s="15">
        <v>7.25</v>
      </c>
      <c r="H2615" s="3">
        <v>3.8516666666666741E-2</v>
      </c>
    </row>
    <row r="2616" spans="7:8" x14ac:dyDescent="0.3">
      <c r="G2616" s="15">
        <v>7.2527777777777782</v>
      </c>
      <c r="H2616" s="3">
        <v>3.8515740740740816E-2</v>
      </c>
    </row>
    <row r="2617" spans="7:8" x14ac:dyDescent="0.3">
      <c r="G2617" s="15">
        <v>7.2555555555555555</v>
      </c>
      <c r="H2617" s="3">
        <v>3.8514814814814891E-2</v>
      </c>
    </row>
    <row r="2618" spans="7:8" x14ac:dyDescent="0.3">
      <c r="G2618" s="15">
        <v>7.2583333333333337</v>
      </c>
      <c r="H2618" s="3">
        <v>3.8513888888888966E-2</v>
      </c>
    </row>
    <row r="2619" spans="7:8" x14ac:dyDescent="0.3">
      <c r="G2619" s="15">
        <v>7.2611111111111111</v>
      </c>
      <c r="H2619" s="3">
        <v>3.851296296296304E-2</v>
      </c>
    </row>
    <row r="2620" spans="7:8" x14ac:dyDescent="0.3">
      <c r="G2620" s="15">
        <v>7.2638888888888893</v>
      </c>
      <c r="H2620" s="3">
        <v>3.8512037037037115E-2</v>
      </c>
    </row>
    <row r="2621" spans="7:8" x14ac:dyDescent="0.3">
      <c r="G2621" s="15">
        <v>7.2666666666666666</v>
      </c>
      <c r="H2621" s="3">
        <v>3.851111111111119E-2</v>
      </c>
    </row>
    <row r="2622" spans="7:8" x14ac:dyDescent="0.3">
      <c r="G2622" s="15">
        <v>7.2694444444444448</v>
      </c>
      <c r="H2622" s="3">
        <v>3.8510185185185265E-2</v>
      </c>
    </row>
    <row r="2623" spans="7:8" x14ac:dyDescent="0.3">
      <c r="G2623" s="15">
        <v>7.2722222222222221</v>
      </c>
      <c r="H2623" s="3">
        <v>3.850925925925934E-2</v>
      </c>
    </row>
    <row r="2624" spans="7:8" x14ac:dyDescent="0.3">
      <c r="G2624" s="15">
        <v>7.2750000000000004</v>
      </c>
      <c r="H2624" s="3">
        <v>3.8508333333333415E-2</v>
      </c>
    </row>
    <row r="2625" spans="7:8" x14ac:dyDescent="0.3">
      <c r="G2625" s="15">
        <v>7.2777777777777777</v>
      </c>
      <c r="H2625" s="3">
        <v>3.850740740740749E-2</v>
      </c>
    </row>
    <row r="2626" spans="7:8" x14ac:dyDescent="0.3">
      <c r="G2626" s="15">
        <v>7.2805555555555559</v>
      </c>
      <c r="H2626" s="3">
        <v>3.8506481481481565E-2</v>
      </c>
    </row>
    <row r="2627" spans="7:8" x14ac:dyDescent="0.3">
      <c r="G2627" s="15">
        <v>7.2833333333333332</v>
      </c>
      <c r="H2627" s="3">
        <v>3.850555555555564E-2</v>
      </c>
    </row>
    <row r="2628" spans="7:8" x14ac:dyDescent="0.3">
      <c r="G2628" s="15">
        <v>7.2861111111111114</v>
      </c>
      <c r="H2628" s="3">
        <v>3.8504629629629715E-2</v>
      </c>
    </row>
    <row r="2629" spans="7:8" x14ac:dyDescent="0.3">
      <c r="G2629" s="15">
        <v>7.2888888888888888</v>
      </c>
      <c r="H2629" s="3">
        <v>3.850370370370379E-2</v>
      </c>
    </row>
    <row r="2630" spans="7:8" x14ac:dyDescent="0.3">
      <c r="G2630" s="15">
        <v>7.291666666666667</v>
      </c>
      <c r="H2630" s="3">
        <v>3.8502777777777865E-2</v>
      </c>
    </row>
    <row r="2631" spans="7:8" x14ac:dyDescent="0.3">
      <c r="G2631" s="15">
        <v>7.2944444444444443</v>
      </c>
      <c r="H2631" s="3">
        <v>3.850185185185194E-2</v>
      </c>
    </row>
    <row r="2632" spans="7:8" x14ac:dyDescent="0.3">
      <c r="G2632" s="15">
        <v>7.2972222222222225</v>
      </c>
      <c r="H2632" s="3">
        <v>3.8500925925926015E-2</v>
      </c>
    </row>
    <row r="2633" spans="7:8" x14ac:dyDescent="0.3">
      <c r="G2633" s="15">
        <v>7.3</v>
      </c>
      <c r="H2633" s="3">
        <v>3.850000000000009E-2</v>
      </c>
    </row>
    <row r="2634" spans="7:8" x14ac:dyDescent="0.3">
      <c r="G2634" s="15">
        <v>7.302777777777778</v>
      </c>
      <c r="H2634" s="3">
        <v>3.8499074074074165E-2</v>
      </c>
    </row>
    <row r="2635" spans="7:8" x14ac:dyDescent="0.3">
      <c r="G2635" s="15">
        <v>7.3055555555555554</v>
      </c>
      <c r="H2635" s="3">
        <v>3.849814814814824E-2</v>
      </c>
    </row>
    <row r="2636" spans="7:8" x14ac:dyDescent="0.3">
      <c r="G2636" s="15">
        <v>7.3083333333333336</v>
      </c>
      <c r="H2636" s="3">
        <v>3.8497222222222315E-2</v>
      </c>
    </row>
    <row r="2637" spans="7:8" x14ac:dyDescent="0.3">
      <c r="G2637" s="15">
        <v>7.3111111111111109</v>
      </c>
      <c r="H2637" s="3">
        <v>3.8496296296296389E-2</v>
      </c>
    </row>
    <row r="2638" spans="7:8" x14ac:dyDescent="0.3">
      <c r="G2638" s="15">
        <v>7.3138888888888891</v>
      </c>
      <c r="H2638" s="3">
        <v>3.8495370370370464E-2</v>
      </c>
    </row>
    <row r="2639" spans="7:8" x14ac:dyDescent="0.3">
      <c r="G2639" s="15">
        <v>7.3166666666666664</v>
      </c>
      <c r="H2639" s="3">
        <v>3.8494444444444539E-2</v>
      </c>
    </row>
    <row r="2640" spans="7:8" x14ac:dyDescent="0.3">
      <c r="G2640" s="15">
        <v>7.3194444444444446</v>
      </c>
      <c r="H2640" s="3">
        <v>3.8493518518518614E-2</v>
      </c>
    </row>
    <row r="2641" spans="7:8" x14ac:dyDescent="0.3">
      <c r="G2641" s="15">
        <v>7.322222222222222</v>
      </c>
      <c r="H2641" s="3">
        <v>3.8492592592592689E-2</v>
      </c>
    </row>
    <row r="2642" spans="7:8" x14ac:dyDescent="0.3">
      <c r="G2642" s="15">
        <v>7.3250000000000002</v>
      </c>
      <c r="H2642" s="3">
        <v>3.8491666666666764E-2</v>
      </c>
    </row>
    <row r="2643" spans="7:8" x14ac:dyDescent="0.3">
      <c r="G2643" s="15">
        <v>7.3277777777777775</v>
      </c>
      <c r="H2643" s="3">
        <v>3.8490740740740839E-2</v>
      </c>
    </row>
    <row r="2644" spans="7:8" x14ac:dyDescent="0.3">
      <c r="G2644" s="15">
        <v>7.3305555555555557</v>
      </c>
      <c r="H2644" s="3">
        <v>3.8489814814814914E-2</v>
      </c>
    </row>
    <row r="2645" spans="7:8" x14ac:dyDescent="0.3">
      <c r="G2645" s="15">
        <v>7.333333333333333</v>
      </c>
      <c r="H2645" s="3">
        <v>3.8488888888888989E-2</v>
      </c>
    </row>
    <row r="2646" spans="7:8" x14ac:dyDescent="0.3">
      <c r="G2646" s="15">
        <v>7.3361111111111112</v>
      </c>
      <c r="H2646" s="3">
        <v>3.8487962962963064E-2</v>
      </c>
    </row>
    <row r="2647" spans="7:8" x14ac:dyDescent="0.3">
      <c r="G2647" s="15">
        <v>7.3388888888888886</v>
      </c>
      <c r="H2647" s="3">
        <v>3.8487037037037139E-2</v>
      </c>
    </row>
    <row r="2648" spans="7:8" x14ac:dyDescent="0.3">
      <c r="G2648" s="15">
        <v>7.3416666666666668</v>
      </c>
      <c r="H2648" s="3">
        <v>3.8486111111111214E-2</v>
      </c>
    </row>
    <row r="2649" spans="7:8" x14ac:dyDescent="0.3">
      <c r="G2649" s="15">
        <v>7.3444444444444441</v>
      </c>
      <c r="H2649" s="3">
        <v>3.8485185185185289E-2</v>
      </c>
    </row>
    <row r="2650" spans="7:8" x14ac:dyDescent="0.3">
      <c r="G2650" s="15">
        <v>7.3472222222222223</v>
      </c>
      <c r="H2650" s="3">
        <v>3.8484259259259364E-2</v>
      </c>
    </row>
    <row r="2651" spans="7:8" x14ac:dyDescent="0.3">
      <c r="G2651" s="15">
        <v>7.35</v>
      </c>
      <c r="H2651" s="3">
        <v>3.8483333333333439E-2</v>
      </c>
    </row>
    <row r="2652" spans="7:8" x14ac:dyDescent="0.3">
      <c r="G2652" s="15">
        <v>7.3527777777777779</v>
      </c>
      <c r="H2652" s="3">
        <v>3.8482407407407514E-2</v>
      </c>
    </row>
    <row r="2653" spans="7:8" x14ac:dyDescent="0.3">
      <c r="G2653" s="15">
        <v>7.3555555555555552</v>
      </c>
      <c r="H2653" s="3">
        <v>3.8481481481481589E-2</v>
      </c>
    </row>
    <row r="2654" spans="7:8" x14ac:dyDescent="0.3">
      <c r="G2654" s="15">
        <v>7.3583333333333334</v>
      </c>
      <c r="H2654" s="3">
        <v>3.8480555555555664E-2</v>
      </c>
    </row>
    <row r="2655" spans="7:8" x14ac:dyDescent="0.3">
      <c r="G2655" s="15">
        <v>7.3611111111111107</v>
      </c>
      <c r="H2655" s="3">
        <v>3.8479629629629739E-2</v>
      </c>
    </row>
    <row r="2656" spans="7:8" x14ac:dyDescent="0.3">
      <c r="G2656" s="15">
        <v>7.3638888888888889</v>
      </c>
      <c r="H2656" s="3">
        <v>3.8478703703703813E-2</v>
      </c>
    </row>
    <row r="2657" spans="7:8" x14ac:dyDescent="0.3">
      <c r="G2657" s="15">
        <v>7.3666666666666663</v>
      </c>
      <c r="H2657" s="3">
        <v>3.8477777777777888E-2</v>
      </c>
    </row>
    <row r="2658" spans="7:8" x14ac:dyDescent="0.3">
      <c r="G2658" s="15">
        <v>7.3694444444444445</v>
      </c>
      <c r="H2658" s="3">
        <v>3.8476851851851963E-2</v>
      </c>
    </row>
    <row r="2659" spans="7:8" x14ac:dyDescent="0.3">
      <c r="G2659" s="15">
        <v>7.3722222222222218</v>
      </c>
      <c r="H2659" s="3">
        <v>3.8475925925926038E-2</v>
      </c>
    </row>
    <row r="2660" spans="7:8" x14ac:dyDescent="0.3">
      <c r="G2660" s="15">
        <v>7.375</v>
      </c>
      <c r="H2660" s="3">
        <v>3.8475000000000113E-2</v>
      </c>
    </row>
    <row r="2661" spans="7:8" x14ac:dyDescent="0.3">
      <c r="G2661" s="15">
        <v>7.3777777777777782</v>
      </c>
      <c r="H2661" s="3">
        <v>3.8474074074074188E-2</v>
      </c>
    </row>
    <row r="2662" spans="7:8" x14ac:dyDescent="0.3">
      <c r="G2662" s="15">
        <v>7.3805555555555555</v>
      </c>
      <c r="H2662" s="3">
        <v>3.8473148148148263E-2</v>
      </c>
    </row>
    <row r="2663" spans="7:8" x14ac:dyDescent="0.3">
      <c r="G2663" s="15">
        <v>7.3833333333333337</v>
      </c>
      <c r="H2663" s="3">
        <v>3.8472222222222338E-2</v>
      </c>
    </row>
    <row r="2664" spans="7:8" x14ac:dyDescent="0.3">
      <c r="G2664" s="15">
        <v>7.3861111111111111</v>
      </c>
      <c r="H2664" s="3">
        <v>3.8471296296296413E-2</v>
      </c>
    </row>
    <row r="2665" spans="7:8" x14ac:dyDescent="0.3">
      <c r="G2665" s="15">
        <v>7.3888888888888893</v>
      </c>
      <c r="H2665" s="3">
        <v>3.8470370370370488E-2</v>
      </c>
    </row>
    <row r="2666" spans="7:8" x14ac:dyDescent="0.3">
      <c r="G2666" s="15">
        <v>7.3916666666666666</v>
      </c>
      <c r="H2666" s="3">
        <v>3.8469444444444563E-2</v>
      </c>
    </row>
    <row r="2667" spans="7:8" x14ac:dyDescent="0.3">
      <c r="G2667" s="15">
        <v>7.3944444444444448</v>
      </c>
      <c r="H2667" s="3">
        <v>3.8468518518518638E-2</v>
      </c>
    </row>
    <row r="2668" spans="7:8" x14ac:dyDescent="0.3">
      <c r="G2668" s="15">
        <v>7.3972222222222221</v>
      </c>
      <c r="H2668" s="3">
        <v>3.8467592592592713E-2</v>
      </c>
    </row>
    <row r="2669" spans="7:8" x14ac:dyDescent="0.3">
      <c r="G2669" s="15">
        <v>7.4</v>
      </c>
      <c r="H2669" s="3">
        <v>3.8466666666666788E-2</v>
      </c>
    </row>
    <row r="2670" spans="7:8" x14ac:dyDescent="0.3">
      <c r="G2670" s="15">
        <v>7.4027777777777777</v>
      </c>
      <c r="H2670" s="3">
        <v>3.8465740740740863E-2</v>
      </c>
    </row>
    <row r="2671" spans="7:8" x14ac:dyDescent="0.3">
      <c r="G2671" s="15">
        <v>7.4055555555555559</v>
      </c>
      <c r="H2671" s="3">
        <v>3.8464814814814938E-2</v>
      </c>
    </row>
    <row r="2672" spans="7:8" x14ac:dyDescent="0.3">
      <c r="G2672" s="15">
        <v>7.4083333333333332</v>
      </c>
      <c r="H2672" s="3">
        <v>3.8463888888889013E-2</v>
      </c>
    </row>
    <row r="2673" spans="7:8" x14ac:dyDescent="0.3">
      <c r="G2673" s="15">
        <v>7.4111111111111114</v>
      </c>
      <c r="H2673" s="3">
        <v>3.8462962962963088E-2</v>
      </c>
    </row>
    <row r="2674" spans="7:8" x14ac:dyDescent="0.3">
      <c r="G2674" s="15">
        <v>7.4138888888888888</v>
      </c>
      <c r="H2674" s="3">
        <v>3.8462037037037163E-2</v>
      </c>
    </row>
    <row r="2675" spans="7:8" x14ac:dyDescent="0.3">
      <c r="G2675" s="15">
        <v>7.416666666666667</v>
      </c>
      <c r="H2675" s="3">
        <v>3.8461111111111237E-2</v>
      </c>
    </row>
    <row r="2676" spans="7:8" x14ac:dyDescent="0.3">
      <c r="G2676" s="15">
        <v>7.4194444444444443</v>
      </c>
      <c r="H2676" s="3">
        <v>3.8460185185185312E-2</v>
      </c>
    </row>
    <row r="2677" spans="7:8" x14ac:dyDescent="0.3">
      <c r="G2677" s="15">
        <v>7.4222222222222225</v>
      </c>
      <c r="H2677" s="3">
        <v>3.8459259259259387E-2</v>
      </c>
    </row>
    <row r="2678" spans="7:8" x14ac:dyDescent="0.3">
      <c r="G2678" s="15">
        <v>7.4249999999999998</v>
      </c>
      <c r="H2678" s="3">
        <v>3.8458333333333462E-2</v>
      </c>
    </row>
    <row r="2679" spans="7:8" x14ac:dyDescent="0.3">
      <c r="G2679" s="15">
        <v>7.427777777777778</v>
      </c>
      <c r="H2679" s="3">
        <v>3.8457407407407537E-2</v>
      </c>
    </row>
    <row r="2680" spans="7:8" x14ac:dyDescent="0.3">
      <c r="G2680" s="15">
        <v>7.4305555555555554</v>
      </c>
      <c r="H2680" s="3">
        <v>3.8456481481481612E-2</v>
      </c>
    </row>
    <row r="2681" spans="7:8" x14ac:dyDescent="0.3">
      <c r="G2681" s="15">
        <v>7.4333333333333336</v>
      </c>
      <c r="H2681" s="3">
        <v>3.8455555555555687E-2</v>
      </c>
    </row>
    <row r="2682" spans="7:8" x14ac:dyDescent="0.3">
      <c r="G2682" s="15">
        <v>7.4361111111111109</v>
      </c>
      <c r="H2682" s="3">
        <v>3.8454629629629762E-2</v>
      </c>
    </row>
    <row r="2683" spans="7:8" x14ac:dyDescent="0.3">
      <c r="G2683" s="15">
        <v>7.4388888888888891</v>
      </c>
      <c r="H2683" s="3">
        <v>3.8453703703703837E-2</v>
      </c>
    </row>
    <row r="2684" spans="7:8" x14ac:dyDescent="0.3">
      <c r="G2684" s="15">
        <v>7.4416666666666664</v>
      </c>
      <c r="H2684" s="3">
        <v>3.8452777777777912E-2</v>
      </c>
    </row>
    <row r="2685" spans="7:8" x14ac:dyDescent="0.3">
      <c r="G2685" s="15">
        <v>7.4444444444444446</v>
      </c>
      <c r="H2685" s="3">
        <v>3.8451851851851987E-2</v>
      </c>
    </row>
    <row r="2686" spans="7:8" x14ac:dyDescent="0.3">
      <c r="G2686" s="15">
        <v>7.447222222222222</v>
      </c>
      <c r="H2686" s="3">
        <v>3.8450925925926062E-2</v>
      </c>
    </row>
    <row r="2687" spans="7:8" x14ac:dyDescent="0.3">
      <c r="G2687" s="15">
        <v>7.45</v>
      </c>
      <c r="H2687" s="3">
        <v>3.8450000000000137E-2</v>
      </c>
    </row>
    <row r="2688" spans="7:8" x14ac:dyDescent="0.3">
      <c r="G2688" s="15">
        <v>7.4527777777777775</v>
      </c>
      <c r="H2688" s="3">
        <v>3.8449074074074212E-2</v>
      </c>
    </row>
    <row r="2689" spans="7:8" x14ac:dyDescent="0.3">
      <c r="G2689" s="15">
        <v>7.4555555555555557</v>
      </c>
      <c r="H2689" s="3">
        <v>3.8448148148148287E-2</v>
      </c>
    </row>
    <row r="2690" spans="7:8" x14ac:dyDescent="0.3">
      <c r="G2690" s="15">
        <v>7.458333333333333</v>
      </c>
      <c r="H2690" s="3">
        <v>3.8447222222222362E-2</v>
      </c>
    </row>
    <row r="2691" spans="7:8" x14ac:dyDescent="0.3">
      <c r="G2691" s="15">
        <v>7.4611111111111112</v>
      </c>
      <c r="H2691" s="3">
        <v>3.8446296296296437E-2</v>
      </c>
    </row>
    <row r="2692" spans="7:8" x14ac:dyDescent="0.3">
      <c r="G2692" s="15">
        <v>7.4638888888888886</v>
      </c>
      <c r="H2692" s="3">
        <v>3.8445370370370512E-2</v>
      </c>
    </row>
    <row r="2693" spans="7:8" x14ac:dyDescent="0.3">
      <c r="G2693" s="15">
        <v>7.4666666666666668</v>
      </c>
      <c r="H2693" s="3">
        <v>3.8444444444444587E-2</v>
      </c>
    </row>
    <row r="2694" spans="7:8" x14ac:dyDescent="0.3">
      <c r="G2694" s="15">
        <v>7.4694444444444441</v>
      </c>
      <c r="H2694" s="3">
        <v>3.8443518518518661E-2</v>
      </c>
    </row>
    <row r="2695" spans="7:8" x14ac:dyDescent="0.3">
      <c r="G2695" s="15">
        <v>7.4722222222222223</v>
      </c>
      <c r="H2695" s="3">
        <v>3.8442592592592736E-2</v>
      </c>
    </row>
    <row r="2696" spans="7:8" x14ac:dyDescent="0.3">
      <c r="G2696" s="15">
        <v>7.4749999999999996</v>
      </c>
      <c r="H2696" s="3">
        <v>3.8441666666666811E-2</v>
      </c>
    </row>
    <row r="2697" spans="7:8" x14ac:dyDescent="0.3">
      <c r="G2697" s="15">
        <v>7.4777777777777779</v>
      </c>
      <c r="H2697" s="3">
        <v>3.8440740740740886E-2</v>
      </c>
    </row>
    <row r="2698" spans="7:8" x14ac:dyDescent="0.3">
      <c r="G2698" s="15">
        <v>7.4805555555555552</v>
      </c>
      <c r="H2698" s="3">
        <v>3.8439814814814961E-2</v>
      </c>
    </row>
    <row r="2699" spans="7:8" x14ac:dyDescent="0.3">
      <c r="G2699" s="15">
        <v>7.4833333333333334</v>
      </c>
      <c r="H2699" s="3">
        <v>3.8438888888889036E-2</v>
      </c>
    </row>
    <row r="2700" spans="7:8" x14ac:dyDescent="0.3">
      <c r="G2700" s="15">
        <v>7.4861111111111107</v>
      </c>
      <c r="H2700" s="3">
        <v>3.8437962962963111E-2</v>
      </c>
    </row>
    <row r="2701" spans="7:8" x14ac:dyDescent="0.3">
      <c r="G2701" s="15">
        <v>7.4888888888888889</v>
      </c>
      <c r="H2701" s="3">
        <v>3.8437037037037186E-2</v>
      </c>
    </row>
    <row r="2702" spans="7:8" x14ac:dyDescent="0.3">
      <c r="G2702" s="15">
        <v>7.4916666666666663</v>
      </c>
      <c r="H2702" s="3">
        <v>3.8436111111111261E-2</v>
      </c>
    </row>
    <row r="2703" spans="7:8" x14ac:dyDescent="0.3">
      <c r="G2703" s="15">
        <v>7.4944444444444445</v>
      </c>
      <c r="H2703" s="3">
        <v>3.8435185185185336E-2</v>
      </c>
    </row>
    <row r="2704" spans="7:8" x14ac:dyDescent="0.3">
      <c r="G2704" s="15">
        <v>7.4972222222222218</v>
      </c>
      <c r="H2704" s="3">
        <v>3.8434259259259411E-2</v>
      </c>
    </row>
    <row r="2705" spans="7:8" x14ac:dyDescent="0.3">
      <c r="G2705" s="15">
        <v>7.5</v>
      </c>
      <c r="H2705" s="3">
        <v>3.8433333333333486E-2</v>
      </c>
    </row>
    <row r="2706" spans="7:8" x14ac:dyDescent="0.3">
      <c r="G2706" s="15">
        <v>7.5027777777777782</v>
      </c>
      <c r="H2706" s="3">
        <v>3.8432407407407561E-2</v>
      </c>
    </row>
    <row r="2707" spans="7:8" x14ac:dyDescent="0.3">
      <c r="G2707" s="15">
        <v>7.5055555555555555</v>
      </c>
      <c r="H2707" s="3">
        <v>3.8431481481481636E-2</v>
      </c>
    </row>
    <row r="2708" spans="7:8" x14ac:dyDescent="0.3">
      <c r="G2708" s="15">
        <v>7.5083333333333337</v>
      </c>
      <c r="H2708" s="3">
        <v>3.8430555555555711E-2</v>
      </c>
    </row>
    <row r="2709" spans="7:8" x14ac:dyDescent="0.3">
      <c r="G2709" s="15">
        <v>7.5111111111111111</v>
      </c>
      <c r="H2709" s="3">
        <v>3.8429629629629786E-2</v>
      </c>
    </row>
    <row r="2710" spans="7:8" x14ac:dyDescent="0.3">
      <c r="G2710" s="15">
        <v>7.5138888888888893</v>
      </c>
      <c r="H2710" s="3">
        <v>3.8428703703703861E-2</v>
      </c>
    </row>
    <row r="2711" spans="7:8" x14ac:dyDescent="0.3">
      <c r="G2711" s="15">
        <v>7.5166666666666666</v>
      </c>
      <c r="H2711" s="3">
        <v>3.8427777777777936E-2</v>
      </c>
    </row>
    <row r="2712" spans="7:8" x14ac:dyDescent="0.3">
      <c r="G2712" s="15">
        <v>7.5194444444444448</v>
      </c>
      <c r="H2712" s="3">
        <v>3.8426851851852011E-2</v>
      </c>
    </row>
    <row r="2713" spans="7:8" x14ac:dyDescent="0.3">
      <c r="G2713" s="15">
        <v>7.5222222222222221</v>
      </c>
      <c r="H2713" s="3">
        <v>3.8425925925926085E-2</v>
      </c>
    </row>
    <row r="2714" spans="7:8" x14ac:dyDescent="0.3">
      <c r="G2714" s="15">
        <v>7.5250000000000004</v>
      </c>
      <c r="H2714" s="3">
        <v>3.842500000000016E-2</v>
      </c>
    </row>
    <row r="2715" spans="7:8" x14ac:dyDescent="0.3">
      <c r="G2715" s="15">
        <v>7.5277777777777777</v>
      </c>
      <c r="H2715" s="3">
        <v>3.8424074074074235E-2</v>
      </c>
    </row>
    <row r="2716" spans="7:8" x14ac:dyDescent="0.3">
      <c r="G2716" s="15">
        <v>7.5305555555555559</v>
      </c>
      <c r="H2716" s="3">
        <v>3.842314814814831E-2</v>
      </c>
    </row>
    <row r="2717" spans="7:8" x14ac:dyDescent="0.3">
      <c r="G2717" s="15">
        <v>7.5333333333333332</v>
      </c>
      <c r="H2717" s="3">
        <v>3.8422222222222385E-2</v>
      </c>
    </row>
    <row r="2718" spans="7:8" x14ac:dyDescent="0.3">
      <c r="G2718" s="15">
        <v>7.5361111111111114</v>
      </c>
      <c r="H2718" s="3">
        <v>3.842129629629646E-2</v>
      </c>
    </row>
    <row r="2719" spans="7:8" x14ac:dyDescent="0.3">
      <c r="G2719" s="15">
        <v>7.5388888888888888</v>
      </c>
      <c r="H2719" s="3">
        <v>3.8420370370370535E-2</v>
      </c>
    </row>
    <row r="2720" spans="7:8" x14ac:dyDescent="0.3">
      <c r="G2720" s="15">
        <v>7.541666666666667</v>
      </c>
      <c r="H2720" s="3">
        <v>3.841944444444461E-2</v>
      </c>
    </row>
    <row r="2721" spans="7:8" x14ac:dyDescent="0.3">
      <c r="G2721" s="15">
        <v>7.5444444444444443</v>
      </c>
      <c r="H2721" s="3">
        <v>3.8418518518518685E-2</v>
      </c>
    </row>
    <row r="2722" spans="7:8" x14ac:dyDescent="0.3">
      <c r="G2722" s="15">
        <v>7.5472222222222225</v>
      </c>
      <c r="H2722" s="3">
        <v>3.841759259259276E-2</v>
      </c>
    </row>
    <row r="2723" spans="7:8" x14ac:dyDescent="0.3">
      <c r="G2723" s="15">
        <v>7.55</v>
      </c>
      <c r="H2723" s="3">
        <v>3.8416666666666835E-2</v>
      </c>
    </row>
    <row r="2724" spans="7:8" x14ac:dyDescent="0.3">
      <c r="G2724" s="15">
        <v>7.552777777777778</v>
      </c>
      <c r="H2724" s="3">
        <v>3.841574074074091E-2</v>
      </c>
    </row>
    <row r="2725" spans="7:8" x14ac:dyDescent="0.3">
      <c r="G2725" s="15">
        <v>7.5555555555555554</v>
      </c>
      <c r="H2725" s="3">
        <v>3.8414814814814985E-2</v>
      </c>
    </row>
    <row r="2726" spans="7:8" x14ac:dyDescent="0.3">
      <c r="G2726" s="15">
        <v>7.5583333333333336</v>
      </c>
      <c r="H2726" s="3">
        <v>3.841388888888906E-2</v>
      </c>
    </row>
    <row r="2727" spans="7:8" x14ac:dyDescent="0.3">
      <c r="G2727" s="15">
        <v>7.5611111111111109</v>
      </c>
      <c r="H2727" s="3">
        <v>3.8412962962963135E-2</v>
      </c>
    </row>
    <row r="2728" spans="7:8" x14ac:dyDescent="0.3">
      <c r="G2728" s="15">
        <v>7.5638888888888891</v>
      </c>
      <c r="H2728" s="3">
        <v>3.841203703703721E-2</v>
      </c>
    </row>
    <row r="2729" spans="7:8" x14ac:dyDescent="0.3">
      <c r="G2729" s="15">
        <v>7.5666666666666664</v>
      </c>
      <c r="H2729" s="3">
        <v>3.8411111111111285E-2</v>
      </c>
    </row>
    <row r="2730" spans="7:8" x14ac:dyDescent="0.3">
      <c r="G2730" s="15">
        <v>7.5694444444444446</v>
      </c>
      <c r="H2730" s="3">
        <v>3.841018518518536E-2</v>
      </c>
    </row>
    <row r="2731" spans="7:8" x14ac:dyDescent="0.3">
      <c r="G2731" s="15">
        <v>7.572222222222222</v>
      </c>
      <c r="H2731" s="3">
        <v>3.8409259259259435E-2</v>
      </c>
    </row>
    <row r="2732" spans="7:8" x14ac:dyDescent="0.3">
      <c r="G2732" s="15">
        <v>7.5750000000000002</v>
      </c>
      <c r="H2732" s="3">
        <v>3.8408333333333509E-2</v>
      </c>
    </row>
    <row r="2733" spans="7:8" x14ac:dyDescent="0.3">
      <c r="G2733" s="15">
        <v>7.5777777777777775</v>
      </c>
      <c r="H2733" s="3">
        <v>3.8407407407407584E-2</v>
      </c>
    </row>
    <row r="2734" spans="7:8" x14ac:dyDescent="0.3">
      <c r="G2734" s="15">
        <v>7.5805555555555557</v>
      </c>
      <c r="H2734" s="3">
        <v>3.8406481481481659E-2</v>
      </c>
    </row>
    <row r="2735" spans="7:8" x14ac:dyDescent="0.3">
      <c r="G2735" s="15">
        <v>7.583333333333333</v>
      </c>
      <c r="H2735" s="3">
        <v>3.8405555555555734E-2</v>
      </c>
    </row>
    <row r="2736" spans="7:8" x14ac:dyDescent="0.3">
      <c r="G2736" s="15">
        <v>7.5861111111111112</v>
      </c>
      <c r="H2736" s="3">
        <v>3.8404629629629809E-2</v>
      </c>
    </row>
    <row r="2737" spans="7:8" x14ac:dyDescent="0.3">
      <c r="G2737" s="15">
        <v>7.5888888888888886</v>
      </c>
      <c r="H2737" s="3">
        <v>3.8403703703703884E-2</v>
      </c>
    </row>
    <row r="2738" spans="7:8" x14ac:dyDescent="0.3">
      <c r="G2738" s="15">
        <v>7.5916666666666668</v>
      </c>
      <c r="H2738" s="3">
        <v>3.8402777777777959E-2</v>
      </c>
    </row>
    <row r="2739" spans="7:8" x14ac:dyDescent="0.3">
      <c r="G2739" s="15">
        <v>7.5944444444444441</v>
      </c>
      <c r="H2739" s="3">
        <v>3.8401851851852034E-2</v>
      </c>
    </row>
    <row r="2740" spans="7:8" x14ac:dyDescent="0.3">
      <c r="G2740" s="15">
        <v>7.5972222222222223</v>
      </c>
      <c r="H2740" s="3">
        <v>3.8400925925926109E-2</v>
      </c>
    </row>
    <row r="2741" spans="7:8" x14ac:dyDescent="0.3">
      <c r="G2741" s="15">
        <v>7.6</v>
      </c>
      <c r="H2741" s="3">
        <v>3.8400000000000184E-2</v>
      </c>
    </row>
    <row r="2742" spans="7:8" x14ac:dyDescent="0.3">
      <c r="G2742" s="15">
        <v>7.6027777777777779</v>
      </c>
      <c r="H2742" s="3">
        <v>3.8399074074074259E-2</v>
      </c>
    </row>
    <row r="2743" spans="7:8" x14ac:dyDescent="0.3">
      <c r="G2743" s="15">
        <v>7.6055555555555552</v>
      </c>
      <c r="H2743" s="3">
        <v>3.8398148148148334E-2</v>
      </c>
    </row>
    <row r="2744" spans="7:8" x14ac:dyDescent="0.3">
      <c r="G2744" s="15">
        <v>7.6083333333333334</v>
      </c>
      <c r="H2744" s="3">
        <v>3.8397222222222409E-2</v>
      </c>
    </row>
    <row r="2745" spans="7:8" x14ac:dyDescent="0.3">
      <c r="G2745" s="15">
        <v>7.6111111111111107</v>
      </c>
      <c r="H2745" s="3">
        <v>3.8396296296296484E-2</v>
      </c>
    </row>
    <row r="2746" spans="7:8" x14ac:dyDescent="0.3">
      <c r="G2746" s="15">
        <v>7.6138888888888889</v>
      </c>
      <c r="H2746" s="3">
        <v>3.8395370370370559E-2</v>
      </c>
    </row>
    <row r="2747" spans="7:8" x14ac:dyDescent="0.3">
      <c r="G2747" s="15">
        <v>7.6166666666666663</v>
      </c>
      <c r="H2747" s="3">
        <v>3.8394444444444634E-2</v>
      </c>
    </row>
    <row r="2748" spans="7:8" x14ac:dyDescent="0.3">
      <c r="G2748" s="15">
        <v>7.6194444444444445</v>
      </c>
      <c r="H2748" s="3">
        <v>3.8393518518518709E-2</v>
      </c>
    </row>
    <row r="2749" spans="7:8" x14ac:dyDescent="0.3">
      <c r="G2749" s="15">
        <v>7.6222222222222218</v>
      </c>
      <c r="H2749" s="3">
        <v>3.8392592592592784E-2</v>
      </c>
    </row>
    <row r="2750" spans="7:8" x14ac:dyDescent="0.3">
      <c r="G2750" s="15">
        <v>7.625</v>
      </c>
      <c r="H2750" s="3">
        <v>3.8391666666666859E-2</v>
      </c>
    </row>
    <row r="2751" spans="7:8" x14ac:dyDescent="0.3">
      <c r="G2751" s="15">
        <v>7.6277777777777782</v>
      </c>
      <c r="H2751" s="3">
        <v>3.8390740740740933E-2</v>
      </c>
    </row>
    <row r="2752" spans="7:8" x14ac:dyDescent="0.3">
      <c r="G2752" s="15">
        <v>7.6305555555555555</v>
      </c>
      <c r="H2752" s="3">
        <v>3.8389814814815008E-2</v>
      </c>
    </row>
    <row r="2753" spans="7:8" x14ac:dyDescent="0.3">
      <c r="G2753" s="15">
        <v>7.6333333333333337</v>
      </c>
      <c r="H2753" s="3">
        <v>3.8388888888889083E-2</v>
      </c>
    </row>
    <row r="2754" spans="7:8" x14ac:dyDescent="0.3">
      <c r="G2754" s="15">
        <v>7.6361111111111111</v>
      </c>
      <c r="H2754" s="3">
        <v>3.8387962962963158E-2</v>
      </c>
    </row>
    <row r="2755" spans="7:8" x14ac:dyDescent="0.3">
      <c r="G2755" s="15">
        <v>7.6388888888888893</v>
      </c>
      <c r="H2755" s="3">
        <v>3.8387037037037233E-2</v>
      </c>
    </row>
    <row r="2756" spans="7:8" x14ac:dyDescent="0.3">
      <c r="G2756" s="15">
        <v>7.6416666666666666</v>
      </c>
      <c r="H2756" s="3">
        <v>3.8386111111111308E-2</v>
      </c>
    </row>
    <row r="2757" spans="7:8" x14ac:dyDescent="0.3">
      <c r="G2757" s="15">
        <v>7.6444444444444448</v>
      </c>
      <c r="H2757" s="3">
        <v>3.8385185185185383E-2</v>
      </c>
    </row>
    <row r="2758" spans="7:8" x14ac:dyDescent="0.3">
      <c r="G2758" s="15">
        <v>7.6472222222222221</v>
      </c>
      <c r="H2758" s="3">
        <v>3.8384259259259458E-2</v>
      </c>
    </row>
    <row r="2759" spans="7:8" x14ac:dyDescent="0.3">
      <c r="G2759" s="15">
        <v>7.65</v>
      </c>
      <c r="H2759" s="3">
        <v>3.8383333333333533E-2</v>
      </c>
    </row>
    <row r="2760" spans="7:8" x14ac:dyDescent="0.3">
      <c r="G2760" s="15">
        <v>7.6527777777777777</v>
      </c>
      <c r="H2760" s="3">
        <v>3.8382407407407608E-2</v>
      </c>
    </row>
    <row r="2761" spans="7:8" x14ac:dyDescent="0.3">
      <c r="G2761" s="15">
        <v>7.6555555555555559</v>
      </c>
      <c r="H2761" s="3">
        <v>3.8381481481481683E-2</v>
      </c>
    </row>
    <row r="2762" spans="7:8" x14ac:dyDescent="0.3">
      <c r="G2762" s="15">
        <v>7.6583333333333332</v>
      </c>
      <c r="H2762" s="3">
        <v>3.8380555555555758E-2</v>
      </c>
    </row>
    <row r="2763" spans="7:8" x14ac:dyDescent="0.3">
      <c r="G2763" s="15">
        <v>7.6611111111111114</v>
      </c>
      <c r="H2763" s="3">
        <v>3.8379629629629833E-2</v>
      </c>
    </row>
    <row r="2764" spans="7:8" x14ac:dyDescent="0.3">
      <c r="G2764" s="15">
        <v>7.6638888888888888</v>
      </c>
      <c r="H2764" s="3">
        <v>3.8378703703703908E-2</v>
      </c>
    </row>
    <row r="2765" spans="7:8" x14ac:dyDescent="0.3">
      <c r="G2765" s="15">
        <v>7.666666666666667</v>
      </c>
      <c r="H2765" s="3">
        <v>3.8377777777777983E-2</v>
      </c>
    </row>
    <row r="2766" spans="7:8" x14ac:dyDescent="0.3">
      <c r="G2766" s="15">
        <v>7.6694444444444443</v>
      </c>
      <c r="H2766" s="3">
        <v>3.8376851851852058E-2</v>
      </c>
    </row>
    <row r="2767" spans="7:8" x14ac:dyDescent="0.3">
      <c r="G2767" s="15">
        <v>7.6722222222222225</v>
      </c>
      <c r="H2767" s="3">
        <v>3.8375925925926133E-2</v>
      </c>
    </row>
    <row r="2768" spans="7:8" x14ac:dyDescent="0.3">
      <c r="G2768" s="15">
        <v>7.6749999999999998</v>
      </c>
      <c r="H2768" s="3">
        <v>3.8375000000000208E-2</v>
      </c>
    </row>
    <row r="2769" spans="7:8" x14ac:dyDescent="0.3">
      <c r="G2769" s="15">
        <v>7.677777777777778</v>
      </c>
      <c r="H2769" s="3">
        <v>3.8374074074074283E-2</v>
      </c>
    </row>
    <row r="2770" spans="7:8" x14ac:dyDescent="0.3">
      <c r="G2770" s="15">
        <v>7.6805555555555554</v>
      </c>
      <c r="H2770" s="3">
        <v>3.8373148148148357E-2</v>
      </c>
    </row>
    <row r="2771" spans="7:8" x14ac:dyDescent="0.3">
      <c r="G2771" s="15">
        <v>7.6833333333333336</v>
      </c>
      <c r="H2771" s="3">
        <v>3.8372222222222432E-2</v>
      </c>
    </row>
    <row r="2772" spans="7:8" x14ac:dyDescent="0.3">
      <c r="G2772" s="15">
        <v>7.6861111111111109</v>
      </c>
      <c r="H2772" s="3">
        <v>3.8371296296296507E-2</v>
      </c>
    </row>
    <row r="2773" spans="7:8" x14ac:dyDescent="0.3">
      <c r="G2773" s="15">
        <v>7.6888888888888891</v>
      </c>
      <c r="H2773" s="3">
        <v>3.8370370370370582E-2</v>
      </c>
    </row>
    <row r="2774" spans="7:8" x14ac:dyDescent="0.3">
      <c r="G2774" s="15">
        <v>7.6916666666666664</v>
      </c>
      <c r="H2774" s="3">
        <v>3.8369444444444657E-2</v>
      </c>
    </row>
    <row r="2775" spans="7:8" x14ac:dyDescent="0.3">
      <c r="G2775" s="15">
        <v>7.6944444444444446</v>
      </c>
      <c r="H2775" s="3">
        <v>3.8368518518518732E-2</v>
      </c>
    </row>
    <row r="2776" spans="7:8" x14ac:dyDescent="0.3">
      <c r="G2776" s="15">
        <v>7.697222222222222</v>
      </c>
      <c r="H2776" s="3">
        <v>3.8367592592592807E-2</v>
      </c>
    </row>
    <row r="2777" spans="7:8" x14ac:dyDescent="0.3">
      <c r="G2777" s="15">
        <v>7.7</v>
      </c>
      <c r="H2777" s="3">
        <v>3.8366666666666882E-2</v>
      </c>
    </row>
    <row r="2778" spans="7:8" x14ac:dyDescent="0.3">
      <c r="G2778" s="15">
        <v>7.7027777777777775</v>
      </c>
      <c r="H2778" s="3">
        <v>3.8365740740740957E-2</v>
      </c>
    </row>
    <row r="2779" spans="7:8" x14ac:dyDescent="0.3">
      <c r="G2779" s="15">
        <v>7.7055555555555557</v>
      </c>
      <c r="H2779" s="3">
        <v>3.8364814814815032E-2</v>
      </c>
    </row>
    <row r="2780" spans="7:8" x14ac:dyDescent="0.3">
      <c r="G2780" s="15">
        <v>7.708333333333333</v>
      </c>
      <c r="H2780" s="3">
        <v>3.8363888888889107E-2</v>
      </c>
    </row>
    <row r="2781" spans="7:8" x14ac:dyDescent="0.3">
      <c r="G2781" s="15">
        <v>7.7111111111111112</v>
      </c>
      <c r="H2781" s="3">
        <v>3.8362962962963182E-2</v>
      </c>
    </row>
    <row r="2782" spans="7:8" x14ac:dyDescent="0.3">
      <c r="G2782" s="15">
        <v>7.7138888888888886</v>
      </c>
      <c r="H2782" s="3">
        <v>3.8362037037037257E-2</v>
      </c>
    </row>
    <row r="2783" spans="7:8" x14ac:dyDescent="0.3">
      <c r="G2783" s="15">
        <v>7.7166666666666668</v>
      </c>
      <c r="H2783" s="3">
        <v>3.8361111111111332E-2</v>
      </c>
    </row>
    <row r="2784" spans="7:8" x14ac:dyDescent="0.3">
      <c r="G2784" s="15">
        <v>7.7194444444444441</v>
      </c>
      <c r="H2784" s="3">
        <v>3.8360185185185407E-2</v>
      </c>
    </row>
    <row r="2785" spans="7:8" x14ac:dyDescent="0.3">
      <c r="G2785" s="15">
        <v>7.7222222222222223</v>
      </c>
      <c r="H2785" s="3">
        <v>3.8359259259259482E-2</v>
      </c>
    </row>
    <row r="2786" spans="7:8" x14ac:dyDescent="0.3">
      <c r="G2786" s="15">
        <v>7.7249999999999996</v>
      </c>
      <c r="H2786" s="3">
        <v>3.8358333333333557E-2</v>
      </c>
    </row>
    <row r="2787" spans="7:8" x14ac:dyDescent="0.3">
      <c r="G2787" s="15">
        <v>7.7277777777777779</v>
      </c>
      <c r="H2787" s="3">
        <v>3.8357407407407632E-2</v>
      </c>
    </row>
    <row r="2788" spans="7:8" x14ac:dyDescent="0.3">
      <c r="G2788" s="15">
        <v>7.7305555555555552</v>
      </c>
      <c r="H2788" s="3">
        <v>3.8356481481481706E-2</v>
      </c>
    </row>
    <row r="2789" spans="7:8" x14ac:dyDescent="0.3">
      <c r="G2789" s="15">
        <v>7.7333333333333334</v>
      </c>
      <c r="H2789" s="3">
        <v>3.8355555555555781E-2</v>
      </c>
    </row>
    <row r="2790" spans="7:8" x14ac:dyDescent="0.3">
      <c r="G2790" s="15">
        <v>7.7361111111111107</v>
      </c>
      <c r="H2790" s="3">
        <v>3.8354629629629856E-2</v>
      </c>
    </row>
    <row r="2791" spans="7:8" x14ac:dyDescent="0.3">
      <c r="G2791" s="15">
        <v>7.7388888888888889</v>
      </c>
      <c r="H2791" s="3">
        <v>3.8353703703703931E-2</v>
      </c>
    </row>
    <row r="2792" spans="7:8" x14ac:dyDescent="0.3">
      <c r="G2792" s="15">
        <v>7.7416666666666663</v>
      </c>
      <c r="H2792" s="3">
        <v>3.8352777777778006E-2</v>
      </c>
    </row>
    <row r="2793" spans="7:8" x14ac:dyDescent="0.3">
      <c r="G2793" s="15">
        <v>7.7444444444444445</v>
      </c>
      <c r="H2793" s="3">
        <v>3.8351851851852081E-2</v>
      </c>
    </row>
    <row r="2794" spans="7:8" x14ac:dyDescent="0.3">
      <c r="G2794" s="15">
        <v>7.7472222222222218</v>
      </c>
      <c r="H2794" s="3">
        <v>3.8350925925926156E-2</v>
      </c>
    </row>
    <row r="2795" spans="7:8" x14ac:dyDescent="0.3">
      <c r="G2795" s="15">
        <v>7.75</v>
      </c>
      <c r="H2795" s="3">
        <v>3.8350000000000231E-2</v>
      </c>
    </row>
    <row r="2796" spans="7:8" x14ac:dyDescent="0.3">
      <c r="G2796" s="15">
        <v>7.7527777777777782</v>
      </c>
      <c r="H2796" s="3">
        <v>3.8349074074074306E-2</v>
      </c>
    </row>
    <row r="2797" spans="7:8" x14ac:dyDescent="0.3">
      <c r="G2797" s="15">
        <v>7.7555555555555555</v>
      </c>
      <c r="H2797" s="3">
        <v>3.8348148148148381E-2</v>
      </c>
    </row>
    <row r="2798" spans="7:8" x14ac:dyDescent="0.3">
      <c r="G2798" s="15">
        <v>7.7583333333333337</v>
      </c>
      <c r="H2798" s="3">
        <v>3.8347222222222456E-2</v>
      </c>
    </row>
    <row r="2799" spans="7:8" x14ac:dyDescent="0.3">
      <c r="G2799" s="15">
        <v>7.7611111111111111</v>
      </c>
      <c r="H2799" s="3">
        <v>3.8346296296296531E-2</v>
      </c>
    </row>
    <row r="2800" spans="7:8" x14ac:dyDescent="0.3">
      <c r="G2800" s="15">
        <v>7.7638888888888893</v>
      </c>
      <c r="H2800" s="3">
        <v>3.8345370370370606E-2</v>
      </c>
    </row>
    <row r="2801" spans="7:8" x14ac:dyDescent="0.3">
      <c r="G2801" s="15">
        <v>7.7666666666666666</v>
      </c>
      <c r="H2801" s="3">
        <v>3.8344444444444681E-2</v>
      </c>
    </row>
    <row r="2802" spans="7:8" x14ac:dyDescent="0.3">
      <c r="G2802" s="15">
        <v>7.7694444444444448</v>
      </c>
      <c r="H2802" s="3">
        <v>3.8343518518518756E-2</v>
      </c>
    </row>
    <row r="2803" spans="7:8" x14ac:dyDescent="0.3">
      <c r="G2803" s="15">
        <v>7.7722222222222221</v>
      </c>
      <c r="H2803" s="3">
        <v>3.8342592592592831E-2</v>
      </c>
    </row>
    <row r="2804" spans="7:8" x14ac:dyDescent="0.3">
      <c r="G2804" s="15">
        <v>7.7750000000000004</v>
      </c>
      <c r="H2804" s="3">
        <v>3.8341666666666906E-2</v>
      </c>
    </row>
    <row r="2805" spans="7:8" x14ac:dyDescent="0.3">
      <c r="G2805" s="15">
        <v>7.7777777777777777</v>
      </c>
      <c r="H2805" s="3">
        <v>3.8340740740740981E-2</v>
      </c>
    </row>
    <row r="2806" spans="7:8" x14ac:dyDescent="0.3">
      <c r="G2806" s="15">
        <v>7.7805555555555559</v>
      </c>
      <c r="H2806" s="3">
        <v>3.8339814814815056E-2</v>
      </c>
    </row>
    <row r="2807" spans="7:8" x14ac:dyDescent="0.3">
      <c r="G2807" s="15">
        <v>7.7833333333333332</v>
      </c>
      <c r="H2807" s="3">
        <v>3.833888888888913E-2</v>
      </c>
    </row>
    <row r="2808" spans="7:8" x14ac:dyDescent="0.3">
      <c r="G2808" s="15">
        <v>7.7861111111111114</v>
      </c>
      <c r="H2808" s="3">
        <v>3.8337962962963205E-2</v>
      </c>
    </row>
    <row r="2809" spans="7:8" x14ac:dyDescent="0.3">
      <c r="G2809" s="15">
        <v>7.7888888888888888</v>
      </c>
      <c r="H2809" s="3">
        <v>3.833703703703728E-2</v>
      </c>
    </row>
    <row r="2810" spans="7:8" x14ac:dyDescent="0.3">
      <c r="G2810" s="15">
        <v>7.791666666666667</v>
      </c>
      <c r="H2810" s="3">
        <v>3.8336111111111355E-2</v>
      </c>
    </row>
    <row r="2811" spans="7:8" x14ac:dyDescent="0.3">
      <c r="G2811" s="15">
        <v>7.7944444444444443</v>
      </c>
      <c r="H2811" s="3">
        <v>3.833518518518543E-2</v>
      </c>
    </row>
    <row r="2812" spans="7:8" x14ac:dyDescent="0.3">
      <c r="G2812" s="15">
        <v>7.7972222222222225</v>
      </c>
      <c r="H2812" s="3">
        <v>3.8334259259259505E-2</v>
      </c>
    </row>
    <row r="2813" spans="7:8" x14ac:dyDescent="0.3">
      <c r="G2813" s="15">
        <v>7.8</v>
      </c>
      <c r="H2813" s="3">
        <v>3.833333333333358E-2</v>
      </c>
    </row>
    <row r="2814" spans="7:8" x14ac:dyDescent="0.3">
      <c r="G2814" s="15">
        <v>7.802777777777778</v>
      </c>
      <c r="H2814" s="3">
        <v>3.8332407407407655E-2</v>
      </c>
    </row>
    <row r="2815" spans="7:8" x14ac:dyDescent="0.3">
      <c r="G2815" s="15">
        <v>7.8055555555555554</v>
      </c>
      <c r="H2815" s="3">
        <v>3.833148148148173E-2</v>
      </c>
    </row>
    <row r="2816" spans="7:8" x14ac:dyDescent="0.3">
      <c r="G2816" s="15">
        <v>7.8083333333333336</v>
      </c>
      <c r="H2816" s="3">
        <v>3.8330555555555805E-2</v>
      </c>
    </row>
    <row r="2817" spans="7:8" x14ac:dyDescent="0.3">
      <c r="G2817" s="15">
        <v>7.8111111111111109</v>
      </c>
      <c r="H2817" s="3">
        <v>3.832962962962988E-2</v>
      </c>
    </row>
    <row r="2818" spans="7:8" x14ac:dyDescent="0.3">
      <c r="G2818" s="15">
        <v>7.8138888888888891</v>
      </c>
      <c r="H2818" s="3">
        <v>3.8328703703703955E-2</v>
      </c>
    </row>
    <row r="2819" spans="7:8" x14ac:dyDescent="0.3">
      <c r="G2819" s="15">
        <v>7.8166666666666664</v>
      </c>
      <c r="H2819" s="3">
        <v>3.832777777777803E-2</v>
      </c>
    </row>
    <row r="2820" spans="7:8" x14ac:dyDescent="0.3">
      <c r="G2820" s="15">
        <v>7.8194444444444446</v>
      </c>
      <c r="H2820" s="3">
        <v>3.8326851851852105E-2</v>
      </c>
    </row>
    <row r="2821" spans="7:8" x14ac:dyDescent="0.3">
      <c r="G2821" s="15">
        <v>7.822222222222222</v>
      </c>
      <c r="H2821" s="3">
        <v>3.832592592592618E-2</v>
      </c>
    </row>
    <row r="2822" spans="7:8" x14ac:dyDescent="0.3">
      <c r="G2822" s="15">
        <v>7.8250000000000002</v>
      </c>
      <c r="H2822" s="3">
        <v>3.8325000000000255E-2</v>
      </c>
    </row>
    <row r="2823" spans="7:8" x14ac:dyDescent="0.3">
      <c r="G2823" s="15">
        <v>7.8277777777777775</v>
      </c>
      <c r="H2823" s="3">
        <v>3.832407407407433E-2</v>
      </c>
    </row>
    <row r="2824" spans="7:8" x14ac:dyDescent="0.3">
      <c r="G2824" s="15">
        <v>7.8305555555555557</v>
      </c>
      <c r="H2824" s="3">
        <v>3.8323148148148405E-2</v>
      </c>
    </row>
    <row r="2825" spans="7:8" x14ac:dyDescent="0.3">
      <c r="G2825" s="15">
        <v>7.833333333333333</v>
      </c>
      <c r="H2825" s="3">
        <v>3.832222222222248E-2</v>
      </c>
    </row>
    <row r="2826" spans="7:8" x14ac:dyDescent="0.3">
      <c r="G2826" s="15">
        <v>7.8361111111111112</v>
      </c>
      <c r="H2826" s="3">
        <v>3.8321296296296554E-2</v>
      </c>
    </row>
    <row r="2827" spans="7:8" x14ac:dyDescent="0.3">
      <c r="G2827" s="15">
        <v>7.8388888888888886</v>
      </c>
      <c r="H2827" s="3">
        <v>3.8320370370370629E-2</v>
      </c>
    </row>
    <row r="2828" spans="7:8" x14ac:dyDescent="0.3">
      <c r="G2828" s="15">
        <v>7.8416666666666668</v>
      </c>
      <c r="H2828" s="3">
        <v>3.8319444444444704E-2</v>
      </c>
    </row>
    <row r="2829" spans="7:8" x14ac:dyDescent="0.3">
      <c r="G2829" s="15">
        <v>7.8444444444444441</v>
      </c>
      <c r="H2829" s="3">
        <v>3.8318518518518779E-2</v>
      </c>
    </row>
    <row r="2830" spans="7:8" x14ac:dyDescent="0.3">
      <c r="G2830" s="15">
        <v>7.8472222222222223</v>
      </c>
      <c r="H2830" s="3">
        <v>3.8317592592592854E-2</v>
      </c>
    </row>
    <row r="2831" spans="7:8" x14ac:dyDescent="0.3">
      <c r="G2831" s="15">
        <v>7.85</v>
      </c>
      <c r="H2831" s="3">
        <v>3.8316666666666929E-2</v>
      </c>
    </row>
    <row r="2832" spans="7:8" x14ac:dyDescent="0.3">
      <c r="G2832" s="15">
        <v>7.8527777777777779</v>
      </c>
      <c r="H2832" s="3">
        <v>3.8315740740741004E-2</v>
      </c>
    </row>
    <row r="2833" spans="7:8" x14ac:dyDescent="0.3">
      <c r="G2833" s="15">
        <v>7.8555555555555552</v>
      </c>
      <c r="H2833" s="3">
        <v>3.8314814814815079E-2</v>
      </c>
    </row>
    <row r="2834" spans="7:8" x14ac:dyDescent="0.3">
      <c r="G2834" s="15">
        <v>7.8583333333333334</v>
      </c>
      <c r="H2834" s="3">
        <v>3.8313888888889154E-2</v>
      </c>
    </row>
    <row r="2835" spans="7:8" x14ac:dyDescent="0.3">
      <c r="G2835" s="15">
        <v>7.8611111111111107</v>
      </c>
      <c r="H2835" s="3">
        <v>3.8312962962963229E-2</v>
      </c>
    </row>
    <row r="2836" spans="7:8" x14ac:dyDescent="0.3">
      <c r="G2836" s="15">
        <v>7.8638888888888889</v>
      </c>
      <c r="H2836" s="3">
        <v>3.8312037037037304E-2</v>
      </c>
    </row>
    <row r="2837" spans="7:8" x14ac:dyDescent="0.3">
      <c r="G2837" s="15">
        <v>7.8666666666666663</v>
      </c>
      <c r="H2837" s="3">
        <v>3.8311111111111379E-2</v>
      </c>
    </row>
    <row r="2838" spans="7:8" x14ac:dyDescent="0.3">
      <c r="G2838" s="15">
        <v>7.8694444444444445</v>
      </c>
      <c r="H2838" s="3">
        <v>3.8310185185185454E-2</v>
      </c>
    </row>
    <row r="2839" spans="7:8" x14ac:dyDescent="0.3">
      <c r="G2839" s="15">
        <v>7.8722222222222218</v>
      </c>
      <c r="H2839" s="3">
        <v>3.8309259259259529E-2</v>
      </c>
    </row>
    <row r="2840" spans="7:8" x14ac:dyDescent="0.3">
      <c r="G2840" s="15">
        <v>7.875</v>
      </c>
      <c r="H2840" s="3">
        <v>3.8308333333333604E-2</v>
      </c>
    </row>
    <row r="2841" spans="7:8" x14ac:dyDescent="0.3">
      <c r="G2841" s="15">
        <v>7.8777777777777782</v>
      </c>
      <c r="H2841" s="3">
        <v>3.8307407407407679E-2</v>
      </c>
    </row>
    <row r="2842" spans="7:8" x14ac:dyDescent="0.3">
      <c r="G2842" s="15">
        <v>7.8805555555555555</v>
      </c>
      <c r="H2842" s="3">
        <v>3.8306481481481754E-2</v>
      </c>
    </row>
    <row r="2843" spans="7:8" x14ac:dyDescent="0.3">
      <c r="G2843" s="15">
        <v>7.8833333333333337</v>
      </c>
      <c r="H2843" s="3">
        <v>3.8305555555555829E-2</v>
      </c>
    </row>
    <row r="2844" spans="7:8" x14ac:dyDescent="0.3">
      <c r="G2844" s="15">
        <v>7.8861111111111111</v>
      </c>
      <c r="H2844" s="3">
        <v>3.8304629629629904E-2</v>
      </c>
    </row>
    <row r="2845" spans="7:8" x14ac:dyDescent="0.3">
      <c r="G2845" s="15">
        <v>7.8888888888888893</v>
      </c>
      <c r="H2845" s="3">
        <v>3.8303703703703978E-2</v>
      </c>
    </row>
    <row r="2846" spans="7:8" x14ac:dyDescent="0.3">
      <c r="G2846" s="15">
        <v>7.8916666666666666</v>
      </c>
      <c r="H2846" s="3">
        <v>3.8302777777778053E-2</v>
      </c>
    </row>
    <row r="2847" spans="7:8" x14ac:dyDescent="0.3">
      <c r="G2847" s="15">
        <v>7.8944444444444448</v>
      </c>
      <c r="H2847" s="3">
        <v>3.8301851851852128E-2</v>
      </c>
    </row>
    <row r="2848" spans="7:8" x14ac:dyDescent="0.3">
      <c r="G2848" s="15">
        <v>7.8972222222222221</v>
      </c>
      <c r="H2848" s="3">
        <v>3.8300925925926203E-2</v>
      </c>
    </row>
    <row r="2849" spans="7:8" x14ac:dyDescent="0.3">
      <c r="G2849" s="15">
        <v>7.9</v>
      </c>
      <c r="H2849" s="3">
        <v>3.8300000000000278E-2</v>
      </c>
    </row>
    <row r="2850" spans="7:8" x14ac:dyDescent="0.3">
      <c r="G2850" s="15">
        <v>7.9027777777777777</v>
      </c>
      <c r="H2850" s="3">
        <v>3.8299074074074353E-2</v>
      </c>
    </row>
    <row r="2851" spans="7:8" x14ac:dyDescent="0.3">
      <c r="G2851" s="15">
        <v>7.9055555555555559</v>
      </c>
      <c r="H2851" s="3">
        <v>3.8298148148148428E-2</v>
      </c>
    </row>
    <row r="2852" spans="7:8" x14ac:dyDescent="0.3">
      <c r="G2852" s="15">
        <v>7.9083333333333332</v>
      </c>
      <c r="H2852" s="3">
        <v>3.8297222222222503E-2</v>
      </c>
    </row>
    <row r="2853" spans="7:8" x14ac:dyDescent="0.3">
      <c r="G2853" s="15">
        <v>7.9111111111111114</v>
      </c>
      <c r="H2853" s="3">
        <v>3.8296296296296578E-2</v>
      </c>
    </row>
    <row r="2854" spans="7:8" x14ac:dyDescent="0.3">
      <c r="G2854" s="15">
        <v>7.9138888888888888</v>
      </c>
      <c r="H2854" s="3">
        <v>3.8295370370370653E-2</v>
      </c>
    </row>
    <row r="2855" spans="7:8" x14ac:dyDescent="0.3">
      <c r="G2855" s="15">
        <v>7.916666666666667</v>
      </c>
      <c r="H2855" s="3">
        <v>3.8294444444444728E-2</v>
      </c>
    </row>
    <row r="2856" spans="7:8" x14ac:dyDescent="0.3">
      <c r="G2856" s="15">
        <v>7.9194444444444443</v>
      </c>
      <c r="H2856" s="3">
        <v>3.8293518518518803E-2</v>
      </c>
    </row>
    <row r="2857" spans="7:8" x14ac:dyDescent="0.3">
      <c r="G2857" s="15">
        <v>7.9222222222222225</v>
      </c>
      <c r="H2857" s="3">
        <v>3.8292592592592878E-2</v>
      </c>
    </row>
    <row r="2858" spans="7:8" x14ac:dyDescent="0.3">
      <c r="G2858" s="15">
        <v>7.9249999999999998</v>
      </c>
      <c r="H2858" s="3">
        <v>3.8291666666666953E-2</v>
      </c>
    </row>
    <row r="2859" spans="7:8" x14ac:dyDescent="0.3">
      <c r="G2859" s="15">
        <v>7.927777777777778</v>
      </c>
      <c r="H2859" s="3">
        <v>3.8290740740741028E-2</v>
      </c>
    </row>
    <row r="2860" spans="7:8" x14ac:dyDescent="0.3">
      <c r="G2860" s="15">
        <v>7.9305555555555554</v>
      </c>
      <c r="H2860" s="3">
        <v>3.8289814814815103E-2</v>
      </c>
    </row>
    <row r="2861" spans="7:8" x14ac:dyDescent="0.3">
      <c r="G2861" s="15">
        <v>7.9333333333333336</v>
      </c>
      <c r="H2861" s="3">
        <v>3.8288888888889178E-2</v>
      </c>
    </row>
    <row r="2862" spans="7:8" x14ac:dyDescent="0.3">
      <c r="G2862" s="15">
        <v>7.9361111111111109</v>
      </c>
      <c r="H2862" s="3">
        <v>3.8287962962963253E-2</v>
      </c>
    </row>
    <row r="2863" spans="7:8" x14ac:dyDescent="0.3">
      <c r="G2863" s="15">
        <v>7.9388888888888891</v>
      </c>
      <c r="H2863" s="3">
        <v>3.8287037037037328E-2</v>
      </c>
    </row>
    <row r="2864" spans="7:8" x14ac:dyDescent="0.3">
      <c r="G2864" s="15">
        <v>7.9416666666666664</v>
      </c>
      <c r="H2864" s="3">
        <v>3.8286111111111402E-2</v>
      </c>
    </row>
    <row r="2865" spans="7:8" x14ac:dyDescent="0.3">
      <c r="G2865" s="15">
        <v>7.9444444444444446</v>
      </c>
      <c r="H2865" s="3">
        <v>3.8285185185185477E-2</v>
      </c>
    </row>
    <row r="2866" spans="7:8" x14ac:dyDescent="0.3">
      <c r="G2866" s="15">
        <v>7.947222222222222</v>
      </c>
      <c r="H2866" s="3">
        <v>3.8284259259259552E-2</v>
      </c>
    </row>
    <row r="2867" spans="7:8" x14ac:dyDescent="0.3">
      <c r="G2867" s="15">
        <v>7.95</v>
      </c>
      <c r="H2867" s="3">
        <v>3.8283333333333627E-2</v>
      </c>
    </row>
    <row r="2868" spans="7:8" x14ac:dyDescent="0.3">
      <c r="G2868" s="15">
        <v>7.9527777777777775</v>
      </c>
      <c r="H2868" s="3">
        <v>3.8282407407407702E-2</v>
      </c>
    </row>
    <row r="2869" spans="7:8" x14ac:dyDescent="0.3">
      <c r="G2869" s="15">
        <v>7.9555555555555557</v>
      </c>
      <c r="H2869" s="3">
        <v>3.8281481481481777E-2</v>
      </c>
    </row>
    <row r="2870" spans="7:8" x14ac:dyDescent="0.3">
      <c r="G2870" s="15">
        <v>7.958333333333333</v>
      </c>
      <c r="H2870" s="3">
        <v>3.8280555555555852E-2</v>
      </c>
    </row>
    <row r="2871" spans="7:8" x14ac:dyDescent="0.3">
      <c r="G2871" s="15">
        <v>7.9611111111111112</v>
      </c>
      <c r="H2871" s="3">
        <v>3.8279629629629927E-2</v>
      </c>
    </row>
    <row r="2872" spans="7:8" x14ac:dyDescent="0.3">
      <c r="G2872" s="15">
        <v>7.9638888888888886</v>
      </c>
      <c r="H2872" s="3">
        <v>3.8278703703704002E-2</v>
      </c>
    </row>
    <row r="2873" spans="7:8" x14ac:dyDescent="0.3">
      <c r="G2873" s="15">
        <v>7.9666666666666668</v>
      </c>
      <c r="H2873" s="3">
        <v>3.8277777777778077E-2</v>
      </c>
    </row>
    <row r="2874" spans="7:8" x14ac:dyDescent="0.3">
      <c r="G2874" s="15">
        <v>7.9694444444444441</v>
      </c>
      <c r="H2874" s="3">
        <v>3.8276851851852152E-2</v>
      </c>
    </row>
    <row r="2875" spans="7:8" x14ac:dyDescent="0.3">
      <c r="G2875" s="15">
        <v>7.9722222222222223</v>
      </c>
      <c r="H2875" s="3">
        <v>3.8275925925926227E-2</v>
      </c>
    </row>
    <row r="2876" spans="7:8" x14ac:dyDescent="0.3">
      <c r="G2876" s="15">
        <v>7.9749999999999996</v>
      </c>
      <c r="H2876" s="3">
        <v>3.8275000000000302E-2</v>
      </c>
    </row>
    <row r="2877" spans="7:8" x14ac:dyDescent="0.3">
      <c r="G2877" s="15">
        <v>7.9777777777777779</v>
      </c>
      <c r="H2877" s="3">
        <v>3.8274074074074377E-2</v>
      </c>
    </row>
    <row r="2878" spans="7:8" x14ac:dyDescent="0.3">
      <c r="G2878" s="15">
        <v>7.9805555555555552</v>
      </c>
      <c r="H2878" s="3">
        <v>3.8273148148148452E-2</v>
      </c>
    </row>
    <row r="2879" spans="7:8" x14ac:dyDescent="0.3">
      <c r="G2879" s="15">
        <v>7.9833333333333334</v>
      </c>
      <c r="H2879" s="3">
        <v>3.8272222222222527E-2</v>
      </c>
    </row>
    <row r="2880" spans="7:8" x14ac:dyDescent="0.3">
      <c r="G2880" s="15">
        <v>7.9861111111111107</v>
      </c>
      <c r="H2880" s="3">
        <v>3.8271296296296602E-2</v>
      </c>
    </row>
    <row r="2881" spans="7:8" x14ac:dyDescent="0.3">
      <c r="G2881" s="15">
        <v>7.9888888888888889</v>
      </c>
      <c r="H2881" s="3">
        <v>3.8270370370370677E-2</v>
      </c>
    </row>
    <row r="2882" spans="7:8" x14ac:dyDescent="0.3">
      <c r="G2882" s="15">
        <v>7.9916666666666663</v>
      </c>
      <c r="H2882" s="3">
        <v>3.8269444444444752E-2</v>
      </c>
    </row>
    <row r="2883" spans="7:8" x14ac:dyDescent="0.3">
      <c r="G2883" s="15">
        <v>7.9944444444444445</v>
      </c>
      <c r="H2883" s="3">
        <v>3.8268518518518826E-2</v>
      </c>
    </row>
    <row r="2884" spans="7:8" x14ac:dyDescent="0.3">
      <c r="G2884" s="15">
        <v>7.9972222222222218</v>
      </c>
      <c r="H2884" s="3">
        <v>3.8267592592592901E-2</v>
      </c>
    </row>
    <row r="2885" spans="7:8" x14ac:dyDescent="0.3">
      <c r="G2885" s="15">
        <v>8</v>
      </c>
      <c r="H2885" s="3">
        <v>3.8266666666666976E-2</v>
      </c>
    </row>
    <row r="2886" spans="7:8" x14ac:dyDescent="0.3">
      <c r="G2886" s="15">
        <v>8.0027777777777782</v>
      </c>
      <c r="H2886" s="3">
        <v>3.8265740740741051E-2</v>
      </c>
    </row>
    <row r="2887" spans="7:8" x14ac:dyDescent="0.3">
      <c r="G2887" s="15">
        <v>8.0055555555555564</v>
      </c>
      <c r="H2887" s="3">
        <v>3.8264814814815126E-2</v>
      </c>
    </row>
    <row r="2888" spans="7:8" x14ac:dyDescent="0.3">
      <c r="G2888" s="15">
        <v>8.0083333333333329</v>
      </c>
      <c r="H2888" s="3">
        <v>3.8263888888889201E-2</v>
      </c>
    </row>
    <row r="2889" spans="7:8" x14ac:dyDescent="0.3">
      <c r="G2889" s="15">
        <v>8.0111111111111111</v>
      </c>
      <c r="H2889" s="3">
        <v>3.8262962962963276E-2</v>
      </c>
    </row>
    <row r="2890" spans="7:8" x14ac:dyDescent="0.3">
      <c r="G2890" s="15">
        <v>8.0138888888888893</v>
      </c>
      <c r="H2890" s="3">
        <v>3.8262037037037351E-2</v>
      </c>
    </row>
    <row r="2891" spans="7:8" x14ac:dyDescent="0.3">
      <c r="G2891" s="15">
        <v>8.0166666666666675</v>
      </c>
      <c r="H2891" s="3">
        <v>3.8261111111111426E-2</v>
      </c>
    </row>
    <row r="2892" spans="7:8" x14ac:dyDescent="0.3">
      <c r="G2892" s="15">
        <v>8.0194444444444439</v>
      </c>
      <c r="H2892" s="3">
        <v>3.8260185185185501E-2</v>
      </c>
    </row>
    <row r="2893" spans="7:8" x14ac:dyDescent="0.3">
      <c r="G2893" s="15">
        <v>8.0222222222222221</v>
      </c>
      <c r="H2893" s="3">
        <v>3.8259259259259576E-2</v>
      </c>
    </row>
    <row r="2894" spans="7:8" x14ac:dyDescent="0.3">
      <c r="G2894" s="15">
        <v>8.0250000000000004</v>
      </c>
      <c r="H2894" s="3">
        <v>3.8258333333333651E-2</v>
      </c>
    </row>
    <row r="2895" spans="7:8" x14ac:dyDescent="0.3">
      <c r="G2895" s="15">
        <v>8.0277777777777786</v>
      </c>
      <c r="H2895" s="3">
        <v>3.8257407407407726E-2</v>
      </c>
    </row>
    <row r="2896" spans="7:8" x14ac:dyDescent="0.3">
      <c r="G2896" s="15">
        <v>8.030555555555555</v>
      </c>
      <c r="H2896" s="3">
        <v>3.8256481481481801E-2</v>
      </c>
    </row>
    <row r="2897" spans="7:8" x14ac:dyDescent="0.3">
      <c r="G2897" s="15">
        <v>8.0333333333333332</v>
      </c>
      <c r="H2897" s="3">
        <v>3.8255555555555876E-2</v>
      </c>
    </row>
    <row r="2898" spans="7:8" x14ac:dyDescent="0.3">
      <c r="G2898" s="15">
        <v>8.0361111111111114</v>
      </c>
      <c r="H2898" s="3">
        <v>3.8254629629629951E-2</v>
      </c>
    </row>
    <row r="2899" spans="7:8" x14ac:dyDescent="0.3">
      <c r="G2899" s="15">
        <v>8.0388888888888896</v>
      </c>
      <c r="H2899" s="3">
        <v>3.8253703703704026E-2</v>
      </c>
    </row>
    <row r="2900" spans="7:8" x14ac:dyDescent="0.3">
      <c r="G2900" s="15">
        <v>8.0416666666666661</v>
      </c>
      <c r="H2900" s="3">
        <v>3.8252777777778101E-2</v>
      </c>
    </row>
    <row r="2901" spans="7:8" x14ac:dyDescent="0.3">
      <c r="G2901" s="15">
        <v>8.0444444444444443</v>
      </c>
      <c r="H2901" s="3">
        <v>3.8251851851852176E-2</v>
      </c>
    </row>
    <row r="2902" spans="7:8" x14ac:dyDescent="0.3">
      <c r="G2902" s="15">
        <v>8.0472222222222225</v>
      </c>
      <c r="H2902" s="3">
        <v>3.825092592592625E-2</v>
      </c>
    </row>
    <row r="2903" spans="7:8" x14ac:dyDescent="0.3">
      <c r="G2903" s="15">
        <v>8.0500000000000007</v>
      </c>
      <c r="H2903" s="3">
        <v>3.8250000000000325E-2</v>
      </c>
    </row>
    <row r="2904" spans="7:8" x14ac:dyDescent="0.3">
      <c r="G2904" s="15">
        <v>8.0527777777777771</v>
      </c>
      <c r="H2904" s="3">
        <v>3.82490740740744E-2</v>
      </c>
    </row>
    <row r="2905" spans="7:8" x14ac:dyDescent="0.3">
      <c r="G2905" s="15">
        <v>8.0555555555555554</v>
      </c>
      <c r="H2905" s="3">
        <v>3.8248148148148475E-2</v>
      </c>
    </row>
    <row r="2906" spans="7:8" x14ac:dyDescent="0.3">
      <c r="G2906" s="15">
        <v>8.0583333333333336</v>
      </c>
      <c r="H2906" s="3">
        <v>3.824722222222255E-2</v>
      </c>
    </row>
    <row r="2907" spans="7:8" x14ac:dyDescent="0.3">
      <c r="G2907" s="15">
        <v>8.0611111111111118</v>
      </c>
      <c r="H2907" s="3">
        <v>3.8246296296296625E-2</v>
      </c>
    </row>
    <row r="2908" spans="7:8" x14ac:dyDescent="0.3">
      <c r="G2908" s="15">
        <v>8.0638888888888882</v>
      </c>
      <c r="H2908" s="3">
        <v>3.82453703703707E-2</v>
      </c>
    </row>
    <row r="2909" spans="7:8" x14ac:dyDescent="0.3">
      <c r="G2909" s="15">
        <v>8.0666666666666664</v>
      </c>
      <c r="H2909" s="3">
        <v>3.8244444444444775E-2</v>
      </c>
    </row>
    <row r="2910" spans="7:8" x14ac:dyDescent="0.3">
      <c r="G2910" s="15">
        <v>8.0694444444444446</v>
      </c>
      <c r="H2910" s="3">
        <v>3.824351851851885E-2</v>
      </c>
    </row>
    <row r="2911" spans="7:8" x14ac:dyDescent="0.3">
      <c r="G2911" s="15">
        <v>8.0722222222222229</v>
      </c>
      <c r="H2911" s="3">
        <v>3.8242592592592925E-2</v>
      </c>
    </row>
    <row r="2912" spans="7:8" x14ac:dyDescent="0.3">
      <c r="G2912" s="15">
        <v>8.0749999999999993</v>
      </c>
      <c r="H2912" s="3">
        <v>3.8241666666667E-2</v>
      </c>
    </row>
    <row r="2913" spans="7:8" x14ac:dyDescent="0.3">
      <c r="G2913" s="15">
        <v>8.0777777777777775</v>
      </c>
      <c r="H2913" s="3">
        <v>3.8240740740741075E-2</v>
      </c>
    </row>
    <row r="2914" spans="7:8" x14ac:dyDescent="0.3">
      <c r="G2914" s="15">
        <v>8.0805555555555557</v>
      </c>
      <c r="H2914" s="3">
        <v>3.823981481481515E-2</v>
      </c>
    </row>
    <row r="2915" spans="7:8" x14ac:dyDescent="0.3">
      <c r="G2915" s="15">
        <v>8.0833333333333339</v>
      </c>
      <c r="H2915" s="3">
        <v>3.8238888888889225E-2</v>
      </c>
    </row>
    <row r="2916" spans="7:8" x14ac:dyDescent="0.3">
      <c r="G2916" s="15">
        <v>8.0861111111111104</v>
      </c>
      <c r="H2916" s="3">
        <v>3.82379629629633E-2</v>
      </c>
    </row>
    <row r="2917" spans="7:8" x14ac:dyDescent="0.3">
      <c r="G2917" s="15">
        <v>8.0888888888888886</v>
      </c>
      <c r="H2917" s="3">
        <v>3.8237037037037375E-2</v>
      </c>
    </row>
    <row r="2918" spans="7:8" x14ac:dyDescent="0.3">
      <c r="G2918" s="15">
        <v>8.0916666666666668</v>
      </c>
      <c r="H2918" s="3">
        <v>3.823611111111145E-2</v>
      </c>
    </row>
    <row r="2919" spans="7:8" x14ac:dyDescent="0.3">
      <c r="G2919" s="15">
        <v>8.094444444444445</v>
      </c>
      <c r="H2919" s="3">
        <v>3.8235185185185525E-2</v>
      </c>
    </row>
    <row r="2920" spans="7:8" x14ac:dyDescent="0.3">
      <c r="G2920" s="15">
        <v>8.0972222222222214</v>
      </c>
      <c r="H2920" s="3">
        <v>3.82342592592596E-2</v>
      </c>
    </row>
    <row r="2921" spans="7:8" x14ac:dyDescent="0.3">
      <c r="G2921" s="15">
        <v>8.1</v>
      </c>
      <c r="H2921" s="3">
        <v>3.8233333333333674E-2</v>
      </c>
    </row>
    <row r="2922" spans="7:8" x14ac:dyDescent="0.3">
      <c r="G2922" s="15">
        <v>8.1027777777777779</v>
      </c>
      <c r="H2922" s="3">
        <v>3.8232407407407749E-2</v>
      </c>
    </row>
    <row r="2923" spans="7:8" x14ac:dyDescent="0.3">
      <c r="G2923" s="15">
        <v>8.1055555555555561</v>
      </c>
      <c r="H2923" s="3">
        <v>3.8231481481481824E-2</v>
      </c>
    </row>
    <row r="2924" spans="7:8" x14ac:dyDescent="0.3">
      <c r="G2924" s="15">
        <v>8.1083333333333325</v>
      </c>
      <c r="H2924" s="3">
        <v>3.8230555555555899E-2</v>
      </c>
    </row>
    <row r="2925" spans="7:8" x14ac:dyDescent="0.3">
      <c r="G2925" s="15">
        <v>8.1111111111111107</v>
      </c>
      <c r="H2925" s="3">
        <v>3.8229629629629974E-2</v>
      </c>
    </row>
    <row r="2926" spans="7:8" x14ac:dyDescent="0.3">
      <c r="G2926" s="15">
        <v>8.1138888888888889</v>
      </c>
      <c r="H2926" s="3">
        <v>3.8228703703704049E-2</v>
      </c>
    </row>
    <row r="2927" spans="7:8" x14ac:dyDescent="0.3">
      <c r="G2927" s="15">
        <v>8.1166666666666671</v>
      </c>
      <c r="H2927" s="3">
        <v>3.8227777777778124E-2</v>
      </c>
    </row>
    <row r="2928" spans="7:8" x14ac:dyDescent="0.3">
      <c r="G2928" s="15">
        <v>8.1194444444444436</v>
      </c>
      <c r="H2928" s="3">
        <v>3.8226851851852199E-2</v>
      </c>
    </row>
    <row r="2929" spans="7:8" x14ac:dyDescent="0.3">
      <c r="G2929" s="15">
        <v>8.1222222222222218</v>
      </c>
      <c r="H2929" s="3">
        <v>3.8225925925926274E-2</v>
      </c>
    </row>
    <row r="2930" spans="7:8" x14ac:dyDescent="0.3">
      <c r="G2930" s="15">
        <v>8.125</v>
      </c>
      <c r="H2930" s="3">
        <v>3.8225000000000349E-2</v>
      </c>
    </row>
    <row r="2931" spans="7:8" x14ac:dyDescent="0.3">
      <c r="G2931" s="15">
        <v>8.1277777777777782</v>
      </c>
      <c r="H2931" s="3">
        <v>3.8224074074074424E-2</v>
      </c>
    </row>
    <row r="2932" spans="7:8" x14ac:dyDescent="0.3">
      <c r="G2932" s="15">
        <v>8.1305555555555564</v>
      </c>
      <c r="H2932" s="3">
        <v>3.8223148148148499E-2</v>
      </c>
    </row>
    <row r="2933" spans="7:8" x14ac:dyDescent="0.3">
      <c r="G2933" s="15">
        <v>8.1333333333333329</v>
      </c>
      <c r="H2933" s="3">
        <v>3.8222222222222574E-2</v>
      </c>
    </row>
    <row r="2934" spans="7:8" x14ac:dyDescent="0.3">
      <c r="G2934" s="15">
        <v>8.1361111111111111</v>
      </c>
      <c r="H2934" s="3">
        <v>3.8221296296296649E-2</v>
      </c>
    </row>
    <row r="2935" spans="7:8" x14ac:dyDescent="0.3">
      <c r="G2935" s="15">
        <v>8.1388888888888893</v>
      </c>
      <c r="H2935" s="3">
        <v>3.8220370370370724E-2</v>
      </c>
    </row>
    <row r="2936" spans="7:8" x14ac:dyDescent="0.3">
      <c r="G2936" s="15">
        <v>8.1416666666666675</v>
      </c>
      <c r="H2936" s="3">
        <v>3.8219444444444799E-2</v>
      </c>
    </row>
    <row r="2937" spans="7:8" x14ac:dyDescent="0.3">
      <c r="G2937" s="15">
        <v>8.1444444444444439</v>
      </c>
      <c r="H2937" s="3">
        <v>3.8218518518518874E-2</v>
      </c>
    </row>
    <row r="2938" spans="7:8" x14ac:dyDescent="0.3">
      <c r="G2938" s="15">
        <v>8.1472222222222221</v>
      </c>
      <c r="H2938" s="3">
        <v>3.8217592592592949E-2</v>
      </c>
    </row>
    <row r="2939" spans="7:8" x14ac:dyDescent="0.3">
      <c r="G2939" s="15">
        <v>8.15</v>
      </c>
      <c r="H2939" s="3">
        <v>3.8216666666667023E-2</v>
      </c>
    </row>
    <row r="2940" spans="7:8" x14ac:dyDescent="0.3">
      <c r="G2940" s="15">
        <v>8.1527777777777786</v>
      </c>
      <c r="H2940" s="3">
        <v>3.8215740740741098E-2</v>
      </c>
    </row>
    <row r="2941" spans="7:8" x14ac:dyDescent="0.3">
      <c r="G2941" s="15">
        <v>8.155555555555555</v>
      </c>
      <c r="H2941" s="3">
        <v>3.8214814814815173E-2</v>
      </c>
    </row>
    <row r="2942" spans="7:8" x14ac:dyDescent="0.3">
      <c r="G2942" s="15">
        <v>8.1583333333333332</v>
      </c>
      <c r="H2942" s="3">
        <v>3.8213888888889248E-2</v>
      </c>
    </row>
    <row r="2943" spans="7:8" x14ac:dyDescent="0.3">
      <c r="G2943" s="15">
        <v>8.1611111111111114</v>
      </c>
      <c r="H2943" s="3">
        <v>3.8212962962963323E-2</v>
      </c>
    </row>
    <row r="2944" spans="7:8" x14ac:dyDescent="0.3">
      <c r="G2944" s="15">
        <v>8.1638888888888896</v>
      </c>
      <c r="H2944" s="3">
        <v>3.8212037037037398E-2</v>
      </c>
    </row>
    <row r="2945" spans="7:8" x14ac:dyDescent="0.3">
      <c r="G2945" s="15">
        <v>8.1666666666666661</v>
      </c>
      <c r="H2945" s="3">
        <v>3.8211111111111473E-2</v>
      </c>
    </row>
    <row r="2946" spans="7:8" x14ac:dyDescent="0.3">
      <c r="G2946" s="15">
        <v>8.1694444444444443</v>
      </c>
      <c r="H2946" s="3">
        <v>3.8210185185185548E-2</v>
      </c>
    </row>
    <row r="2947" spans="7:8" x14ac:dyDescent="0.3">
      <c r="G2947" s="15">
        <v>8.1722222222222225</v>
      </c>
      <c r="H2947" s="3">
        <v>3.8209259259259623E-2</v>
      </c>
    </row>
    <row r="2948" spans="7:8" x14ac:dyDescent="0.3">
      <c r="G2948" s="15">
        <v>8.1750000000000007</v>
      </c>
      <c r="H2948" s="3">
        <v>3.8208333333333698E-2</v>
      </c>
    </row>
    <row r="2949" spans="7:8" x14ac:dyDescent="0.3">
      <c r="G2949" s="15">
        <v>8.1777777777777771</v>
      </c>
      <c r="H2949" s="3">
        <v>3.8207407407407773E-2</v>
      </c>
    </row>
    <row r="2950" spans="7:8" x14ac:dyDescent="0.3">
      <c r="G2950" s="15">
        <v>8.1805555555555554</v>
      </c>
      <c r="H2950" s="3">
        <v>3.8206481481481848E-2</v>
      </c>
    </row>
    <row r="2951" spans="7:8" x14ac:dyDescent="0.3">
      <c r="G2951" s="15">
        <v>8.1833333333333336</v>
      </c>
      <c r="H2951" s="3">
        <v>3.8205555555555923E-2</v>
      </c>
    </row>
    <row r="2952" spans="7:8" x14ac:dyDescent="0.3">
      <c r="G2952" s="15">
        <v>8.1861111111111118</v>
      </c>
      <c r="H2952" s="3">
        <v>3.8204629629629998E-2</v>
      </c>
    </row>
    <row r="2953" spans="7:8" x14ac:dyDescent="0.3">
      <c r="G2953" s="15">
        <v>8.1888888888888882</v>
      </c>
      <c r="H2953" s="3">
        <v>3.8203703703704073E-2</v>
      </c>
    </row>
    <row r="2954" spans="7:8" x14ac:dyDescent="0.3">
      <c r="G2954" s="15">
        <v>8.1916666666666664</v>
      </c>
      <c r="H2954" s="3">
        <v>3.8202777777778148E-2</v>
      </c>
    </row>
    <row r="2955" spans="7:8" x14ac:dyDescent="0.3">
      <c r="G2955" s="15">
        <v>8.1944444444444446</v>
      </c>
      <c r="H2955" s="3">
        <v>3.8201851851852223E-2</v>
      </c>
    </row>
    <row r="2956" spans="7:8" x14ac:dyDescent="0.3">
      <c r="G2956" s="15">
        <v>8.1972222222222229</v>
      </c>
      <c r="H2956" s="3">
        <v>3.8200925925926298E-2</v>
      </c>
    </row>
    <row r="2957" spans="7:8" x14ac:dyDescent="0.3">
      <c r="G2957" s="15">
        <v>8.1999999999999993</v>
      </c>
      <c r="H2957" s="3">
        <v>3.8200000000000373E-2</v>
      </c>
    </row>
    <row r="2958" spans="7:8" x14ac:dyDescent="0.3">
      <c r="G2958" s="15">
        <v>8.2027777777777775</v>
      </c>
      <c r="H2958" s="3">
        <v>3.8199074074074447E-2</v>
      </c>
    </row>
    <row r="2959" spans="7:8" x14ac:dyDescent="0.3">
      <c r="G2959" s="15">
        <v>8.2055555555555557</v>
      </c>
      <c r="H2959" s="3">
        <v>3.8198148148148522E-2</v>
      </c>
    </row>
    <row r="2960" spans="7:8" x14ac:dyDescent="0.3">
      <c r="G2960" s="15">
        <v>8.2083333333333339</v>
      </c>
      <c r="H2960" s="3">
        <v>3.8197222222222597E-2</v>
      </c>
    </row>
    <row r="2961" spans="7:8" x14ac:dyDescent="0.3">
      <c r="G2961" s="15">
        <v>8.2111111111111104</v>
      </c>
      <c r="H2961" s="3">
        <v>3.8196296296296672E-2</v>
      </c>
    </row>
    <row r="2962" spans="7:8" x14ac:dyDescent="0.3">
      <c r="G2962" s="15">
        <v>8.2138888888888886</v>
      </c>
      <c r="H2962" s="3">
        <v>3.8195370370370747E-2</v>
      </c>
    </row>
    <row r="2963" spans="7:8" x14ac:dyDescent="0.3">
      <c r="G2963" s="15">
        <v>8.2166666666666668</v>
      </c>
      <c r="H2963" s="3">
        <v>3.8194444444444822E-2</v>
      </c>
    </row>
    <row r="2964" spans="7:8" x14ac:dyDescent="0.3">
      <c r="G2964" s="15">
        <v>8.219444444444445</v>
      </c>
      <c r="H2964" s="3">
        <v>3.8193518518518897E-2</v>
      </c>
    </row>
    <row r="2965" spans="7:8" x14ac:dyDescent="0.3">
      <c r="G2965" s="15">
        <v>8.2222222222222214</v>
      </c>
      <c r="H2965" s="3">
        <v>3.8192592592592972E-2</v>
      </c>
    </row>
    <row r="2966" spans="7:8" x14ac:dyDescent="0.3">
      <c r="G2966" s="15">
        <v>8.2249999999999996</v>
      </c>
      <c r="H2966" s="3">
        <v>3.8191666666667047E-2</v>
      </c>
    </row>
    <row r="2967" spans="7:8" x14ac:dyDescent="0.3">
      <c r="G2967" s="15">
        <v>8.2277777777777779</v>
      </c>
      <c r="H2967" s="3">
        <v>3.8190740740741122E-2</v>
      </c>
    </row>
    <row r="2968" spans="7:8" x14ac:dyDescent="0.3">
      <c r="G2968" s="15">
        <v>8.2305555555555561</v>
      </c>
      <c r="H2968" s="3">
        <v>3.8189814814815197E-2</v>
      </c>
    </row>
    <row r="2969" spans="7:8" x14ac:dyDescent="0.3">
      <c r="G2969" s="15">
        <v>8.2333333333333325</v>
      </c>
      <c r="H2969" s="3">
        <v>3.8188888888889272E-2</v>
      </c>
    </row>
    <row r="2970" spans="7:8" x14ac:dyDescent="0.3">
      <c r="G2970" s="15">
        <v>8.2361111111111107</v>
      </c>
      <c r="H2970" s="3">
        <v>3.8187962962963347E-2</v>
      </c>
    </row>
    <row r="2971" spans="7:8" x14ac:dyDescent="0.3">
      <c r="G2971" s="15">
        <v>8.2388888888888889</v>
      </c>
      <c r="H2971" s="3">
        <v>3.8187037037037422E-2</v>
      </c>
    </row>
    <row r="2972" spans="7:8" x14ac:dyDescent="0.3">
      <c r="G2972" s="15">
        <v>8.2416666666666671</v>
      </c>
      <c r="H2972" s="3">
        <v>3.8186111111111497E-2</v>
      </c>
    </row>
    <row r="2973" spans="7:8" x14ac:dyDescent="0.3">
      <c r="G2973" s="15">
        <v>8.2444444444444436</v>
      </c>
      <c r="H2973" s="3">
        <v>3.8185185185185572E-2</v>
      </c>
    </row>
    <row r="2974" spans="7:8" x14ac:dyDescent="0.3">
      <c r="G2974" s="15">
        <v>8.2472222222222218</v>
      </c>
      <c r="H2974" s="3">
        <v>3.8184259259259647E-2</v>
      </c>
    </row>
    <row r="2975" spans="7:8" x14ac:dyDescent="0.3">
      <c r="G2975" s="15">
        <v>8.25</v>
      </c>
      <c r="H2975" s="3">
        <v>3.8183333333333722E-2</v>
      </c>
    </row>
    <row r="2976" spans="7:8" x14ac:dyDescent="0.3">
      <c r="G2976" s="15">
        <v>8.2527777777777782</v>
      </c>
      <c r="H2976" s="3">
        <v>3.8182407407407797E-2</v>
      </c>
    </row>
    <row r="2977" spans="7:8" x14ac:dyDescent="0.3">
      <c r="G2977" s="15">
        <v>8.2555555555555564</v>
      </c>
      <c r="H2977" s="3">
        <v>3.8181481481481871E-2</v>
      </c>
    </row>
    <row r="2978" spans="7:8" x14ac:dyDescent="0.3">
      <c r="G2978" s="15">
        <v>8.2583333333333329</v>
      </c>
      <c r="H2978" s="3">
        <v>3.8180555555555946E-2</v>
      </c>
    </row>
    <row r="2979" spans="7:8" x14ac:dyDescent="0.3">
      <c r="G2979" s="15">
        <v>8.2611111111111111</v>
      </c>
      <c r="H2979" s="3">
        <v>3.8179629629630021E-2</v>
      </c>
    </row>
    <row r="2980" spans="7:8" x14ac:dyDescent="0.3">
      <c r="G2980" s="15">
        <v>8.2638888888888893</v>
      </c>
      <c r="H2980" s="3">
        <v>3.8178703703704096E-2</v>
      </c>
    </row>
    <row r="2981" spans="7:8" x14ac:dyDescent="0.3">
      <c r="G2981" s="15">
        <v>8.2666666666666675</v>
      </c>
      <c r="H2981" s="3">
        <v>3.8177777777778171E-2</v>
      </c>
    </row>
    <row r="2982" spans="7:8" x14ac:dyDescent="0.3">
      <c r="G2982" s="15">
        <v>8.2694444444444439</v>
      </c>
      <c r="H2982" s="3">
        <v>3.8176851851852246E-2</v>
      </c>
    </row>
    <row r="2983" spans="7:8" x14ac:dyDescent="0.3">
      <c r="G2983" s="15">
        <v>8.2722222222222221</v>
      </c>
      <c r="H2983" s="3">
        <v>3.8175925925926321E-2</v>
      </c>
    </row>
    <row r="2984" spans="7:8" x14ac:dyDescent="0.3">
      <c r="G2984" s="15">
        <v>8.2750000000000004</v>
      </c>
      <c r="H2984" s="3">
        <v>3.8175000000000396E-2</v>
      </c>
    </row>
    <row r="2985" spans="7:8" x14ac:dyDescent="0.3">
      <c r="G2985" s="15">
        <v>8.2777777777777786</v>
      </c>
      <c r="H2985" s="3">
        <v>3.8174074074074471E-2</v>
      </c>
    </row>
    <row r="2986" spans="7:8" x14ac:dyDescent="0.3">
      <c r="G2986" s="15">
        <v>8.280555555555555</v>
      </c>
      <c r="H2986" s="3">
        <v>3.8173148148148546E-2</v>
      </c>
    </row>
    <row r="2987" spans="7:8" x14ac:dyDescent="0.3">
      <c r="G2987" s="15">
        <v>8.2833333333333332</v>
      </c>
      <c r="H2987" s="3">
        <v>3.8172222222222621E-2</v>
      </c>
    </row>
    <row r="2988" spans="7:8" x14ac:dyDescent="0.3">
      <c r="G2988" s="15">
        <v>8.2861111111111114</v>
      </c>
      <c r="H2988" s="3">
        <v>3.8171296296296696E-2</v>
      </c>
    </row>
    <row r="2989" spans="7:8" x14ac:dyDescent="0.3">
      <c r="G2989" s="15">
        <v>8.2888888888888896</v>
      </c>
      <c r="H2989" s="3">
        <v>3.8170370370370771E-2</v>
      </c>
    </row>
    <row r="2990" spans="7:8" x14ac:dyDescent="0.3">
      <c r="G2990" s="15">
        <v>8.2916666666666661</v>
      </c>
      <c r="H2990" s="3">
        <v>3.8169444444444846E-2</v>
      </c>
    </row>
    <row r="2991" spans="7:8" x14ac:dyDescent="0.3">
      <c r="G2991" s="15">
        <v>8.2944444444444443</v>
      </c>
      <c r="H2991" s="3">
        <v>3.8168518518518921E-2</v>
      </c>
    </row>
    <row r="2992" spans="7:8" x14ac:dyDescent="0.3">
      <c r="G2992" s="15">
        <v>8.2972222222222225</v>
      </c>
      <c r="H2992" s="3">
        <v>3.8167592592592996E-2</v>
      </c>
    </row>
    <row r="2993" spans="7:8" x14ac:dyDescent="0.3">
      <c r="G2993" s="15">
        <v>8.3000000000000007</v>
      </c>
      <c r="H2993" s="3">
        <v>3.8166666666667071E-2</v>
      </c>
    </row>
    <row r="2994" spans="7:8" x14ac:dyDescent="0.3">
      <c r="G2994" s="15">
        <v>8.3027777777777771</v>
      </c>
      <c r="H2994" s="3">
        <v>3.8165740740741146E-2</v>
      </c>
    </row>
    <row r="2995" spans="7:8" x14ac:dyDescent="0.3">
      <c r="G2995" s="15">
        <v>8.3055555555555554</v>
      </c>
      <c r="H2995" s="3">
        <v>3.8164814814815221E-2</v>
      </c>
    </row>
    <row r="2996" spans="7:8" x14ac:dyDescent="0.3">
      <c r="G2996" s="15">
        <v>8.3083333333333336</v>
      </c>
      <c r="H2996" s="3">
        <v>3.8163888888889295E-2</v>
      </c>
    </row>
    <row r="2997" spans="7:8" x14ac:dyDescent="0.3">
      <c r="G2997" s="15">
        <v>8.3111111111111118</v>
      </c>
      <c r="H2997" s="3">
        <v>3.816296296296337E-2</v>
      </c>
    </row>
    <row r="2998" spans="7:8" x14ac:dyDescent="0.3">
      <c r="G2998" s="15">
        <v>8.3138888888888882</v>
      </c>
      <c r="H2998" s="3">
        <v>3.8162037037037445E-2</v>
      </c>
    </row>
    <row r="2999" spans="7:8" x14ac:dyDescent="0.3">
      <c r="G2999" s="15">
        <v>8.3166666666666664</v>
      </c>
      <c r="H2999" s="3">
        <v>3.816111111111152E-2</v>
      </c>
    </row>
    <row r="3000" spans="7:8" x14ac:dyDescent="0.3">
      <c r="G3000" s="15">
        <v>8.3194444444444446</v>
      </c>
      <c r="H3000" s="3">
        <v>3.8160185185185595E-2</v>
      </c>
    </row>
    <row r="3001" spans="7:8" x14ac:dyDescent="0.3">
      <c r="G3001" s="15">
        <v>8.3222222222222229</v>
      </c>
      <c r="H3001" s="3">
        <v>3.815925925925967E-2</v>
      </c>
    </row>
    <row r="3002" spans="7:8" x14ac:dyDescent="0.3">
      <c r="G3002" s="15">
        <v>8.3249999999999993</v>
      </c>
      <c r="H3002" s="3">
        <v>3.8158333333333745E-2</v>
      </c>
    </row>
    <row r="3003" spans="7:8" x14ac:dyDescent="0.3">
      <c r="G3003" s="15">
        <v>8.3277777777777775</v>
      </c>
      <c r="H3003" s="3">
        <v>3.815740740740782E-2</v>
      </c>
    </row>
    <row r="3004" spans="7:8" x14ac:dyDescent="0.3">
      <c r="G3004" s="15">
        <v>8.3305555555555557</v>
      </c>
      <c r="H3004" s="3">
        <v>3.8156481481481895E-2</v>
      </c>
    </row>
    <row r="3005" spans="7:8" x14ac:dyDescent="0.3">
      <c r="G3005" s="15">
        <v>8.3333333333333339</v>
      </c>
      <c r="H3005" s="3">
        <v>3.815555555555597E-2</v>
      </c>
    </row>
    <row r="3006" spans="7:8" x14ac:dyDescent="0.3">
      <c r="G3006" s="15">
        <v>8.3361111111111104</v>
      </c>
      <c r="H3006" s="3">
        <v>3.8154629629630045E-2</v>
      </c>
    </row>
    <row r="3007" spans="7:8" x14ac:dyDescent="0.3">
      <c r="G3007" s="15">
        <v>8.3388888888888886</v>
      </c>
      <c r="H3007" s="3">
        <v>3.815370370370412E-2</v>
      </c>
    </row>
    <row r="3008" spans="7:8" x14ac:dyDescent="0.3">
      <c r="G3008" s="15">
        <v>8.3416666666666668</v>
      </c>
      <c r="H3008" s="3">
        <v>3.8152777777778195E-2</v>
      </c>
    </row>
    <row r="3009" spans="7:8" x14ac:dyDescent="0.3">
      <c r="G3009" s="15">
        <v>8.344444444444445</v>
      </c>
      <c r="H3009" s="3">
        <v>3.815185185185227E-2</v>
      </c>
    </row>
    <row r="3010" spans="7:8" x14ac:dyDescent="0.3">
      <c r="G3010" s="15">
        <v>8.3472222222222214</v>
      </c>
      <c r="H3010" s="3">
        <v>3.8150925925926345E-2</v>
      </c>
    </row>
    <row r="3011" spans="7:8" x14ac:dyDescent="0.3">
      <c r="G3011" s="15">
        <v>8.35</v>
      </c>
      <c r="H3011" s="3">
        <v>3.815000000000042E-2</v>
      </c>
    </row>
    <row r="3012" spans="7:8" x14ac:dyDescent="0.3">
      <c r="G3012" s="15">
        <v>8.3527777777777779</v>
      </c>
      <c r="H3012" s="3">
        <v>3.8149074074074495E-2</v>
      </c>
    </row>
    <row r="3013" spans="7:8" x14ac:dyDescent="0.3">
      <c r="G3013" s="15">
        <v>8.3555555555555561</v>
      </c>
      <c r="H3013" s="3">
        <v>3.814814814814857E-2</v>
      </c>
    </row>
    <row r="3014" spans="7:8" x14ac:dyDescent="0.3">
      <c r="G3014" s="15">
        <v>8.3583333333333325</v>
      </c>
      <c r="H3014" s="3">
        <v>3.8147222222222645E-2</v>
      </c>
    </row>
    <row r="3015" spans="7:8" x14ac:dyDescent="0.3">
      <c r="G3015" s="15">
        <v>8.3611111111111107</v>
      </c>
      <c r="H3015" s="3">
        <v>3.8146296296296719E-2</v>
      </c>
    </row>
    <row r="3016" spans="7:8" x14ac:dyDescent="0.3">
      <c r="G3016" s="15">
        <v>8.3638888888888889</v>
      </c>
      <c r="H3016" s="3">
        <v>3.8145370370370794E-2</v>
      </c>
    </row>
    <row r="3017" spans="7:8" x14ac:dyDescent="0.3">
      <c r="G3017" s="15">
        <v>8.3666666666666671</v>
      </c>
      <c r="H3017" s="3">
        <v>3.8144444444444869E-2</v>
      </c>
    </row>
    <row r="3018" spans="7:8" x14ac:dyDescent="0.3">
      <c r="G3018" s="15">
        <v>8.3694444444444436</v>
      </c>
      <c r="H3018" s="3">
        <v>3.8143518518518944E-2</v>
      </c>
    </row>
    <row r="3019" spans="7:8" x14ac:dyDescent="0.3">
      <c r="G3019" s="15">
        <v>8.3722222222222218</v>
      </c>
      <c r="H3019" s="3">
        <v>3.8142592592593019E-2</v>
      </c>
    </row>
    <row r="3020" spans="7:8" x14ac:dyDescent="0.3">
      <c r="G3020" s="15">
        <v>8.375</v>
      </c>
      <c r="H3020" s="3">
        <v>3.8141666666667094E-2</v>
      </c>
    </row>
    <row r="3021" spans="7:8" x14ac:dyDescent="0.3">
      <c r="G3021" s="15">
        <v>8.3777777777777782</v>
      </c>
      <c r="H3021" s="3">
        <v>3.8140740740741169E-2</v>
      </c>
    </row>
    <row r="3022" spans="7:8" x14ac:dyDescent="0.3">
      <c r="G3022" s="15">
        <v>8.3805555555555564</v>
      </c>
      <c r="H3022" s="3">
        <v>3.8139814814815244E-2</v>
      </c>
    </row>
    <row r="3023" spans="7:8" x14ac:dyDescent="0.3">
      <c r="G3023" s="15">
        <v>8.3833333333333329</v>
      </c>
      <c r="H3023" s="3">
        <v>3.8138888888889319E-2</v>
      </c>
    </row>
    <row r="3024" spans="7:8" x14ac:dyDescent="0.3">
      <c r="G3024" s="15">
        <v>8.3861111111111111</v>
      </c>
      <c r="H3024" s="3">
        <v>3.8137962962963394E-2</v>
      </c>
    </row>
    <row r="3025" spans="7:8" x14ac:dyDescent="0.3">
      <c r="G3025" s="15">
        <v>8.3888888888888893</v>
      </c>
      <c r="H3025" s="3">
        <v>3.8137037037037469E-2</v>
      </c>
    </row>
    <row r="3026" spans="7:8" x14ac:dyDescent="0.3">
      <c r="G3026" s="15">
        <v>8.3916666666666675</v>
      </c>
      <c r="H3026" s="3">
        <v>3.8136111111111544E-2</v>
      </c>
    </row>
    <row r="3027" spans="7:8" x14ac:dyDescent="0.3">
      <c r="G3027" s="15">
        <v>8.3944444444444439</v>
      </c>
      <c r="H3027" s="3">
        <v>3.8135185185185619E-2</v>
      </c>
    </row>
    <row r="3028" spans="7:8" x14ac:dyDescent="0.3">
      <c r="G3028" s="15">
        <v>8.3972222222222221</v>
      </c>
      <c r="H3028" s="3">
        <v>3.8134259259259694E-2</v>
      </c>
    </row>
    <row r="3029" spans="7:8" x14ac:dyDescent="0.3">
      <c r="G3029" s="15">
        <v>8.4</v>
      </c>
      <c r="H3029" s="3">
        <v>3.8133333333333769E-2</v>
      </c>
    </row>
    <row r="3030" spans="7:8" x14ac:dyDescent="0.3">
      <c r="G3030" s="15">
        <v>8.4027777777777786</v>
      </c>
      <c r="H3030" s="3">
        <v>3.8132407407407844E-2</v>
      </c>
    </row>
    <row r="3031" spans="7:8" x14ac:dyDescent="0.3">
      <c r="G3031" s="15">
        <v>8.405555555555555</v>
      </c>
      <c r="H3031" s="3">
        <v>3.8131481481481919E-2</v>
      </c>
    </row>
    <row r="3032" spans="7:8" x14ac:dyDescent="0.3">
      <c r="G3032" s="15">
        <v>8.4083333333333332</v>
      </c>
      <c r="H3032" s="3">
        <v>3.8130555555555994E-2</v>
      </c>
    </row>
    <row r="3033" spans="7:8" x14ac:dyDescent="0.3">
      <c r="G3033" s="15">
        <v>8.4111111111111114</v>
      </c>
      <c r="H3033" s="3">
        <v>3.8129629629630069E-2</v>
      </c>
    </row>
    <row r="3034" spans="7:8" x14ac:dyDescent="0.3">
      <c r="G3034" s="15">
        <v>8.4138888888888896</v>
      </c>
      <c r="H3034" s="3">
        <v>3.8128703703704143E-2</v>
      </c>
    </row>
    <row r="3035" spans="7:8" x14ac:dyDescent="0.3">
      <c r="G3035" s="15">
        <v>8.4166666666666661</v>
      </c>
      <c r="H3035" s="3">
        <v>3.8127777777778218E-2</v>
      </c>
    </row>
    <row r="3036" spans="7:8" x14ac:dyDescent="0.3">
      <c r="G3036" s="15">
        <v>8.4194444444444443</v>
      </c>
      <c r="H3036" s="3">
        <v>3.8126851851852293E-2</v>
      </c>
    </row>
    <row r="3037" spans="7:8" x14ac:dyDescent="0.3">
      <c r="G3037" s="15">
        <v>8.4222222222222225</v>
      </c>
      <c r="H3037" s="3">
        <v>3.8125925925926368E-2</v>
      </c>
    </row>
    <row r="3038" spans="7:8" x14ac:dyDescent="0.3">
      <c r="G3038" s="15">
        <v>8.4250000000000007</v>
      </c>
      <c r="H3038" s="3">
        <v>3.8125000000000443E-2</v>
      </c>
    </row>
    <row r="3039" spans="7:8" x14ac:dyDescent="0.3">
      <c r="G3039" s="15">
        <v>8.4277777777777771</v>
      </c>
      <c r="H3039" s="3">
        <v>3.8124074074074518E-2</v>
      </c>
    </row>
    <row r="3040" spans="7:8" x14ac:dyDescent="0.3">
      <c r="G3040" s="15">
        <v>8.4305555555555554</v>
      </c>
      <c r="H3040" s="3">
        <v>3.8123148148148593E-2</v>
      </c>
    </row>
    <row r="3041" spans="7:8" x14ac:dyDescent="0.3">
      <c r="G3041" s="15">
        <v>8.4333333333333336</v>
      </c>
      <c r="H3041" s="3">
        <v>3.8122222222222668E-2</v>
      </c>
    </row>
    <row r="3042" spans="7:8" x14ac:dyDescent="0.3">
      <c r="G3042" s="15">
        <v>8.4361111111111118</v>
      </c>
      <c r="H3042" s="3">
        <v>3.8121296296296743E-2</v>
      </c>
    </row>
    <row r="3043" spans="7:8" x14ac:dyDescent="0.3">
      <c r="G3043" s="15">
        <v>8.4388888888888882</v>
      </c>
      <c r="H3043" s="3">
        <v>3.8120370370370818E-2</v>
      </c>
    </row>
    <row r="3044" spans="7:8" x14ac:dyDescent="0.3">
      <c r="G3044" s="15">
        <v>8.4416666666666664</v>
      </c>
      <c r="H3044" s="3">
        <v>3.8119444444444893E-2</v>
      </c>
    </row>
    <row r="3045" spans="7:8" x14ac:dyDescent="0.3">
      <c r="G3045" s="15">
        <v>8.4444444444444446</v>
      </c>
      <c r="H3045" s="3">
        <v>3.8118518518518968E-2</v>
      </c>
    </row>
    <row r="3046" spans="7:8" x14ac:dyDescent="0.3">
      <c r="G3046" s="15">
        <v>8.4472222222222229</v>
      </c>
      <c r="H3046" s="3">
        <v>3.8117592592593043E-2</v>
      </c>
    </row>
    <row r="3047" spans="7:8" x14ac:dyDescent="0.3">
      <c r="G3047" s="15">
        <v>8.4499999999999993</v>
      </c>
      <c r="H3047" s="3">
        <v>3.8116666666667118E-2</v>
      </c>
    </row>
    <row r="3048" spans="7:8" x14ac:dyDescent="0.3">
      <c r="G3048" s="15">
        <v>8.4527777777777775</v>
      </c>
      <c r="H3048" s="3">
        <v>3.8115740740741193E-2</v>
      </c>
    </row>
    <row r="3049" spans="7:8" x14ac:dyDescent="0.3">
      <c r="G3049" s="15">
        <v>8.4555555555555557</v>
      </c>
      <c r="H3049" s="3">
        <v>3.8114814814815268E-2</v>
      </c>
    </row>
    <row r="3050" spans="7:8" x14ac:dyDescent="0.3">
      <c r="G3050" s="15">
        <v>8.4583333333333339</v>
      </c>
      <c r="H3050" s="3">
        <v>3.8113888888889343E-2</v>
      </c>
    </row>
    <row r="3051" spans="7:8" x14ac:dyDescent="0.3">
      <c r="G3051" s="15">
        <v>8.4611111111111104</v>
      </c>
      <c r="H3051" s="3">
        <v>3.8112962962963418E-2</v>
      </c>
    </row>
    <row r="3052" spans="7:8" x14ac:dyDescent="0.3">
      <c r="G3052" s="15">
        <v>8.4638888888888886</v>
      </c>
      <c r="H3052" s="3">
        <v>3.8112037037037493E-2</v>
      </c>
    </row>
    <row r="3053" spans="7:8" x14ac:dyDescent="0.3">
      <c r="G3053" s="15">
        <v>8.4666666666666668</v>
      </c>
      <c r="H3053" s="3">
        <v>3.8111111111111567E-2</v>
      </c>
    </row>
    <row r="3054" spans="7:8" x14ac:dyDescent="0.3">
      <c r="G3054" s="15">
        <v>8.469444444444445</v>
      </c>
      <c r="H3054" s="3">
        <v>3.8110185185185642E-2</v>
      </c>
    </row>
    <row r="3055" spans="7:8" x14ac:dyDescent="0.3">
      <c r="G3055" s="15">
        <v>8.4722222222222214</v>
      </c>
      <c r="H3055" s="3">
        <v>3.8109259259259717E-2</v>
      </c>
    </row>
    <row r="3056" spans="7:8" x14ac:dyDescent="0.3">
      <c r="G3056" s="15">
        <v>8.4749999999999996</v>
      </c>
      <c r="H3056" s="3">
        <v>3.8108333333333792E-2</v>
      </c>
    </row>
    <row r="3057" spans="7:8" x14ac:dyDescent="0.3">
      <c r="G3057" s="15">
        <v>8.4777777777777779</v>
      </c>
      <c r="H3057" s="3">
        <v>3.8107407407407867E-2</v>
      </c>
    </row>
    <row r="3058" spans="7:8" x14ac:dyDescent="0.3">
      <c r="G3058" s="15">
        <v>8.4805555555555561</v>
      </c>
      <c r="H3058" s="3">
        <v>3.8106481481481942E-2</v>
      </c>
    </row>
    <row r="3059" spans="7:8" x14ac:dyDescent="0.3">
      <c r="G3059" s="15">
        <v>8.4833333333333325</v>
      </c>
      <c r="H3059" s="3">
        <v>3.8105555555556017E-2</v>
      </c>
    </row>
    <row r="3060" spans="7:8" x14ac:dyDescent="0.3">
      <c r="G3060" s="15">
        <v>8.4861111111111107</v>
      </c>
      <c r="H3060" s="3">
        <v>3.8104629629630092E-2</v>
      </c>
    </row>
    <row r="3061" spans="7:8" x14ac:dyDescent="0.3">
      <c r="G3061" s="15">
        <v>8.4888888888888889</v>
      </c>
      <c r="H3061" s="3">
        <v>3.8103703703704167E-2</v>
      </c>
    </row>
    <row r="3062" spans="7:8" x14ac:dyDescent="0.3">
      <c r="G3062" s="15">
        <v>8.4916666666666671</v>
      </c>
      <c r="H3062" s="3">
        <v>3.8102777777778242E-2</v>
      </c>
    </row>
    <row r="3063" spans="7:8" x14ac:dyDescent="0.3">
      <c r="G3063" s="15">
        <v>8.4944444444444436</v>
      </c>
      <c r="H3063" s="3">
        <v>3.8101851851852317E-2</v>
      </c>
    </row>
    <row r="3064" spans="7:8" x14ac:dyDescent="0.3">
      <c r="G3064" s="15">
        <v>8.4972222222222218</v>
      </c>
      <c r="H3064" s="3">
        <v>3.8100925925926392E-2</v>
      </c>
    </row>
    <row r="3065" spans="7:8" x14ac:dyDescent="0.3">
      <c r="G3065" s="15">
        <v>8.5</v>
      </c>
      <c r="H3065" s="3">
        <v>3.8100000000000467E-2</v>
      </c>
    </row>
    <row r="3066" spans="7:8" x14ac:dyDescent="0.3">
      <c r="G3066" s="15">
        <v>8.5027777777777782</v>
      </c>
      <c r="H3066" s="3">
        <v>3.8099074074074542E-2</v>
      </c>
    </row>
    <row r="3067" spans="7:8" x14ac:dyDescent="0.3">
      <c r="G3067" s="15">
        <v>8.5055555555555564</v>
      </c>
      <c r="H3067" s="3">
        <v>3.8098148148148617E-2</v>
      </c>
    </row>
    <row r="3068" spans="7:8" x14ac:dyDescent="0.3">
      <c r="G3068" s="15">
        <v>8.5083333333333329</v>
      </c>
      <c r="H3068" s="3">
        <v>3.8097222222222692E-2</v>
      </c>
    </row>
    <row r="3069" spans="7:8" x14ac:dyDescent="0.3">
      <c r="G3069" s="15">
        <v>8.5111111111111111</v>
      </c>
      <c r="H3069" s="3">
        <v>3.8096296296296767E-2</v>
      </c>
    </row>
    <row r="3070" spans="7:8" x14ac:dyDescent="0.3">
      <c r="G3070" s="15">
        <v>8.5138888888888893</v>
      </c>
      <c r="H3070" s="3">
        <v>3.8095370370370842E-2</v>
      </c>
    </row>
    <row r="3071" spans="7:8" x14ac:dyDescent="0.3">
      <c r="G3071" s="15">
        <v>8.5166666666666675</v>
      </c>
      <c r="H3071" s="3">
        <v>3.8094444444444917E-2</v>
      </c>
    </row>
    <row r="3072" spans="7:8" x14ac:dyDescent="0.3">
      <c r="G3072" s="15">
        <v>8.5194444444444439</v>
      </c>
      <c r="H3072" s="3">
        <v>3.8093518518518991E-2</v>
      </c>
    </row>
    <row r="3073" spans="7:8" x14ac:dyDescent="0.3">
      <c r="G3073" s="15">
        <v>8.5222222222222221</v>
      </c>
      <c r="H3073" s="3">
        <v>3.8092592592593066E-2</v>
      </c>
    </row>
    <row r="3074" spans="7:8" x14ac:dyDescent="0.3">
      <c r="G3074" s="15">
        <v>8.5250000000000004</v>
      </c>
      <c r="H3074" s="3">
        <v>3.8091666666667141E-2</v>
      </c>
    </row>
    <row r="3075" spans="7:8" x14ac:dyDescent="0.3">
      <c r="G3075" s="15">
        <v>8.5277777777777786</v>
      </c>
      <c r="H3075" s="3">
        <v>3.8090740740741216E-2</v>
      </c>
    </row>
    <row r="3076" spans="7:8" x14ac:dyDescent="0.3">
      <c r="G3076" s="15">
        <v>8.530555555555555</v>
      </c>
      <c r="H3076" s="3">
        <v>3.8089814814815291E-2</v>
      </c>
    </row>
    <row r="3077" spans="7:8" x14ac:dyDescent="0.3">
      <c r="G3077" s="15">
        <v>8.5333333333333332</v>
      </c>
      <c r="H3077" s="3">
        <v>3.8088888888889366E-2</v>
      </c>
    </row>
    <row r="3078" spans="7:8" x14ac:dyDescent="0.3">
      <c r="G3078" s="15">
        <v>8.5361111111111114</v>
      </c>
      <c r="H3078" s="3">
        <v>3.8087962962963441E-2</v>
      </c>
    </row>
    <row r="3079" spans="7:8" x14ac:dyDescent="0.3">
      <c r="G3079" s="15">
        <v>8.5388888888888896</v>
      </c>
      <c r="H3079" s="3">
        <v>3.8087037037037516E-2</v>
      </c>
    </row>
    <row r="3080" spans="7:8" x14ac:dyDescent="0.3">
      <c r="G3080" s="15">
        <v>8.5416666666666661</v>
      </c>
      <c r="H3080" s="3">
        <v>3.8086111111111591E-2</v>
      </c>
    </row>
    <row r="3081" spans="7:8" x14ac:dyDescent="0.3">
      <c r="G3081" s="15">
        <v>8.5444444444444443</v>
      </c>
      <c r="H3081" s="3">
        <v>3.8085185185185666E-2</v>
      </c>
    </row>
    <row r="3082" spans="7:8" x14ac:dyDescent="0.3">
      <c r="G3082" s="15">
        <v>8.5472222222222225</v>
      </c>
      <c r="H3082" s="3">
        <v>3.8084259259259741E-2</v>
      </c>
    </row>
    <row r="3083" spans="7:8" x14ac:dyDescent="0.3">
      <c r="G3083" s="15">
        <v>8.5500000000000007</v>
      </c>
      <c r="H3083" s="3">
        <v>3.8083333333333816E-2</v>
      </c>
    </row>
    <row r="3084" spans="7:8" x14ac:dyDescent="0.3">
      <c r="G3084" s="15">
        <v>8.5527777777777771</v>
      </c>
      <c r="H3084" s="3">
        <v>3.8082407407407891E-2</v>
      </c>
    </row>
    <row r="3085" spans="7:8" x14ac:dyDescent="0.3">
      <c r="G3085" s="15">
        <v>8.5555555555555554</v>
      </c>
      <c r="H3085" s="3">
        <v>3.8081481481481966E-2</v>
      </c>
    </row>
    <row r="3086" spans="7:8" x14ac:dyDescent="0.3">
      <c r="G3086" s="15">
        <v>8.5583333333333336</v>
      </c>
      <c r="H3086" s="3">
        <v>3.8080555555556041E-2</v>
      </c>
    </row>
    <row r="3087" spans="7:8" x14ac:dyDescent="0.3">
      <c r="G3087" s="15">
        <v>8.5611111111111118</v>
      </c>
      <c r="H3087" s="3">
        <v>3.8079629629630116E-2</v>
      </c>
    </row>
    <row r="3088" spans="7:8" x14ac:dyDescent="0.3">
      <c r="G3088" s="15">
        <v>8.5638888888888882</v>
      </c>
      <c r="H3088" s="3">
        <v>3.8078703703704191E-2</v>
      </c>
    </row>
    <row r="3089" spans="7:8" x14ac:dyDescent="0.3">
      <c r="G3089" s="15">
        <v>8.5666666666666664</v>
      </c>
      <c r="H3089" s="3">
        <v>3.8077777777778266E-2</v>
      </c>
    </row>
    <row r="3090" spans="7:8" x14ac:dyDescent="0.3">
      <c r="G3090" s="15">
        <v>8.5694444444444446</v>
      </c>
      <c r="H3090" s="3">
        <v>3.8076851851852341E-2</v>
      </c>
    </row>
    <row r="3091" spans="7:8" x14ac:dyDescent="0.3">
      <c r="G3091" s="15">
        <v>8.5722222222222229</v>
      </c>
      <c r="H3091" s="3">
        <v>3.8075925925926415E-2</v>
      </c>
    </row>
    <row r="3092" spans="7:8" x14ac:dyDescent="0.3">
      <c r="G3092" s="15">
        <v>8.5749999999999993</v>
      </c>
      <c r="H3092" s="3">
        <v>3.807500000000049E-2</v>
      </c>
    </row>
    <row r="3093" spans="7:8" x14ac:dyDescent="0.3">
      <c r="G3093" s="15">
        <v>8.5777777777777775</v>
      </c>
      <c r="H3093" s="3">
        <v>3.8074074074074565E-2</v>
      </c>
    </row>
    <row r="3094" spans="7:8" x14ac:dyDescent="0.3">
      <c r="G3094" s="15">
        <v>8.5805555555555557</v>
      </c>
      <c r="H3094" s="3">
        <v>3.807314814814864E-2</v>
      </c>
    </row>
    <row r="3095" spans="7:8" x14ac:dyDescent="0.3">
      <c r="G3095" s="15">
        <v>8.5833333333333339</v>
      </c>
      <c r="H3095" s="3">
        <v>3.8072222222222715E-2</v>
      </c>
    </row>
    <row r="3096" spans="7:8" x14ac:dyDescent="0.3">
      <c r="G3096" s="15">
        <v>8.5861111111111104</v>
      </c>
      <c r="H3096" s="3">
        <v>3.807129629629679E-2</v>
      </c>
    </row>
    <row r="3097" spans="7:8" x14ac:dyDescent="0.3">
      <c r="G3097" s="15">
        <v>8.5888888888888886</v>
      </c>
      <c r="H3097" s="3">
        <v>3.8070370370370865E-2</v>
      </c>
    </row>
    <row r="3098" spans="7:8" x14ac:dyDescent="0.3">
      <c r="G3098" s="15">
        <v>8.5916666666666668</v>
      </c>
      <c r="H3098" s="3">
        <v>3.806944444444494E-2</v>
      </c>
    </row>
    <row r="3099" spans="7:8" x14ac:dyDescent="0.3">
      <c r="G3099" s="15">
        <v>8.594444444444445</v>
      </c>
      <c r="H3099" s="3">
        <v>3.8068518518519015E-2</v>
      </c>
    </row>
    <row r="3100" spans="7:8" x14ac:dyDescent="0.3">
      <c r="G3100" s="15">
        <v>8.5972222222222214</v>
      </c>
      <c r="H3100" s="3">
        <v>3.806759259259309E-2</v>
      </c>
    </row>
    <row r="3101" spans="7:8" x14ac:dyDescent="0.3">
      <c r="G3101" s="15">
        <v>8.6</v>
      </c>
      <c r="H3101" s="3">
        <v>3.8066666666667165E-2</v>
      </c>
    </row>
    <row r="3102" spans="7:8" x14ac:dyDescent="0.3">
      <c r="G3102" s="15">
        <v>8.6027777777777779</v>
      </c>
      <c r="H3102" s="3">
        <v>3.806574074074124E-2</v>
      </c>
    </row>
    <row r="3103" spans="7:8" x14ac:dyDescent="0.3">
      <c r="G3103" s="15">
        <v>8.6055555555555561</v>
      </c>
      <c r="H3103" s="3">
        <v>3.8064814814815315E-2</v>
      </c>
    </row>
    <row r="3104" spans="7:8" x14ac:dyDescent="0.3">
      <c r="G3104" s="15">
        <v>8.6083333333333325</v>
      </c>
      <c r="H3104" s="3">
        <v>3.806388888888939E-2</v>
      </c>
    </row>
    <row r="3105" spans="7:8" x14ac:dyDescent="0.3">
      <c r="G3105" s="15">
        <v>8.6111111111111107</v>
      </c>
      <c r="H3105" s="3">
        <v>3.8062962962963465E-2</v>
      </c>
    </row>
    <row r="3106" spans="7:8" x14ac:dyDescent="0.3">
      <c r="G3106" s="15">
        <v>8.6138888888888889</v>
      </c>
      <c r="H3106" s="3">
        <v>3.806203703703754E-2</v>
      </c>
    </row>
    <row r="3107" spans="7:8" x14ac:dyDescent="0.3">
      <c r="G3107" s="15">
        <v>8.6166666666666671</v>
      </c>
      <c r="H3107" s="3">
        <v>3.8061111111111615E-2</v>
      </c>
    </row>
    <row r="3108" spans="7:8" x14ac:dyDescent="0.3">
      <c r="G3108" s="15">
        <v>8.6194444444444436</v>
      </c>
      <c r="H3108" s="3">
        <v>3.806018518518569E-2</v>
      </c>
    </row>
    <row r="3109" spans="7:8" x14ac:dyDescent="0.3">
      <c r="G3109" s="15">
        <v>8.6222222222222218</v>
      </c>
      <c r="H3109" s="3">
        <v>3.8059259259259764E-2</v>
      </c>
    </row>
    <row r="3110" spans="7:8" x14ac:dyDescent="0.3">
      <c r="G3110" s="15">
        <v>8.625</v>
      </c>
      <c r="H3110" s="3">
        <v>3.8058333333333839E-2</v>
      </c>
    </row>
    <row r="3111" spans="7:8" x14ac:dyDescent="0.3">
      <c r="G3111" s="15">
        <v>8.6277777777777782</v>
      </c>
      <c r="H3111" s="3">
        <v>3.8057407407407914E-2</v>
      </c>
    </row>
    <row r="3112" spans="7:8" x14ac:dyDescent="0.3">
      <c r="G3112" s="15">
        <v>8.6305555555555564</v>
      </c>
      <c r="H3112" s="3">
        <v>3.8056481481481989E-2</v>
      </c>
    </row>
    <row r="3113" spans="7:8" x14ac:dyDescent="0.3">
      <c r="G3113" s="15">
        <v>8.6333333333333329</v>
      </c>
      <c r="H3113" s="3">
        <v>3.8055555555556064E-2</v>
      </c>
    </row>
    <row r="3114" spans="7:8" x14ac:dyDescent="0.3">
      <c r="G3114" s="15">
        <v>8.6361111111111111</v>
      </c>
      <c r="H3114" s="3">
        <v>3.8054629629630139E-2</v>
      </c>
    </row>
    <row r="3115" spans="7:8" x14ac:dyDescent="0.3">
      <c r="G3115" s="15">
        <v>8.6388888888888893</v>
      </c>
      <c r="H3115" s="3">
        <v>3.8053703703704214E-2</v>
      </c>
    </row>
    <row r="3116" spans="7:8" x14ac:dyDescent="0.3">
      <c r="G3116" s="15">
        <v>8.6416666666666675</v>
      </c>
      <c r="H3116" s="3">
        <v>3.8052777777778289E-2</v>
      </c>
    </row>
    <row r="3117" spans="7:8" x14ac:dyDescent="0.3">
      <c r="G3117" s="15">
        <v>8.6444444444444439</v>
      </c>
      <c r="H3117" s="3">
        <v>3.8051851851852364E-2</v>
      </c>
    </row>
    <row r="3118" spans="7:8" x14ac:dyDescent="0.3">
      <c r="G3118" s="15">
        <v>8.6472222222222221</v>
      </c>
      <c r="H3118" s="3">
        <v>3.8050925925926439E-2</v>
      </c>
    </row>
    <row r="3119" spans="7:8" x14ac:dyDescent="0.3">
      <c r="G3119" s="15">
        <v>8.65</v>
      </c>
      <c r="H3119" s="3">
        <v>3.8050000000000514E-2</v>
      </c>
    </row>
    <row r="3120" spans="7:8" x14ac:dyDescent="0.3">
      <c r="G3120" s="15">
        <v>8.6527777777777786</v>
      </c>
      <c r="H3120" s="3">
        <v>3.8049074074074589E-2</v>
      </c>
    </row>
    <row r="3121" spans="7:8" x14ac:dyDescent="0.3">
      <c r="G3121" s="15">
        <v>8.655555555555555</v>
      </c>
      <c r="H3121" s="3">
        <v>3.8048148148148664E-2</v>
      </c>
    </row>
    <row r="3122" spans="7:8" x14ac:dyDescent="0.3">
      <c r="G3122" s="15">
        <v>8.6583333333333332</v>
      </c>
      <c r="H3122" s="3">
        <v>3.8047222222222739E-2</v>
      </c>
    </row>
    <row r="3123" spans="7:8" x14ac:dyDescent="0.3">
      <c r="G3123" s="15">
        <v>8.6611111111111114</v>
      </c>
      <c r="H3123" s="3">
        <v>3.8046296296296814E-2</v>
      </c>
    </row>
    <row r="3124" spans="7:8" x14ac:dyDescent="0.3">
      <c r="G3124" s="15">
        <v>8.6638888888888896</v>
      </c>
      <c r="H3124" s="3">
        <v>3.8045370370370889E-2</v>
      </c>
    </row>
    <row r="3125" spans="7:8" x14ac:dyDescent="0.3">
      <c r="G3125" s="15">
        <v>8.6666666666666661</v>
      </c>
      <c r="H3125" s="3">
        <v>3.8044444444444964E-2</v>
      </c>
    </row>
    <row r="3126" spans="7:8" x14ac:dyDescent="0.3">
      <c r="G3126" s="15">
        <v>8.6694444444444443</v>
      </c>
      <c r="H3126" s="3">
        <v>3.8043518518519039E-2</v>
      </c>
    </row>
    <row r="3127" spans="7:8" x14ac:dyDescent="0.3">
      <c r="G3127" s="15">
        <v>8.6722222222222225</v>
      </c>
      <c r="H3127" s="3">
        <v>3.8042592592593114E-2</v>
      </c>
    </row>
    <row r="3128" spans="7:8" x14ac:dyDescent="0.3">
      <c r="G3128" s="15">
        <v>8.6750000000000007</v>
      </c>
      <c r="H3128" s="3">
        <v>3.8041666666667188E-2</v>
      </c>
    </row>
    <row r="3129" spans="7:8" x14ac:dyDescent="0.3">
      <c r="G3129" s="15">
        <v>8.6777777777777771</v>
      </c>
      <c r="H3129" s="3">
        <v>3.8040740740741263E-2</v>
      </c>
    </row>
    <row r="3130" spans="7:8" x14ac:dyDescent="0.3">
      <c r="G3130" s="15">
        <v>8.6805555555555554</v>
      </c>
      <c r="H3130" s="3">
        <v>3.8039814814815338E-2</v>
      </c>
    </row>
    <row r="3131" spans="7:8" x14ac:dyDescent="0.3">
      <c r="G3131" s="15">
        <v>8.6833333333333336</v>
      </c>
      <c r="H3131" s="3">
        <v>3.8038888888889413E-2</v>
      </c>
    </row>
    <row r="3132" spans="7:8" x14ac:dyDescent="0.3">
      <c r="G3132" s="15">
        <v>8.6861111111111118</v>
      </c>
      <c r="H3132" s="3">
        <v>3.8037962962963488E-2</v>
      </c>
    </row>
    <row r="3133" spans="7:8" x14ac:dyDescent="0.3">
      <c r="G3133" s="15">
        <v>8.6888888888888882</v>
      </c>
      <c r="H3133" s="3">
        <v>3.8037037037037563E-2</v>
      </c>
    </row>
    <row r="3134" spans="7:8" x14ac:dyDescent="0.3">
      <c r="G3134" s="15">
        <v>8.6916666666666664</v>
      </c>
      <c r="H3134" s="3">
        <v>3.8036111111111638E-2</v>
      </c>
    </row>
    <row r="3135" spans="7:8" x14ac:dyDescent="0.3">
      <c r="G3135" s="15">
        <v>8.6944444444444446</v>
      </c>
      <c r="H3135" s="3">
        <v>3.8035185185185713E-2</v>
      </c>
    </row>
    <row r="3136" spans="7:8" x14ac:dyDescent="0.3">
      <c r="G3136" s="15">
        <v>8.6972222222222229</v>
      </c>
      <c r="H3136" s="3">
        <v>3.8034259259259788E-2</v>
      </c>
    </row>
    <row r="3137" spans="7:8" x14ac:dyDescent="0.3">
      <c r="G3137" s="15">
        <v>8.6999999999999993</v>
      </c>
      <c r="H3137" s="3">
        <v>3.8033333333333863E-2</v>
      </c>
    </row>
    <row r="3138" spans="7:8" x14ac:dyDescent="0.3">
      <c r="G3138" s="15">
        <v>8.7027777777777775</v>
      </c>
      <c r="H3138" s="3">
        <v>3.8032407407407938E-2</v>
      </c>
    </row>
    <row r="3139" spans="7:8" x14ac:dyDescent="0.3">
      <c r="G3139" s="15">
        <v>8.7055555555555557</v>
      </c>
      <c r="H3139" s="3">
        <v>3.8031481481482013E-2</v>
      </c>
    </row>
    <row r="3140" spans="7:8" x14ac:dyDescent="0.3">
      <c r="G3140" s="15">
        <v>8.7083333333333339</v>
      </c>
      <c r="H3140" s="3">
        <v>3.8030555555556088E-2</v>
      </c>
    </row>
    <row r="3141" spans="7:8" x14ac:dyDescent="0.3">
      <c r="G3141" s="15">
        <v>8.7111111111111104</v>
      </c>
      <c r="H3141" s="3">
        <v>3.8029629629630163E-2</v>
      </c>
    </row>
    <row r="3142" spans="7:8" x14ac:dyDescent="0.3">
      <c r="G3142" s="15">
        <v>8.7138888888888886</v>
      </c>
      <c r="H3142" s="3">
        <v>3.8028703703704238E-2</v>
      </c>
    </row>
    <row r="3143" spans="7:8" x14ac:dyDescent="0.3">
      <c r="G3143" s="15">
        <v>8.7166666666666668</v>
      </c>
      <c r="H3143" s="3">
        <v>3.8027777777778313E-2</v>
      </c>
    </row>
    <row r="3144" spans="7:8" x14ac:dyDescent="0.3">
      <c r="G3144" s="15">
        <v>8.719444444444445</v>
      </c>
      <c r="H3144" s="3">
        <v>3.8026851851852388E-2</v>
      </c>
    </row>
    <row r="3145" spans="7:8" x14ac:dyDescent="0.3">
      <c r="G3145" s="15">
        <v>8.7222222222222214</v>
      </c>
      <c r="H3145" s="3">
        <v>3.8025925925926463E-2</v>
      </c>
    </row>
    <row r="3146" spans="7:8" x14ac:dyDescent="0.3">
      <c r="G3146" s="15">
        <v>8.7249999999999996</v>
      </c>
      <c r="H3146" s="3">
        <v>3.8025000000000538E-2</v>
      </c>
    </row>
    <row r="3147" spans="7:8" x14ac:dyDescent="0.3">
      <c r="G3147" s="15">
        <v>8.7277777777777779</v>
      </c>
      <c r="H3147" s="3">
        <v>3.8024074074074612E-2</v>
      </c>
    </row>
    <row r="3148" spans="7:8" x14ac:dyDescent="0.3">
      <c r="G3148" s="15">
        <v>8.7305555555555561</v>
      </c>
      <c r="H3148" s="3">
        <v>3.8023148148148687E-2</v>
      </c>
    </row>
    <row r="3149" spans="7:8" x14ac:dyDescent="0.3">
      <c r="G3149" s="15">
        <v>8.7333333333333325</v>
      </c>
      <c r="H3149" s="3">
        <v>3.8022222222222762E-2</v>
      </c>
    </row>
    <row r="3150" spans="7:8" x14ac:dyDescent="0.3">
      <c r="G3150" s="15">
        <v>8.7361111111111107</v>
      </c>
      <c r="H3150" s="3">
        <v>3.8021296296296837E-2</v>
      </c>
    </row>
    <row r="3151" spans="7:8" x14ac:dyDescent="0.3">
      <c r="G3151" s="15">
        <v>8.7388888888888889</v>
      </c>
      <c r="H3151" s="3">
        <v>3.8020370370370912E-2</v>
      </c>
    </row>
    <row r="3152" spans="7:8" x14ac:dyDescent="0.3">
      <c r="G3152" s="15">
        <v>8.7416666666666671</v>
      </c>
      <c r="H3152" s="3">
        <v>3.8019444444444987E-2</v>
      </c>
    </row>
    <row r="3153" spans="7:8" x14ac:dyDescent="0.3">
      <c r="G3153" s="15">
        <v>8.7444444444444436</v>
      </c>
      <c r="H3153" s="3">
        <v>3.8018518518519062E-2</v>
      </c>
    </row>
    <row r="3154" spans="7:8" x14ac:dyDescent="0.3">
      <c r="G3154" s="15">
        <v>8.7472222222222218</v>
      </c>
      <c r="H3154" s="3">
        <v>3.8017592592593137E-2</v>
      </c>
    </row>
    <row r="3155" spans="7:8" x14ac:dyDescent="0.3">
      <c r="G3155" s="15">
        <v>8.75</v>
      </c>
      <c r="H3155" s="3">
        <v>3.8016666666667212E-2</v>
      </c>
    </row>
    <row r="3156" spans="7:8" x14ac:dyDescent="0.3">
      <c r="G3156" s="15">
        <v>8.7527777777777782</v>
      </c>
      <c r="H3156" s="3">
        <v>3.8015740740741287E-2</v>
      </c>
    </row>
    <row r="3157" spans="7:8" x14ac:dyDescent="0.3">
      <c r="G3157" s="15">
        <v>8.7555555555555564</v>
      </c>
      <c r="H3157" s="3">
        <v>3.8014814814815362E-2</v>
      </c>
    </row>
    <row r="3158" spans="7:8" x14ac:dyDescent="0.3">
      <c r="G3158" s="15">
        <v>8.7583333333333329</v>
      </c>
      <c r="H3158" s="3">
        <v>3.8013888888889437E-2</v>
      </c>
    </row>
    <row r="3159" spans="7:8" x14ac:dyDescent="0.3">
      <c r="G3159" s="15">
        <v>8.7611111111111111</v>
      </c>
      <c r="H3159" s="3">
        <v>3.8012962962963512E-2</v>
      </c>
    </row>
    <row r="3160" spans="7:8" x14ac:dyDescent="0.3">
      <c r="G3160" s="15">
        <v>8.7638888888888893</v>
      </c>
      <c r="H3160" s="3">
        <v>3.8012037037037587E-2</v>
      </c>
    </row>
    <row r="3161" spans="7:8" x14ac:dyDescent="0.3">
      <c r="G3161" s="15">
        <v>8.7666666666666675</v>
      </c>
      <c r="H3161" s="3">
        <v>3.8011111111111662E-2</v>
      </c>
    </row>
    <row r="3162" spans="7:8" x14ac:dyDescent="0.3">
      <c r="G3162" s="15">
        <v>8.7694444444444439</v>
      </c>
      <c r="H3162" s="3">
        <v>3.8010185185185737E-2</v>
      </c>
    </row>
    <row r="3163" spans="7:8" x14ac:dyDescent="0.3">
      <c r="G3163" s="15">
        <v>8.7722222222222221</v>
      </c>
      <c r="H3163" s="3">
        <v>3.8009259259259812E-2</v>
      </c>
    </row>
    <row r="3164" spans="7:8" x14ac:dyDescent="0.3">
      <c r="G3164" s="15">
        <v>8.7750000000000004</v>
      </c>
      <c r="H3164" s="3">
        <v>3.8008333333333887E-2</v>
      </c>
    </row>
    <row r="3165" spans="7:8" x14ac:dyDescent="0.3">
      <c r="G3165" s="15">
        <v>8.7777777777777786</v>
      </c>
      <c r="H3165" s="3">
        <v>3.8007407407407962E-2</v>
      </c>
    </row>
    <row r="3166" spans="7:8" x14ac:dyDescent="0.3">
      <c r="G3166" s="15">
        <v>8.780555555555555</v>
      </c>
      <c r="H3166" s="3">
        <v>3.8006481481482036E-2</v>
      </c>
    </row>
    <row r="3167" spans="7:8" x14ac:dyDescent="0.3">
      <c r="G3167" s="15">
        <v>8.7833333333333332</v>
      </c>
      <c r="H3167" s="3">
        <v>3.8005555555556111E-2</v>
      </c>
    </row>
    <row r="3168" spans="7:8" x14ac:dyDescent="0.3">
      <c r="G3168" s="15">
        <v>8.7861111111111114</v>
      </c>
      <c r="H3168" s="3">
        <v>3.8004629629630186E-2</v>
      </c>
    </row>
    <row r="3169" spans="7:8" x14ac:dyDescent="0.3">
      <c r="G3169" s="15">
        <v>8.7888888888888896</v>
      </c>
      <c r="H3169" s="3">
        <v>3.8003703703704261E-2</v>
      </c>
    </row>
    <row r="3170" spans="7:8" x14ac:dyDescent="0.3">
      <c r="G3170" s="15">
        <v>8.7916666666666661</v>
      </c>
      <c r="H3170" s="3">
        <v>3.8002777777778336E-2</v>
      </c>
    </row>
    <row r="3171" spans="7:8" x14ac:dyDescent="0.3">
      <c r="G3171" s="15">
        <v>8.7944444444444443</v>
      </c>
      <c r="H3171" s="3">
        <v>3.8001851851852411E-2</v>
      </c>
    </row>
    <row r="3172" spans="7:8" x14ac:dyDescent="0.3">
      <c r="G3172" s="15">
        <v>8.7972222222222225</v>
      </c>
      <c r="H3172" s="3">
        <v>3.8000925925926486E-2</v>
      </c>
    </row>
    <row r="3173" spans="7:8" x14ac:dyDescent="0.3">
      <c r="G3173" s="15">
        <v>8.8000000000000007</v>
      </c>
      <c r="H3173" s="3">
        <v>3.8000000000000561E-2</v>
      </c>
    </row>
    <row r="3174" spans="7:8" x14ac:dyDescent="0.3">
      <c r="G3174" s="15">
        <v>8.8027777777777771</v>
      </c>
      <c r="H3174" s="3">
        <v>3.7999074074074636E-2</v>
      </c>
    </row>
    <row r="3175" spans="7:8" x14ac:dyDescent="0.3">
      <c r="G3175" s="15">
        <v>8.8055555555555554</v>
      </c>
      <c r="H3175" s="3">
        <v>3.7998148148148711E-2</v>
      </c>
    </row>
    <row r="3176" spans="7:8" x14ac:dyDescent="0.3">
      <c r="G3176" s="15">
        <v>8.8083333333333336</v>
      </c>
      <c r="H3176" s="3">
        <v>3.7997222222222786E-2</v>
      </c>
    </row>
    <row r="3177" spans="7:8" x14ac:dyDescent="0.3">
      <c r="G3177" s="15">
        <v>8.8111111111111118</v>
      </c>
      <c r="H3177" s="3">
        <v>3.7996296296296861E-2</v>
      </c>
    </row>
    <row r="3178" spans="7:8" x14ac:dyDescent="0.3">
      <c r="G3178" s="15">
        <v>8.8138888888888882</v>
      </c>
      <c r="H3178" s="3">
        <v>3.7995370370370936E-2</v>
      </c>
    </row>
    <row r="3179" spans="7:8" x14ac:dyDescent="0.3">
      <c r="G3179" s="15">
        <v>8.8166666666666664</v>
      </c>
      <c r="H3179" s="3">
        <v>3.7994444444445011E-2</v>
      </c>
    </row>
    <row r="3180" spans="7:8" x14ac:dyDescent="0.3">
      <c r="G3180" s="15">
        <v>8.8194444444444446</v>
      </c>
      <c r="H3180" s="3">
        <v>3.7993518518519086E-2</v>
      </c>
    </row>
    <row r="3181" spans="7:8" x14ac:dyDescent="0.3">
      <c r="G3181" s="15">
        <v>8.8222222222222229</v>
      </c>
      <c r="H3181" s="3">
        <v>3.7992592592593161E-2</v>
      </c>
    </row>
    <row r="3182" spans="7:8" x14ac:dyDescent="0.3">
      <c r="G3182" s="15">
        <v>8.8249999999999993</v>
      </c>
      <c r="H3182" s="3">
        <v>3.7991666666667236E-2</v>
      </c>
    </row>
    <row r="3183" spans="7:8" x14ac:dyDescent="0.3">
      <c r="G3183" s="15">
        <v>8.8277777777777775</v>
      </c>
      <c r="H3183" s="3">
        <v>3.7990740740741311E-2</v>
      </c>
    </row>
    <row r="3184" spans="7:8" x14ac:dyDescent="0.3">
      <c r="G3184" s="15">
        <v>8.8305555555555557</v>
      </c>
      <c r="H3184" s="3">
        <v>3.7989814814815386E-2</v>
      </c>
    </row>
    <row r="3185" spans="7:8" x14ac:dyDescent="0.3">
      <c r="G3185" s="15">
        <v>8.8333333333333339</v>
      </c>
      <c r="H3185" s="3">
        <v>3.798888888888946E-2</v>
      </c>
    </row>
    <row r="3186" spans="7:8" x14ac:dyDescent="0.3">
      <c r="G3186" s="15">
        <v>8.8361111111111104</v>
      </c>
      <c r="H3186" s="3">
        <v>3.7987962962963535E-2</v>
      </c>
    </row>
    <row r="3187" spans="7:8" x14ac:dyDescent="0.3">
      <c r="G3187" s="15">
        <v>8.8388888888888886</v>
      </c>
      <c r="H3187" s="3">
        <v>3.798703703703761E-2</v>
      </c>
    </row>
    <row r="3188" spans="7:8" x14ac:dyDescent="0.3">
      <c r="G3188" s="15">
        <v>8.8416666666666668</v>
      </c>
      <c r="H3188" s="3">
        <v>3.7986111111111685E-2</v>
      </c>
    </row>
    <row r="3189" spans="7:8" x14ac:dyDescent="0.3">
      <c r="G3189" s="15">
        <v>8.844444444444445</v>
      </c>
      <c r="H3189" s="3">
        <v>3.798518518518576E-2</v>
      </c>
    </row>
    <row r="3190" spans="7:8" x14ac:dyDescent="0.3">
      <c r="G3190" s="15">
        <v>8.8472222222222214</v>
      </c>
      <c r="H3190" s="3">
        <v>3.7984259259259835E-2</v>
      </c>
    </row>
    <row r="3191" spans="7:8" x14ac:dyDescent="0.3">
      <c r="G3191" s="15">
        <v>8.85</v>
      </c>
      <c r="H3191" s="3">
        <v>3.798333333333391E-2</v>
      </c>
    </row>
    <row r="3192" spans="7:8" x14ac:dyDescent="0.3">
      <c r="G3192" s="15">
        <v>8.8527777777777779</v>
      </c>
      <c r="H3192" s="3">
        <v>3.7982407407407985E-2</v>
      </c>
    </row>
    <row r="3193" spans="7:8" x14ac:dyDescent="0.3">
      <c r="G3193" s="15">
        <v>8.8555555555555561</v>
      </c>
      <c r="H3193" s="3">
        <v>3.798148148148206E-2</v>
      </c>
    </row>
    <row r="3194" spans="7:8" x14ac:dyDescent="0.3">
      <c r="G3194" s="15">
        <v>8.8583333333333325</v>
      </c>
      <c r="H3194" s="3">
        <v>3.7980555555556135E-2</v>
      </c>
    </row>
    <row r="3195" spans="7:8" x14ac:dyDescent="0.3">
      <c r="G3195" s="15">
        <v>8.8611111111111107</v>
      </c>
      <c r="H3195" s="3">
        <v>3.797962962963021E-2</v>
      </c>
    </row>
    <row r="3196" spans="7:8" x14ac:dyDescent="0.3">
      <c r="G3196" s="15">
        <v>8.8638888888888889</v>
      </c>
      <c r="H3196" s="3">
        <v>3.7978703703704285E-2</v>
      </c>
    </row>
    <row r="3197" spans="7:8" x14ac:dyDescent="0.3">
      <c r="G3197" s="15">
        <v>8.8666666666666671</v>
      </c>
      <c r="H3197" s="3">
        <v>3.797777777777836E-2</v>
      </c>
    </row>
    <row r="3198" spans="7:8" x14ac:dyDescent="0.3">
      <c r="G3198" s="15">
        <v>8.8694444444444436</v>
      </c>
      <c r="H3198" s="3">
        <v>3.7976851851852435E-2</v>
      </c>
    </row>
    <row r="3199" spans="7:8" x14ac:dyDescent="0.3">
      <c r="G3199" s="15">
        <v>8.8722222222222218</v>
      </c>
      <c r="H3199" s="3">
        <v>3.797592592592651E-2</v>
      </c>
    </row>
    <row r="3200" spans="7:8" x14ac:dyDescent="0.3">
      <c r="G3200" s="15">
        <v>8.875</v>
      </c>
      <c r="H3200" s="3">
        <v>3.7975000000000585E-2</v>
      </c>
    </row>
    <row r="3201" spans="7:8" x14ac:dyDescent="0.3">
      <c r="G3201" s="15">
        <v>8.8777777777777782</v>
      </c>
      <c r="H3201" s="3">
        <v>3.797407407407466E-2</v>
      </c>
    </row>
    <row r="3202" spans="7:8" x14ac:dyDescent="0.3">
      <c r="G3202" s="15">
        <v>8.8805555555555564</v>
      </c>
      <c r="H3202" s="3">
        <v>3.7973148148148735E-2</v>
      </c>
    </row>
    <row r="3203" spans="7:8" x14ac:dyDescent="0.3">
      <c r="G3203" s="15">
        <v>8.8833333333333329</v>
      </c>
      <c r="H3203" s="3">
        <v>3.797222222222281E-2</v>
      </c>
    </row>
    <row r="3204" spans="7:8" x14ac:dyDescent="0.3">
      <c r="G3204" s="15">
        <v>8.8861111111111111</v>
      </c>
      <c r="H3204" s="3">
        <v>3.7971296296296884E-2</v>
      </c>
    </row>
    <row r="3205" spans="7:8" x14ac:dyDescent="0.3">
      <c r="G3205" s="15">
        <v>8.8888888888888893</v>
      </c>
      <c r="H3205" s="3">
        <v>3.7970370370370959E-2</v>
      </c>
    </row>
    <row r="3206" spans="7:8" x14ac:dyDescent="0.3">
      <c r="G3206" s="15">
        <v>8.8916666666666675</v>
      </c>
      <c r="H3206" s="3">
        <v>3.7969444444445034E-2</v>
      </c>
    </row>
    <row r="3207" spans="7:8" x14ac:dyDescent="0.3">
      <c r="G3207" s="15">
        <v>8.8944444444444439</v>
      </c>
      <c r="H3207" s="3">
        <v>3.7968518518519109E-2</v>
      </c>
    </row>
    <row r="3208" spans="7:8" x14ac:dyDescent="0.3">
      <c r="G3208" s="15">
        <v>8.8972222222222221</v>
      </c>
      <c r="H3208" s="3">
        <v>3.7967592592593184E-2</v>
      </c>
    </row>
    <row r="3209" spans="7:8" x14ac:dyDescent="0.3">
      <c r="G3209" s="15">
        <v>8.9</v>
      </c>
      <c r="H3209" s="3">
        <v>3.7966666666667259E-2</v>
      </c>
    </row>
    <row r="3210" spans="7:8" x14ac:dyDescent="0.3">
      <c r="G3210" s="15">
        <v>8.9027777777777786</v>
      </c>
      <c r="H3210" s="3">
        <v>3.7965740740741334E-2</v>
      </c>
    </row>
    <row r="3211" spans="7:8" x14ac:dyDescent="0.3">
      <c r="G3211" s="15">
        <v>8.905555555555555</v>
      </c>
      <c r="H3211" s="3">
        <v>3.7964814814815409E-2</v>
      </c>
    </row>
    <row r="3212" spans="7:8" x14ac:dyDescent="0.3">
      <c r="G3212" s="15">
        <v>8.9083333333333332</v>
      </c>
      <c r="H3212" s="3">
        <v>3.7963888888889484E-2</v>
      </c>
    </row>
    <row r="3213" spans="7:8" x14ac:dyDescent="0.3">
      <c r="G3213" s="15">
        <v>8.9111111111111114</v>
      </c>
      <c r="H3213" s="3">
        <v>3.7962962962963559E-2</v>
      </c>
    </row>
    <row r="3214" spans="7:8" x14ac:dyDescent="0.3">
      <c r="G3214" s="15">
        <v>8.9138888888888896</v>
      </c>
      <c r="H3214" s="3">
        <v>3.7962037037037634E-2</v>
      </c>
    </row>
    <row r="3215" spans="7:8" x14ac:dyDescent="0.3">
      <c r="G3215" s="15">
        <v>8.9166666666666661</v>
      </c>
      <c r="H3215" s="3">
        <v>3.7961111111111709E-2</v>
      </c>
    </row>
    <row r="3216" spans="7:8" x14ac:dyDescent="0.3">
      <c r="G3216" s="15">
        <v>8.9194444444444443</v>
      </c>
      <c r="H3216" s="3">
        <v>3.7960185185185784E-2</v>
      </c>
    </row>
    <row r="3217" spans="7:8" x14ac:dyDescent="0.3">
      <c r="G3217" s="15">
        <v>8.9222222222222225</v>
      </c>
      <c r="H3217" s="3">
        <v>3.7959259259259859E-2</v>
      </c>
    </row>
    <row r="3218" spans="7:8" x14ac:dyDescent="0.3">
      <c r="G3218" s="15">
        <v>8.9250000000000007</v>
      </c>
      <c r="H3218" s="3">
        <v>3.7958333333333934E-2</v>
      </c>
    </row>
    <row r="3219" spans="7:8" x14ac:dyDescent="0.3">
      <c r="G3219" s="15">
        <v>8.9277777777777771</v>
      </c>
      <c r="H3219" s="3">
        <v>3.7957407407408009E-2</v>
      </c>
    </row>
    <row r="3220" spans="7:8" x14ac:dyDescent="0.3">
      <c r="G3220" s="15">
        <v>8.9305555555555554</v>
      </c>
      <c r="H3220" s="3">
        <v>3.7956481481482084E-2</v>
      </c>
    </row>
    <row r="3221" spans="7:8" x14ac:dyDescent="0.3">
      <c r="G3221" s="15">
        <v>8.9333333333333336</v>
      </c>
      <c r="H3221" s="3">
        <v>3.7955555555556159E-2</v>
      </c>
    </row>
    <row r="3222" spans="7:8" x14ac:dyDescent="0.3">
      <c r="G3222" s="15">
        <v>8.9361111111111118</v>
      </c>
      <c r="H3222" s="3">
        <v>3.7954629629630234E-2</v>
      </c>
    </row>
    <row r="3223" spans="7:8" x14ac:dyDescent="0.3">
      <c r="G3223" s="15">
        <v>8.9388888888888882</v>
      </c>
      <c r="H3223" s="3">
        <v>3.7953703703704308E-2</v>
      </c>
    </row>
    <row r="3224" spans="7:8" x14ac:dyDescent="0.3">
      <c r="G3224" s="15">
        <v>8.9416666666666664</v>
      </c>
      <c r="H3224" s="3">
        <v>3.7952777777778383E-2</v>
      </c>
    </row>
    <row r="3225" spans="7:8" x14ac:dyDescent="0.3">
      <c r="G3225" s="15">
        <v>8.9444444444444446</v>
      </c>
      <c r="H3225" s="3">
        <v>3.7951851851852458E-2</v>
      </c>
    </row>
    <row r="3226" spans="7:8" x14ac:dyDescent="0.3">
      <c r="G3226" s="15">
        <v>8.9472222222222229</v>
      </c>
      <c r="H3226" s="3">
        <v>3.7950925925926533E-2</v>
      </c>
    </row>
    <row r="3227" spans="7:8" x14ac:dyDescent="0.3">
      <c r="G3227" s="15">
        <v>8.9499999999999993</v>
      </c>
      <c r="H3227" s="3">
        <v>3.7950000000000608E-2</v>
      </c>
    </row>
    <row r="3228" spans="7:8" x14ac:dyDescent="0.3">
      <c r="G3228" s="15">
        <v>8.9527777777777775</v>
      </c>
      <c r="H3228" s="3">
        <v>3.7949074074074683E-2</v>
      </c>
    </row>
    <row r="3229" spans="7:8" x14ac:dyDescent="0.3">
      <c r="G3229" s="15">
        <v>8.9555555555555557</v>
      </c>
      <c r="H3229" s="3">
        <v>3.7948148148148758E-2</v>
      </c>
    </row>
    <row r="3230" spans="7:8" x14ac:dyDescent="0.3">
      <c r="G3230" s="15">
        <v>8.9583333333333339</v>
      </c>
      <c r="H3230" s="3">
        <v>3.7947222222222833E-2</v>
      </c>
    </row>
    <row r="3231" spans="7:8" x14ac:dyDescent="0.3">
      <c r="G3231" s="15">
        <v>8.9611111111111104</v>
      </c>
      <c r="H3231" s="3">
        <v>3.7946296296296908E-2</v>
      </c>
    </row>
    <row r="3232" spans="7:8" x14ac:dyDescent="0.3">
      <c r="G3232" s="15">
        <v>8.9638888888888886</v>
      </c>
      <c r="H3232" s="3">
        <v>3.7945370370370983E-2</v>
      </c>
    </row>
    <row r="3233" spans="7:8" x14ac:dyDescent="0.3">
      <c r="G3233" s="15">
        <v>8.9666666666666668</v>
      </c>
      <c r="H3233" s="3">
        <v>3.7944444444445058E-2</v>
      </c>
    </row>
    <row r="3234" spans="7:8" x14ac:dyDescent="0.3">
      <c r="G3234" s="15">
        <v>8.969444444444445</v>
      </c>
      <c r="H3234" s="3">
        <v>3.7943518518519133E-2</v>
      </c>
    </row>
    <row r="3235" spans="7:8" x14ac:dyDescent="0.3">
      <c r="G3235" s="15">
        <v>8.9722222222222214</v>
      </c>
      <c r="H3235" s="3">
        <v>3.7942592592593208E-2</v>
      </c>
    </row>
    <row r="3236" spans="7:8" x14ac:dyDescent="0.3">
      <c r="G3236" s="15">
        <v>8.9749999999999996</v>
      </c>
      <c r="H3236" s="3">
        <v>3.7941666666667283E-2</v>
      </c>
    </row>
    <row r="3237" spans="7:8" x14ac:dyDescent="0.3">
      <c r="G3237" s="15">
        <v>8.9777777777777779</v>
      </c>
      <c r="H3237" s="3">
        <v>3.7940740740741358E-2</v>
      </c>
    </row>
    <row r="3238" spans="7:8" x14ac:dyDescent="0.3">
      <c r="G3238" s="15">
        <v>8.9805555555555561</v>
      </c>
      <c r="H3238" s="3">
        <v>3.7939814814815433E-2</v>
      </c>
    </row>
    <row r="3239" spans="7:8" x14ac:dyDescent="0.3">
      <c r="G3239" s="15">
        <v>8.9833333333333325</v>
      </c>
      <c r="H3239" s="3">
        <v>3.7938888888889508E-2</v>
      </c>
    </row>
    <row r="3240" spans="7:8" x14ac:dyDescent="0.3">
      <c r="G3240" s="15">
        <v>8.9861111111111107</v>
      </c>
      <c r="H3240" s="3">
        <v>3.7937962962963583E-2</v>
      </c>
    </row>
    <row r="3241" spans="7:8" x14ac:dyDescent="0.3">
      <c r="G3241" s="15">
        <v>8.9888888888888889</v>
      </c>
      <c r="H3241" s="3">
        <v>3.7937037037037658E-2</v>
      </c>
    </row>
    <row r="3242" spans="7:8" x14ac:dyDescent="0.3">
      <c r="G3242" s="15">
        <v>8.9916666666666671</v>
      </c>
      <c r="H3242" s="3">
        <v>3.7936111111111732E-2</v>
      </c>
    </row>
    <row r="3243" spans="7:8" x14ac:dyDescent="0.3">
      <c r="G3243" s="15">
        <v>8.9944444444444436</v>
      </c>
      <c r="H3243" s="3">
        <v>3.7935185185185807E-2</v>
      </c>
    </row>
    <row r="3244" spans="7:8" x14ac:dyDescent="0.3">
      <c r="G3244" s="15">
        <v>8.9972222222222218</v>
      </c>
      <c r="H3244" s="3">
        <v>3.7934259259259882E-2</v>
      </c>
    </row>
    <row r="3245" spans="7:8" x14ac:dyDescent="0.3">
      <c r="G3245" s="15">
        <v>9</v>
      </c>
      <c r="H3245" s="3">
        <v>3.7933333333333957E-2</v>
      </c>
    </row>
    <row r="3246" spans="7:8" x14ac:dyDescent="0.3">
      <c r="G3246" s="15">
        <v>9.0027777777777782</v>
      </c>
      <c r="H3246" s="3">
        <v>3.7932407407408032E-2</v>
      </c>
    </row>
    <row r="3247" spans="7:8" x14ac:dyDescent="0.3">
      <c r="G3247" s="15">
        <v>9.0055555555555564</v>
      </c>
      <c r="H3247" s="3">
        <v>3.7931481481482107E-2</v>
      </c>
    </row>
    <row r="3248" spans="7:8" x14ac:dyDescent="0.3">
      <c r="G3248" s="15">
        <v>9.0083333333333329</v>
      </c>
      <c r="H3248" s="3">
        <v>3.7930555555556182E-2</v>
      </c>
    </row>
    <row r="3249" spans="7:8" x14ac:dyDescent="0.3">
      <c r="G3249" s="15">
        <v>9.0111111111111111</v>
      </c>
      <c r="H3249" s="3">
        <v>3.7929629629630257E-2</v>
      </c>
    </row>
    <row r="3250" spans="7:8" x14ac:dyDescent="0.3">
      <c r="G3250" s="15">
        <v>9.0138888888888893</v>
      </c>
      <c r="H3250" s="3">
        <v>3.7928703703704332E-2</v>
      </c>
    </row>
    <row r="3251" spans="7:8" x14ac:dyDescent="0.3">
      <c r="G3251" s="15">
        <v>9.0166666666666675</v>
      </c>
      <c r="H3251" s="3">
        <v>3.7927777777778407E-2</v>
      </c>
    </row>
    <row r="3252" spans="7:8" x14ac:dyDescent="0.3">
      <c r="G3252" s="15">
        <v>9.0194444444444439</v>
      </c>
      <c r="H3252" s="3">
        <v>3.7926851851852482E-2</v>
      </c>
    </row>
    <row r="3253" spans="7:8" x14ac:dyDescent="0.3">
      <c r="G3253" s="15">
        <v>9.0222222222222221</v>
      </c>
      <c r="H3253" s="3">
        <v>3.7925925925926557E-2</v>
      </c>
    </row>
    <row r="3254" spans="7:8" x14ac:dyDescent="0.3">
      <c r="G3254" s="15">
        <v>9.0250000000000004</v>
      </c>
      <c r="H3254" s="3">
        <v>3.7925000000000632E-2</v>
      </c>
    </row>
    <row r="3255" spans="7:8" x14ac:dyDescent="0.3">
      <c r="G3255" s="15">
        <v>9.0277777777777786</v>
      </c>
      <c r="H3255" s="3">
        <v>3.7924074074074707E-2</v>
      </c>
    </row>
    <row r="3256" spans="7:8" x14ac:dyDescent="0.3">
      <c r="G3256" s="15">
        <v>9.030555555555555</v>
      </c>
      <c r="H3256" s="3">
        <v>3.7923148148148782E-2</v>
      </c>
    </row>
    <row r="3257" spans="7:8" x14ac:dyDescent="0.3">
      <c r="G3257" s="15">
        <v>9.0333333333333332</v>
      </c>
      <c r="H3257" s="3">
        <v>3.7922222222222857E-2</v>
      </c>
    </row>
    <row r="3258" spans="7:8" x14ac:dyDescent="0.3">
      <c r="G3258" s="15">
        <v>9.0361111111111114</v>
      </c>
      <c r="H3258" s="3">
        <v>3.7921296296296932E-2</v>
      </c>
    </row>
    <row r="3259" spans="7:8" x14ac:dyDescent="0.3">
      <c r="G3259" s="15">
        <v>9.0388888888888896</v>
      </c>
      <c r="H3259" s="3">
        <v>3.7920370370371007E-2</v>
      </c>
    </row>
    <row r="3260" spans="7:8" x14ac:dyDescent="0.3">
      <c r="G3260" s="15">
        <v>9.0416666666666661</v>
      </c>
      <c r="H3260" s="3">
        <v>3.7919444444445081E-2</v>
      </c>
    </row>
    <row r="3261" spans="7:8" x14ac:dyDescent="0.3">
      <c r="G3261" s="15">
        <v>9.0444444444444443</v>
      </c>
      <c r="H3261" s="3">
        <v>3.7918518518519156E-2</v>
      </c>
    </row>
    <row r="3262" spans="7:8" x14ac:dyDescent="0.3">
      <c r="G3262" s="15">
        <v>9.0472222222222225</v>
      </c>
      <c r="H3262" s="3">
        <v>3.7917592592593231E-2</v>
      </c>
    </row>
    <row r="3263" spans="7:8" x14ac:dyDescent="0.3">
      <c r="G3263" s="15">
        <v>9.0500000000000007</v>
      </c>
      <c r="H3263" s="3">
        <v>3.7916666666667306E-2</v>
      </c>
    </row>
    <row r="3264" spans="7:8" x14ac:dyDescent="0.3">
      <c r="G3264" s="15">
        <v>9.0527777777777771</v>
      </c>
      <c r="H3264" s="3">
        <v>3.7915740740741381E-2</v>
      </c>
    </row>
    <row r="3265" spans="7:8" x14ac:dyDescent="0.3">
      <c r="G3265" s="15">
        <v>9.0555555555555554</v>
      </c>
      <c r="H3265" s="3">
        <v>3.7914814814815456E-2</v>
      </c>
    </row>
    <row r="3266" spans="7:8" x14ac:dyDescent="0.3">
      <c r="G3266" s="15">
        <v>9.0583333333333336</v>
      </c>
      <c r="H3266" s="3">
        <v>3.7913888888889531E-2</v>
      </c>
    </row>
    <row r="3267" spans="7:8" x14ac:dyDescent="0.3">
      <c r="G3267" s="15">
        <v>9.0611111111111118</v>
      </c>
      <c r="H3267" s="3">
        <v>3.7912962962963606E-2</v>
      </c>
    </row>
    <row r="3268" spans="7:8" x14ac:dyDescent="0.3">
      <c r="G3268" s="15">
        <v>9.0638888888888882</v>
      </c>
      <c r="H3268" s="3">
        <v>3.7912037037037681E-2</v>
      </c>
    </row>
    <row r="3269" spans="7:8" x14ac:dyDescent="0.3">
      <c r="G3269" s="15">
        <v>9.0666666666666664</v>
      </c>
      <c r="H3269" s="3">
        <v>3.7911111111111756E-2</v>
      </c>
    </row>
    <row r="3270" spans="7:8" x14ac:dyDescent="0.3">
      <c r="G3270" s="15">
        <v>9.0694444444444446</v>
      </c>
      <c r="H3270" s="3">
        <v>3.7910185185185831E-2</v>
      </c>
    </row>
    <row r="3271" spans="7:8" x14ac:dyDescent="0.3">
      <c r="G3271" s="15">
        <v>9.0722222222222229</v>
      </c>
      <c r="H3271" s="3">
        <v>3.7909259259259906E-2</v>
      </c>
    </row>
    <row r="3272" spans="7:8" x14ac:dyDescent="0.3">
      <c r="G3272" s="15">
        <v>9.0749999999999993</v>
      </c>
      <c r="H3272" s="3">
        <v>3.7908333333333981E-2</v>
      </c>
    </row>
    <row r="3273" spans="7:8" x14ac:dyDescent="0.3">
      <c r="G3273" s="15">
        <v>9.0777777777777775</v>
      </c>
      <c r="H3273" s="3">
        <v>3.7907407407408056E-2</v>
      </c>
    </row>
    <row r="3274" spans="7:8" x14ac:dyDescent="0.3">
      <c r="G3274" s="15">
        <v>9.0805555555555557</v>
      </c>
      <c r="H3274" s="3">
        <v>3.7906481481482131E-2</v>
      </c>
    </row>
    <row r="3275" spans="7:8" x14ac:dyDescent="0.3">
      <c r="G3275" s="15">
        <v>9.0833333333333339</v>
      </c>
      <c r="H3275" s="3">
        <v>3.7905555555556206E-2</v>
      </c>
    </row>
    <row r="3276" spans="7:8" x14ac:dyDescent="0.3">
      <c r="G3276" s="15">
        <v>9.0861111111111104</v>
      </c>
      <c r="H3276" s="3">
        <v>3.7904629629630281E-2</v>
      </c>
    </row>
    <row r="3277" spans="7:8" x14ac:dyDescent="0.3">
      <c r="G3277" s="15">
        <v>9.0888888888888886</v>
      </c>
      <c r="H3277" s="3">
        <v>3.7903703703704356E-2</v>
      </c>
    </row>
    <row r="3278" spans="7:8" x14ac:dyDescent="0.3">
      <c r="G3278" s="15">
        <v>9.0916666666666668</v>
      </c>
      <c r="H3278" s="3">
        <v>3.7902777777778431E-2</v>
      </c>
    </row>
    <row r="3279" spans="7:8" x14ac:dyDescent="0.3">
      <c r="G3279" s="15">
        <v>9.094444444444445</v>
      </c>
      <c r="H3279" s="3">
        <v>3.7901851851852505E-2</v>
      </c>
    </row>
    <row r="3280" spans="7:8" x14ac:dyDescent="0.3">
      <c r="G3280" s="15">
        <v>9.0972222222222214</v>
      </c>
      <c r="H3280" s="3">
        <v>3.790092592592658E-2</v>
      </c>
    </row>
    <row r="3281" spans="7:8" x14ac:dyDescent="0.3">
      <c r="G3281" s="15">
        <v>9.1</v>
      </c>
      <c r="H3281" s="3">
        <v>3.7900000000000655E-2</v>
      </c>
    </row>
    <row r="3282" spans="7:8" x14ac:dyDescent="0.3">
      <c r="G3282" s="15">
        <v>9.1027777777777779</v>
      </c>
      <c r="H3282" s="3">
        <v>3.789907407407473E-2</v>
      </c>
    </row>
    <row r="3283" spans="7:8" x14ac:dyDescent="0.3">
      <c r="G3283" s="15">
        <v>9.1055555555555561</v>
      </c>
      <c r="H3283" s="3">
        <v>3.7898148148148805E-2</v>
      </c>
    </row>
    <row r="3284" spans="7:8" x14ac:dyDescent="0.3">
      <c r="G3284" s="15">
        <v>9.1083333333333325</v>
      </c>
      <c r="H3284" s="3">
        <v>3.789722222222288E-2</v>
      </c>
    </row>
    <row r="3285" spans="7:8" x14ac:dyDescent="0.3">
      <c r="G3285" s="15">
        <v>9.1111111111111107</v>
      </c>
      <c r="H3285" s="3">
        <v>3.7896296296296955E-2</v>
      </c>
    </row>
    <row r="3286" spans="7:8" x14ac:dyDescent="0.3">
      <c r="G3286" s="15">
        <v>9.1138888888888889</v>
      </c>
      <c r="H3286" s="3">
        <v>3.789537037037103E-2</v>
      </c>
    </row>
    <row r="3287" spans="7:8" x14ac:dyDescent="0.3">
      <c r="G3287" s="15">
        <v>9.1166666666666671</v>
      </c>
      <c r="H3287" s="3">
        <v>3.7894444444445105E-2</v>
      </c>
    </row>
    <row r="3288" spans="7:8" x14ac:dyDescent="0.3">
      <c r="G3288" s="15">
        <v>9.1194444444444436</v>
      </c>
      <c r="H3288" s="3">
        <v>3.789351851851918E-2</v>
      </c>
    </row>
    <row r="3289" spans="7:8" x14ac:dyDescent="0.3">
      <c r="G3289" s="15">
        <v>9.1222222222222218</v>
      </c>
      <c r="H3289" s="3">
        <v>3.7892592592593255E-2</v>
      </c>
    </row>
    <row r="3290" spans="7:8" x14ac:dyDescent="0.3">
      <c r="G3290" s="15">
        <v>9.125</v>
      </c>
      <c r="H3290" s="3">
        <v>3.789166666666733E-2</v>
      </c>
    </row>
    <row r="3291" spans="7:8" x14ac:dyDescent="0.3">
      <c r="G3291" s="15">
        <v>9.1277777777777782</v>
      </c>
      <c r="H3291" s="3">
        <v>3.7890740740741405E-2</v>
      </c>
    </row>
    <row r="3292" spans="7:8" x14ac:dyDescent="0.3">
      <c r="G3292" s="15">
        <v>9.1305555555555564</v>
      </c>
      <c r="H3292" s="3">
        <v>3.788981481481548E-2</v>
      </c>
    </row>
    <row r="3293" spans="7:8" x14ac:dyDescent="0.3">
      <c r="G3293" s="15">
        <v>9.1333333333333329</v>
      </c>
      <c r="H3293" s="3">
        <v>3.7888888888889555E-2</v>
      </c>
    </row>
    <row r="3294" spans="7:8" x14ac:dyDescent="0.3">
      <c r="G3294" s="15">
        <v>9.1361111111111111</v>
      </c>
      <c r="H3294" s="3">
        <v>3.788796296296363E-2</v>
      </c>
    </row>
    <row r="3295" spans="7:8" x14ac:dyDescent="0.3">
      <c r="G3295" s="15">
        <v>9.1388888888888893</v>
      </c>
      <c r="H3295" s="3">
        <v>3.7887037037037705E-2</v>
      </c>
    </row>
    <row r="3296" spans="7:8" x14ac:dyDescent="0.3">
      <c r="G3296" s="15">
        <v>9.1416666666666675</v>
      </c>
      <c r="H3296" s="3">
        <v>3.788611111111178E-2</v>
      </c>
    </row>
    <row r="3297" spans="7:8" x14ac:dyDescent="0.3">
      <c r="G3297" s="15">
        <v>9.1444444444444439</v>
      </c>
      <c r="H3297" s="3">
        <v>3.7885185185185855E-2</v>
      </c>
    </row>
    <row r="3298" spans="7:8" x14ac:dyDescent="0.3">
      <c r="G3298" s="15">
        <v>9.1472222222222221</v>
      </c>
      <c r="H3298" s="3">
        <v>3.7884259259259929E-2</v>
      </c>
    </row>
    <row r="3299" spans="7:8" x14ac:dyDescent="0.3">
      <c r="G3299" s="15">
        <v>9.15</v>
      </c>
      <c r="H3299" s="3">
        <v>3.7883333333334004E-2</v>
      </c>
    </row>
    <row r="3300" spans="7:8" x14ac:dyDescent="0.3">
      <c r="G3300" s="15">
        <v>9.1527777777777786</v>
      </c>
      <c r="H3300" s="3">
        <v>3.7882407407408079E-2</v>
      </c>
    </row>
    <row r="3301" spans="7:8" x14ac:dyDescent="0.3">
      <c r="G3301" s="15">
        <v>9.155555555555555</v>
      </c>
      <c r="H3301" s="3">
        <v>3.7881481481482154E-2</v>
      </c>
    </row>
    <row r="3302" spans="7:8" x14ac:dyDescent="0.3">
      <c r="G3302" s="15">
        <v>9.1583333333333332</v>
      </c>
      <c r="H3302" s="3">
        <v>3.7880555555556229E-2</v>
      </c>
    </row>
    <row r="3303" spans="7:8" x14ac:dyDescent="0.3">
      <c r="G3303" s="15">
        <v>9.1611111111111114</v>
      </c>
      <c r="H3303" s="3">
        <v>3.7879629629630304E-2</v>
      </c>
    </row>
    <row r="3304" spans="7:8" x14ac:dyDescent="0.3">
      <c r="G3304" s="15">
        <v>9.1638888888888896</v>
      </c>
      <c r="H3304" s="3">
        <v>3.7878703703704379E-2</v>
      </c>
    </row>
    <row r="3305" spans="7:8" x14ac:dyDescent="0.3">
      <c r="G3305" s="15">
        <v>9.1666666666666661</v>
      </c>
      <c r="H3305" s="3">
        <v>3.7877777777778454E-2</v>
      </c>
    </row>
    <row r="3306" spans="7:8" x14ac:dyDescent="0.3">
      <c r="G3306" s="15">
        <v>9.1694444444444443</v>
      </c>
      <c r="H3306" s="3">
        <v>3.7876851851852529E-2</v>
      </c>
    </row>
    <row r="3307" spans="7:8" x14ac:dyDescent="0.3">
      <c r="G3307" s="15">
        <v>9.1722222222222225</v>
      </c>
      <c r="H3307" s="3">
        <v>3.7875925925926604E-2</v>
      </c>
    </row>
    <row r="3308" spans="7:8" x14ac:dyDescent="0.3">
      <c r="G3308" s="15">
        <v>9.1750000000000007</v>
      </c>
      <c r="H3308" s="3">
        <v>3.7875000000000679E-2</v>
      </c>
    </row>
    <row r="3309" spans="7:8" x14ac:dyDescent="0.3">
      <c r="G3309" s="15">
        <v>9.1777777777777771</v>
      </c>
      <c r="H3309" s="3">
        <v>3.7874074074074754E-2</v>
      </c>
    </row>
    <row r="3310" spans="7:8" x14ac:dyDescent="0.3">
      <c r="G3310" s="15">
        <v>9.1805555555555554</v>
      </c>
      <c r="H3310" s="3">
        <v>3.7873148148148829E-2</v>
      </c>
    </row>
    <row r="3311" spans="7:8" x14ac:dyDescent="0.3">
      <c r="G3311" s="15">
        <v>9.1833333333333336</v>
      </c>
      <c r="H3311" s="3">
        <v>3.7872222222222904E-2</v>
      </c>
    </row>
    <row r="3312" spans="7:8" x14ac:dyDescent="0.3">
      <c r="G3312" s="15">
        <v>9.1861111111111118</v>
      </c>
      <c r="H3312" s="3">
        <v>3.7871296296296979E-2</v>
      </c>
    </row>
    <row r="3313" spans="7:8" x14ac:dyDescent="0.3">
      <c r="G3313" s="15">
        <v>9.1888888888888882</v>
      </c>
      <c r="H3313" s="3">
        <v>3.7870370370371054E-2</v>
      </c>
    </row>
    <row r="3314" spans="7:8" x14ac:dyDescent="0.3">
      <c r="G3314" s="15">
        <v>9.1916666666666664</v>
      </c>
      <c r="H3314" s="3">
        <v>3.7869444444445129E-2</v>
      </c>
    </row>
    <row r="3315" spans="7:8" x14ac:dyDescent="0.3">
      <c r="G3315" s="15">
        <v>9.1944444444444446</v>
      </c>
      <c r="H3315" s="3">
        <v>3.7868518518519204E-2</v>
      </c>
    </row>
    <row r="3316" spans="7:8" x14ac:dyDescent="0.3">
      <c r="G3316" s="15">
        <v>9.1972222222222229</v>
      </c>
      <c r="H3316" s="3">
        <v>3.7867592592593279E-2</v>
      </c>
    </row>
    <row r="3317" spans="7:8" x14ac:dyDescent="0.3">
      <c r="G3317" s="15">
        <v>9.1999999999999993</v>
      </c>
      <c r="H3317" s="3">
        <v>3.7866666666667353E-2</v>
      </c>
    </row>
    <row r="3318" spans="7:8" x14ac:dyDescent="0.3">
      <c r="G3318" s="15">
        <v>9.2027777777777775</v>
      </c>
      <c r="H3318" s="3">
        <v>3.7865740740741428E-2</v>
      </c>
    </row>
    <row r="3319" spans="7:8" x14ac:dyDescent="0.3">
      <c r="G3319" s="15">
        <v>9.2055555555555557</v>
      </c>
      <c r="H3319" s="3">
        <v>3.7864814814815503E-2</v>
      </c>
    </row>
    <row r="3320" spans="7:8" x14ac:dyDescent="0.3">
      <c r="G3320" s="15">
        <v>9.2083333333333339</v>
      </c>
      <c r="H3320" s="3">
        <v>3.7863888888889578E-2</v>
      </c>
    </row>
    <row r="3321" spans="7:8" x14ac:dyDescent="0.3">
      <c r="G3321" s="15">
        <v>9.2111111111111104</v>
      </c>
      <c r="H3321" s="3">
        <v>3.7862962962963653E-2</v>
      </c>
    </row>
    <row r="3322" spans="7:8" x14ac:dyDescent="0.3">
      <c r="G3322" s="15">
        <v>9.2138888888888886</v>
      </c>
      <c r="H3322" s="3">
        <v>3.7862037037037728E-2</v>
      </c>
    </row>
    <row r="3323" spans="7:8" x14ac:dyDescent="0.3">
      <c r="G3323" s="15">
        <v>9.2166666666666668</v>
      </c>
      <c r="H3323" s="3">
        <v>3.7861111111111803E-2</v>
      </c>
    </row>
    <row r="3324" spans="7:8" x14ac:dyDescent="0.3">
      <c r="G3324" s="15">
        <v>9.219444444444445</v>
      </c>
      <c r="H3324" s="3">
        <v>3.7860185185185878E-2</v>
      </c>
    </row>
    <row r="3325" spans="7:8" x14ac:dyDescent="0.3">
      <c r="G3325" s="15">
        <v>9.2222222222222214</v>
      </c>
      <c r="H3325" s="3">
        <v>3.7859259259259953E-2</v>
      </c>
    </row>
    <row r="3326" spans="7:8" x14ac:dyDescent="0.3">
      <c r="G3326" s="15">
        <v>9.2249999999999996</v>
      </c>
      <c r="H3326" s="3">
        <v>3.7858333333334028E-2</v>
      </c>
    </row>
    <row r="3327" spans="7:8" x14ac:dyDescent="0.3">
      <c r="G3327" s="15">
        <v>9.2277777777777779</v>
      </c>
      <c r="H3327" s="3">
        <v>3.7857407407408103E-2</v>
      </c>
    </row>
    <row r="3328" spans="7:8" x14ac:dyDescent="0.3">
      <c r="G3328" s="15">
        <v>9.2305555555555561</v>
      </c>
      <c r="H3328" s="3">
        <v>3.7856481481482178E-2</v>
      </c>
    </row>
    <row r="3329" spans="7:8" x14ac:dyDescent="0.3">
      <c r="G3329" s="15">
        <v>9.2333333333333325</v>
      </c>
      <c r="H3329" s="3">
        <v>3.7855555555556253E-2</v>
      </c>
    </row>
    <row r="3330" spans="7:8" x14ac:dyDescent="0.3">
      <c r="G3330" s="15">
        <v>9.2361111111111107</v>
      </c>
      <c r="H3330" s="3">
        <v>3.7854629629630328E-2</v>
      </c>
    </row>
    <row r="3331" spans="7:8" x14ac:dyDescent="0.3">
      <c r="G3331" s="15">
        <v>9.2388888888888889</v>
      </c>
      <c r="H3331" s="3">
        <v>3.7853703703704403E-2</v>
      </c>
    </row>
    <row r="3332" spans="7:8" x14ac:dyDescent="0.3">
      <c r="G3332" s="15">
        <v>9.2416666666666671</v>
      </c>
      <c r="H3332" s="3">
        <v>3.7852777777778478E-2</v>
      </c>
    </row>
    <row r="3333" spans="7:8" x14ac:dyDescent="0.3">
      <c r="G3333" s="15">
        <v>9.2444444444444436</v>
      </c>
      <c r="H3333" s="3">
        <v>3.7851851851852553E-2</v>
      </c>
    </row>
    <row r="3334" spans="7:8" x14ac:dyDescent="0.3">
      <c r="G3334" s="15">
        <v>9.2472222222222218</v>
      </c>
      <c r="H3334" s="3">
        <v>3.7850925925926621E-2</v>
      </c>
    </row>
    <row r="3335" spans="7:8" x14ac:dyDescent="0.3">
      <c r="G3335" s="15">
        <v>9.25</v>
      </c>
      <c r="H3335" s="3">
        <v>3.7850000000000696E-2</v>
      </c>
    </row>
    <row r="3336" spans="7:8" x14ac:dyDescent="0.3">
      <c r="G3336" s="15">
        <v>9.2527777777777782</v>
      </c>
      <c r="H3336" s="3">
        <v>3.7849074074074771E-2</v>
      </c>
    </row>
    <row r="3337" spans="7:8" x14ac:dyDescent="0.3">
      <c r="G3337" s="15">
        <v>9.2555555555555564</v>
      </c>
      <c r="H3337" s="3">
        <v>3.7848148148148839E-2</v>
      </c>
    </row>
    <row r="3338" spans="7:8" x14ac:dyDescent="0.3">
      <c r="G3338" s="15">
        <v>9.2583333333333329</v>
      </c>
      <c r="H3338" s="3">
        <v>3.7847222222222907E-2</v>
      </c>
    </row>
    <row r="3339" spans="7:8" x14ac:dyDescent="0.3">
      <c r="G3339" s="15">
        <v>9.2611111111111111</v>
      </c>
      <c r="H3339" s="3">
        <v>3.7846296296296981E-2</v>
      </c>
    </row>
    <row r="3340" spans="7:8" x14ac:dyDescent="0.3">
      <c r="G3340" s="15">
        <v>9.2638888888888893</v>
      </c>
      <c r="H3340" s="3">
        <v>3.7845370370371056E-2</v>
      </c>
    </row>
    <row r="3341" spans="7:8" x14ac:dyDescent="0.3">
      <c r="G3341" s="15">
        <v>9.2666666666666675</v>
      </c>
      <c r="H3341" s="3">
        <v>3.7844444444445124E-2</v>
      </c>
    </row>
    <row r="3342" spans="7:8" x14ac:dyDescent="0.3">
      <c r="G3342" s="15">
        <v>9.2694444444444439</v>
      </c>
      <c r="H3342" s="3">
        <v>3.7843518518519192E-2</v>
      </c>
    </row>
    <row r="3343" spans="7:8" x14ac:dyDescent="0.3">
      <c r="G3343" s="15">
        <v>9.2722222222222221</v>
      </c>
      <c r="H3343" s="3">
        <v>3.7842592592593267E-2</v>
      </c>
    </row>
    <row r="3344" spans="7:8" x14ac:dyDescent="0.3">
      <c r="G3344" s="15">
        <v>9.2750000000000004</v>
      </c>
      <c r="H3344" s="3">
        <v>3.7841666666667342E-2</v>
      </c>
    </row>
    <row r="3345" spans="7:8" x14ac:dyDescent="0.3">
      <c r="G3345" s="15">
        <v>9.2777777777777786</v>
      </c>
      <c r="H3345" s="3">
        <v>3.784074074074141E-2</v>
      </c>
    </row>
    <row r="3346" spans="7:8" x14ac:dyDescent="0.3">
      <c r="G3346" s="15">
        <v>9.280555555555555</v>
      </c>
      <c r="H3346" s="3">
        <v>3.7839814814815478E-2</v>
      </c>
    </row>
    <row r="3347" spans="7:8" x14ac:dyDescent="0.3">
      <c r="G3347" s="15">
        <v>9.2833333333333332</v>
      </c>
      <c r="H3347" s="3">
        <v>3.7838888888889553E-2</v>
      </c>
    </row>
    <row r="3348" spans="7:8" x14ac:dyDescent="0.3">
      <c r="G3348" s="15">
        <v>9.2861111111111114</v>
      </c>
      <c r="H3348" s="3">
        <v>3.7837962962963628E-2</v>
      </c>
    </row>
    <row r="3349" spans="7:8" x14ac:dyDescent="0.3">
      <c r="G3349" s="15">
        <v>9.2888888888888896</v>
      </c>
      <c r="H3349" s="3">
        <v>3.7837037037037696E-2</v>
      </c>
    </row>
    <row r="3350" spans="7:8" x14ac:dyDescent="0.3">
      <c r="G3350" s="15">
        <v>9.2916666666666661</v>
      </c>
      <c r="H3350" s="3">
        <v>3.7836111111111764E-2</v>
      </c>
    </row>
    <row r="3351" spans="7:8" x14ac:dyDescent="0.3">
      <c r="G3351" s="15">
        <v>9.2944444444444443</v>
      </c>
      <c r="H3351" s="3">
        <v>3.7835185185185839E-2</v>
      </c>
    </row>
    <row r="3352" spans="7:8" x14ac:dyDescent="0.3">
      <c r="G3352" s="15">
        <v>9.2972222222222225</v>
      </c>
      <c r="H3352" s="3">
        <v>3.7834259259259914E-2</v>
      </c>
    </row>
    <row r="3353" spans="7:8" x14ac:dyDescent="0.3">
      <c r="G3353" s="15">
        <v>9.3000000000000007</v>
      </c>
      <c r="H3353" s="3">
        <v>3.7833333333333982E-2</v>
      </c>
    </row>
    <row r="3354" spans="7:8" x14ac:dyDescent="0.3">
      <c r="G3354" s="15">
        <v>9.3027777777777771</v>
      </c>
      <c r="H3354" s="3">
        <v>3.783240740740805E-2</v>
      </c>
    </row>
    <row r="3355" spans="7:8" x14ac:dyDescent="0.3">
      <c r="G3355" s="15">
        <v>9.3055555555555554</v>
      </c>
      <c r="H3355" s="3">
        <v>3.7831481481482125E-2</v>
      </c>
    </row>
    <row r="3356" spans="7:8" x14ac:dyDescent="0.3">
      <c r="G3356" s="15">
        <v>9.3083333333333336</v>
      </c>
      <c r="H3356" s="3">
        <v>3.78305555555562E-2</v>
      </c>
    </row>
    <row r="3357" spans="7:8" x14ac:dyDescent="0.3">
      <c r="G3357" s="15">
        <v>9.3111111111111118</v>
      </c>
      <c r="H3357" s="3">
        <v>3.7829629629630268E-2</v>
      </c>
    </row>
    <row r="3358" spans="7:8" x14ac:dyDescent="0.3">
      <c r="G3358" s="15">
        <v>9.3138888888888882</v>
      </c>
      <c r="H3358" s="3">
        <v>3.7828703703704336E-2</v>
      </c>
    </row>
    <row r="3359" spans="7:8" x14ac:dyDescent="0.3">
      <c r="G3359" s="15">
        <v>9.3166666666666664</v>
      </c>
      <c r="H3359" s="3">
        <v>3.7827777777778411E-2</v>
      </c>
    </row>
    <row r="3360" spans="7:8" x14ac:dyDescent="0.3">
      <c r="G3360" s="15">
        <v>9.3194444444444446</v>
      </c>
      <c r="H3360" s="3">
        <v>3.7826851851852486E-2</v>
      </c>
    </row>
    <row r="3361" spans="7:8" x14ac:dyDescent="0.3">
      <c r="G3361" s="15">
        <v>9.3222222222222229</v>
      </c>
      <c r="H3361" s="3">
        <v>3.7825925925926554E-2</v>
      </c>
    </row>
    <row r="3362" spans="7:8" x14ac:dyDescent="0.3">
      <c r="G3362" s="15">
        <v>9.3249999999999993</v>
      </c>
      <c r="H3362" s="3">
        <v>3.7825000000000622E-2</v>
      </c>
    </row>
    <row r="3363" spans="7:8" x14ac:dyDescent="0.3">
      <c r="G3363" s="15">
        <v>9.3277777777777775</v>
      </c>
      <c r="H3363" s="3">
        <v>3.7824074074074697E-2</v>
      </c>
    </row>
    <row r="3364" spans="7:8" x14ac:dyDescent="0.3">
      <c r="G3364" s="15">
        <v>9.3305555555555557</v>
      </c>
      <c r="H3364" s="3">
        <v>3.7823148148148772E-2</v>
      </c>
    </row>
    <row r="3365" spans="7:8" x14ac:dyDescent="0.3">
      <c r="G3365" s="15">
        <v>9.3333333333333339</v>
      </c>
      <c r="H3365" s="3">
        <v>3.782222222222284E-2</v>
      </c>
    </row>
    <row r="3366" spans="7:8" x14ac:dyDescent="0.3">
      <c r="G3366" s="15">
        <v>9.3361111111111104</v>
      </c>
      <c r="H3366" s="3">
        <v>3.7821296296296908E-2</v>
      </c>
    </row>
    <row r="3367" spans="7:8" x14ac:dyDescent="0.3">
      <c r="G3367" s="15">
        <v>9.3388888888888886</v>
      </c>
      <c r="H3367" s="3">
        <v>3.7820370370370983E-2</v>
      </c>
    </row>
    <row r="3368" spans="7:8" x14ac:dyDescent="0.3">
      <c r="G3368" s="15">
        <v>9.3416666666666668</v>
      </c>
      <c r="H3368" s="3">
        <v>3.7819444444445058E-2</v>
      </c>
    </row>
    <row r="3369" spans="7:8" x14ac:dyDescent="0.3">
      <c r="G3369" s="15">
        <v>9.344444444444445</v>
      </c>
      <c r="H3369" s="3">
        <v>3.7818518518519126E-2</v>
      </c>
    </row>
    <row r="3370" spans="7:8" x14ac:dyDescent="0.3">
      <c r="G3370" s="15">
        <v>9.3472222222222214</v>
      </c>
      <c r="H3370" s="3">
        <v>3.7817592592593194E-2</v>
      </c>
    </row>
    <row r="3371" spans="7:8" x14ac:dyDescent="0.3">
      <c r="G3371" s="15">
        <v>9.35</v>
      </c>
      <c r="H3371" s="3">
        <v>3.7816666666667269E-2</v>
      </c>
    </row>
    <row r="3372" spans="7:8" x14ac:dyDescent="0.3">
      <c r="G3372" s="15">
        <v>9.3527777777777779</v>
      </c>
      <c r="H3372" s="3">
        <v>3.7815740740741344E-2</v>
      </c>
    </row>
    <row r="3373" spans="7:8" x14ac:dyDescent="0.3">
      <c r="G3373" s="15">
        <v>9.3555555555555561</v>
      </c>
      <c r="H3373" s="3">
        <v>3.7814814814815412E-2</v>
      </c>
    </row>
    <row r="3374" spans="7:8" x14ac:dyDescent="0.3">
      <c r="G3374" s="15">
        <v>9.3583333333333325</v>
      </c>
      <c r="H3374" s="3">
        <v>3.781388888888948E-2</v>
      </c>
    </row>
    <row r="3375" spans="7:8" x14ac:dyDescent="0.3">
      <c r="G3375" s="15">
        <v>9.3611111111111107</v>
      </c>
      <c r="H3375" s="3">
        <v>3.7812962962963555E-2</v>
      </c>
    </row>
    <row r="3376" spans="7:8" x14ac:dyDescent="0.3">
      <c r="G3376" s="15">
        <v>9.3638888888888889</v>
      </c>
      <c r="H3376" s="3">
        <v>3.781203703703763E-2</v>
      </c>
    </row>
    <row r="3377" spans="7:8" x14ac:dyDescent="0.3">
      <c r="G3377" s="15">
        <v>9.3666666666666671</v>
      </c>
      <c r="H3377" s="3">
        <v>3.7811111111111698E-2</v>
      </c>
    </row>
    <row r="3378" spans="7:8" x14ac:dyDescent="0.3">
      <c r="G3378" s="15">
        <v>9.3694444444444436</v>
      </c>
      <c r="H3378" s="3">
        <v>3.7810185185185766E-2</v>
      </c>
    </row>
    <row r="3379" spans="7:8" x14ac:dyDescent="0.3">
      <c r="G3379" s="15">
        <v>9.3722222222222218</v>
      </c>
      <c r="H3379" s="3">
        <v>3.7809259259259841E-2</v>
      </c>
    </row>
    <row r="3380" spans="7:8" x14ac:dyDescent="0.3">
      <c r="G3380" s="15">
        <v>9.375</v>
      </c>
      <c r="H3380" s="3">
        <v>3.7808333333333916E-2</v>
      </c>
    </row>
    <row r="3381" spans="7:8" x14ac:dyDescent="0.3">
      <c r="G3381" s="15">
        <v>9.3777777777777782</v>
      </c>
      <c r="H3381" s="3">
        <v>3.7807407407407984E-2</v>
      </c>
    </row>
    <row r="3382" spans="7:8" x14ac:dyDescent="0.3">
      <c r="G3382" s="15">
        <v>9.3805555555555564</v>
      </c>
      <c r="H3382" s="3">
        <v>3.7806481481482052E-2</v>
      </c>
    </row>
    <row r="3383" spans="7:8" x14ac:dyDescent="0.3">
      <c r="G3383" s="15">
        <v>9.3833333333333329</v>
      </c>
      <c r="H3383" s="3">
        <v>3.7805555555556127E-2</v>
      </c>
    </row>
    <row r="3384" spans="7:8" x14ac:dyDescent="0.3">
      <c r="G3384" s="15">
        <v>9.3861111111111111</v>
      </c>
      <c r="H3384" s="3">
        <v>3.7804629629630201E-2</v>
      </c>
    </row>
    <row r="3385" spans="7:8" x14ac:dyDescent="0.3">
      <c r="G3385" s="15">
        <v>9.3888888888888893</v>
      </c>
      <c r="H3385" s="3">
        <v>3.7803703703704269E-2</v>
      </c>
    </row>
    <row r="3386" spans="7:8" x14ac:dyDescent="0.3">
      <c r="G3386" s="15">
        <v>9.3916666666666675</v>
      </c>
      <c r="H3386" s="3">
        <v>3.7802777777778337E-2</v>
      </c>
    </row>
    <row r="3387" spans="7:8" x14ac:dyDescent="0.3">
      <c r="G3387" s="15">
        <v>9.3944444444444439</v>
      </c>
      <c r="H3387" s="3">
        <v>3.7801851851852412E-2</v>
      </c>
    </row>
    <row r="3388" spans="7:8" x14ac:dyDescent="0.3">
      <c r="G3388" s="15">
        <v>9.3972222222222221</v>
      </c>
      <c r="H3388" s="3">
        <v>3.7800925925926487E-2</v>
      </c>
    </row>
    <row r="3389" spans="7:8" x14ac:dyDescent="0.3">
      <c r="G3389" s="15">
        <v>9.4</v>
      </c>
      <c r="H3389" s="3">
        <v>3.7800000000000555E-2</v>
      </c>
    </row>
    <row r="3390" spans="7:8" x14ac:dyDescent="0.3">
      <c r="G3390" s="15">
        <v>9.4027777777777786</v>
      </c>
      <c r="H3390" s="3">
        <v>3.7799074074074623E-2</v>
      </c>
    </row>
    <row r="3391" spans="7:8" x14ac:dyDescent="0.3">
      <c r="G3391" s="15">
        <v>9.405555555555555</v>
      </c>
      <c r="H3391" s="3">
        <v>3.7798148148148698E-2</v>
      </c>
    </row>
    <row r="3392" spans="7:8" x14ac:dyDescent="0.3">
      <c r="G3392" s="15">
        <v>9.4083333333333332</v>
      </c>
      <c r="H3392" s="3">
        <v>3.7797222222222773E-2</v>
      </c>
    </row>
    <row r="3393" spans="7:8" x14ac:dyDescent="0.3">
      <c r="G3393" s="15">
        <v>9.4111111111111114</v>
      </c>
      <c r="H3393" s="3">
        <v>3.7796296296296841E-2</v>
      </c>
    </row>
    <row r="3394" spans="7:8" x14ac:dyDescent="0.3">
      <c r="G3394" s="15">
        <v>9.4138888888888896</v>
      </c>
      <c r="H3394" s="3">
        <v>3.7795370370370909E-2</v>
      </c>
    </row>
    <row r="3395" spans="7:8" x14ac:dyDescent="0.3">
      <c r="G3395" s="15">
        <v>9.4166666666666661</v>
      </c>
      <c r="H3395" s="3">
        <v>3.7794444444444984E-2</v>
      </c>
    </row>
    <row r="3396" spans="7:8" x14ac:dyDescent="0.3">
      <c r="G3396" s="15">
        <v>9.4194444444444443</v>
      </c>
      <c r="H3396" s="3">
        <v>3.7793518518519059E-2</v>
      </c>
    </row>
    <row r="3397" spans="7:8" x14ac:dyDescent="0.3">
      <c r="G3397" s="15">
        <v>9.4222222222222225</v>
      </c>
      <c r="H3397" s="3">
        <v>3.7792592592593127E-2</v>
      </c>
    </row>
    <row r="3398" spans="7:8" x14ac:dyDescent="0.3">
      <c r="G3398" s="15">
        <v>9.4250000000000007</v>
      </c>
      <c r="H3398" s="3">
        <v>3.7791666666667195E-2</v>
      </c>
    </row>
    <row r="3399" spans="7:8" x14ac:dyDescent="0.3">
      <c r="G3399" s="15">
        <v>9.4277777777777771</v>
      </c>
      <c r="H3399" s="3">
        <v>3.779074074074127E-2</v>
      </c>
    </row>
    <row r="3400" spans="7:8" x14ac:dyDescent="0.3">
      <c r="G3400" s="15">
        <v>9.4305555555555554</v>
      </c>
      <c r="H3400" s="3">
        <v>3.7789814814815345E-2</v>
      </c>
    </row>
    <row r="3401" spans="7:8" x14ac:dyDescent="0.3">
      <c r="G3401" s="15">
        <v>9.4333333333333336</v>
      </c>
      <c r="H3401" s="3">
        <v>3.7788888888889413E-2</v>
      </c>
    </row>
    <row r="3402" spans="7:8" x14ac:dyDescent="0.3">
      <c r="G3402" s="15">
        <v>9.4361111111111118</v>
      </c>
      <c r="H3402" s="3">
        <v>3.7787962962963481E-2</v>
      </c>
    </row>
    <row r="3403" spans="7:8" x14ac:dyDescent="0.3">
      <c r="G3403" s="15">
        <v>9.4388888888888882</v>
      </c>
      <c r="H3403" s="3">
        <v>3.7787037037037556E-2</v>
      </c>
    </row>
    <row r="3404" spans="7:8" x14ac:dyDescent="0.3">
      <c r="G3404" s="15">
        <v>9.4416666666666664</v>
      </c>
      <c r="H3404" s="3">
        <v>3.7786111111111631E-2</v>
      </c>
    </row>
    <row r="3405" spans="7:8" x14ac:dyDescent="0.3">
      <c r="G3405" s="15">
        <v>9.4444444444444446</v>
      </c>
      <c r="H3405" s="3">
        <v>3.7785185185185699E-2</v>
      </c>
    </row>
    <row r="3406" spans="7:8" x14ac:dyDescent="0.3">
      <c r="G3406" s="15">
        <v>9.4472222222222229</v>
      </c>
      <c r="H3406" s="3">
        <v>3.7784259259259767E-2</v>
      </c>
    </row>
    <row r="3407" spans="7:8" x14ac:dyDescent="0.3">
      <c r="G3407" s="15">
        <v>9.4499999999999993</v>
      </c>
      <c r="H3407" s="3">
        <v>3.7783333333333842E-2</v>
      </c>
    </row>
    <row r="3408" spans="7:8" x14ac:dyDescent="0.3">
      <c r="G3408" s="15">
        <v>9.4527777777777775</v>
      </c>
      <c r="H3408" s="3">
        <v>3.7782407407407917E-2</v>
      </c>
    </row>
    <row r="3409" spans="7:8" x14ac:dyDescent="0.3">
      <c r="G3409" s="15">
        <v>9.4555555555555557</v>
      </c>
      <c r="H3409" s="3">
        <v>3.7781481481481985E-2</v>
      </c>
    </row>
    <row r="3410" spans="7:8" x14ac:dyDescent="0.3">
      <c r="G3410" s="15">
        <v>9.4583333333333339</v>
      </c>
      <c r="H3410" s="3">
        <v>3.7780555555556053E-2</v>
      </c>
    </row>
    <row r="3411" spans="7:8" x14ac:dyDescent="0.3">
      <c r="G3411" s="15">
        <v>9.4611111111111104</v>
      </c>
      <c r="H3411" s="3">
        <v>3.7779629629630128E-2</v>
      </c>
    </row>
    <row r="3412" spans="7:8" x14ac:dyDescent="0.3">
      <c r="G3412" s="15">
        <v>9.4638888888888886</v>
      </c>
      <c r="H3412" s="3">
        <v>3.7778703703704203E-2</v>
      </c>
    </row>
    <row r="3413" spans="7:8" x14ac:dyDescent="0.3">
      <c r="G3413" s="15">
        <v>9.4666666666666668</v>
      </c>
      <c r="H3413" s="3">
        <v>3.7777777777778271E-2</v>
      </c>
    </row>
    <row r="3414" spans="7:8" x14ac:dyDescent="0.3">
      <c r="G3414" s="15">
        <v>9.469444444444445</v>
      </c>
      <c r="H3414" s="3">
        <v>3.7776851851852339E-2</v>
      </c>
    </row>
    <row r="3415" spans="7:8" x14ac:dyDescent="0.3">
      <c r="G3415" s="15">
        <v>9.4722222222222214</v>
      </c>
      <c r="H3415" s="3">
        <v>3.7775925925926414E-2</v>
      </c>
    </row>
    <row r="3416" spans="7:8" x14ac:dyDescent="0.3">
      <c r="G3416" s="15">
        <v>9.4749999999999996</v>
      </c>
      <c r="H3416" s="3">
        <v>3.7775000000000489E-2</v>
      </c>
    </row>
    <row r="3417" spans="7:8" x14ac:dyDescent="0.3">
      <c r="G3417" s="15">
        <v>9.4777777777777779</v>
      </c>
      <c r="H3417" s="3">
        <v>3.7774074074074557E-2</v>
      </c>
    </row>
    <row r="3418" spans="7:8" x14ac:dyDescent="0.3">
      <c r="G3418" s="15">
        <v>9.4805555555555561</v>
      </c>
      <c r="H3418" s="3">
        <v>3.7773148148148625E-2</v>
      </c>
    </row>
    <row r="3419" spans="7:8" x14ac:dyDescent="0.3">
      <c r="G3419" s="15">
        <v>9.4833333333333325</v>
      </c>
      <c r="H3419" s="3">
        <v>3.77722222222227E-2</v>
      </c>
    </row>
    <row r="3420" spans="7:8" x14ac:dyDescent="0.3">
      <c r="G3420" s="15">
        <v>9.4861111111111107</v>
      </c>
      <c r="H3420" s="3">
        <v>3.7771296296296775E-2</v>
      </c>
    </row>
    <row r="3421" spans="7:8" x14ac:dyDescent="0.3">
      <c r="G3421" s="15">
        <v>9.4888888888888889</v>
      </c>
      <c r="H3421" s="3">
        <v>3.7770370370370843E-2</v>
      </c>
    </row>
    <row r="3422" spans="7:8" x14ac:dyDescent="0.3">
      <c r="G3422" s="15">
        <v>9.4916666666666671</v>
      </c>
      <c r="H3422" s="3">
        <v>3.7769444444444911E-2</v>
      </c>
    </row>
    <row r="3423" spans="7:8" x14ac:dyDescent="0.3">
      <c r="G3423" s="15">
        <v>9.4944444444444436</v>
      </c>
      <c r="H3423" s="3">
        <v>3.7768518518518986E-2</v>
      </c>
    </row>
    <row r="3424" spans="7:8" x14ac:dyDescent="0.3">
      <c r="G3424" s="15">
        <v>9.4972222222222218</v>
      </c>
      <c r="H3424" s="3">
        <v>3.7767592592593061E-2</v>
      </c>
    </row>
    <row r="3425" spans="7:8" x14ac:dyDescent="0.3">
      <c r="G3425" s="15">
        <v>9.5</v>
      </c>
      <c r="H3425" s="3">
        <v>3.7766666666667129E-2</v>
      </c>
    </row>
    <row r="3426" spans="7:8" x14ac:dyDescent="0.3">
      <c r="G3426" s="15">
        <v>9.5027777777777782</v>
      </c>
      <c r="H3426" s="3">
        <v>3.7765740740741197E-2</v>
      </c>
    </row>
    <row r="3427" spans="7:8" x14ac:dyDescent="0.3">
      <c r="G3427" s="15">
        <v>9.5055555555555564</v>
      </c>
      <c r="H3427" s="3">
        <v>3.7764814814815272E-2</v>
      </c>
    </row>
    <row r="3428" spans="7:8" x14ac:dyDescent="0.3">
      <c r="G3428" s="15">
        <v>9.5083333333333329</v>
      </c>
      <c r="H3428" s="3">
        <v>3.7763888888889346E-2</v>
      </c>
    </row>
    <row r="3429" spans="7:8" x14ac:dyDescent="0.3">
      <c r="G3429" s="15">
        <v>9.5111111111111111</v>
      </c>
      <c r="H3429" s="3">
        <v>3.7762962962963414E-2</v>
      </c>
    </row>
    <row r="3430" spans="7:8" x14ac:dyDescent="0.3">
      <c r="G3430" s="15">
        <v>9.5138888888888893</v>
      </c>
      <c r="H3430" s="3">
        <v>3.7762037037037482E-2</v>
      </c>
    </row>
    <row r="3431" spans="7:8" x14ac:dyDescent="0.3">
      <c r="G3431" s="15">
        <v>9.5166666666666675</v>
      </c>
      <c r="H3431" s="3">
        <v>3.7761111111111557E-2</v>
      </c>
    </row>
    <row r="3432" spans="7:8" x14ac:dyDescent="0.3">
      <c r="G3432" s="15">
        <v>9.5194444444444439</v>
      </c>
      <c r="H3432" s="3">
        <v>3.7760185185185632E-2</v>
      </c>
    </row>
    <row r="3433" spans="7:8" x14ac:dyDescent="0.3">
      <c r="G3433" s="15">
        <v>9.5222222222222221</v>
      </c>
      <c r="H3433" s="3">
        <v>3.77592592592597E-2</v>
      </c>
    </row>
    <row r="3434" spans="7:8" x14ac:dyDescent="0.3">
      <c r="G3434" s="15">
        <v>9.5250000000000004</v>
      </c>
      <c r="H3434" s="3">
        <v>3.7758333333333768E-2</v>
      </c>
    </row>
    <row r="3435" spans="7:8" x14ac:dyDescent="0.3">
      <c r="G3435" s="15">
        <v>9.5277777777777786</v>
      </c>
      <c r="H3435" s="3">
        <v>3.7757407407407843E-2</v>
      </c>
    </row>
    <row r="3436" spans="7:8" x14ac:dyDescent="0.3">
      <c r="G3436" s="15">
        <v>9.530555555555555</v>
      </c>
      <c r="H3436" s="3">
        <v>3.7756481481481918E-2</v>
      </c>
    </row>
    <row r="3437" spans="7:8" x14ac:dyDescent="0.3">
      <c r="G3437" s="15">
        <v>9.5333333333333332</v>
      </c>
      <c r="H3437" s="3">
        <v>3.7755555555555986E-2</v>
      </c>
    </row>
    <row r="3438" spans="7:8" x14ac:dyDescent="0.3">
      <c r="G3438" s="15">
        <v>9.5361111111111114</v>
      </c>
      <c r="H3438" s="3">
        <v>3.7754629629630054E-2</v>
      </c>
    </row>
    <row r="3439" spans="7:8" x14ac:dyDescent="0.3">
      <c r="G3439" s="15">
        <v>9.5388888888888896</v>
      </c>
      <c r="H3439" s="3">
        <v>3.7753703703704129E-2</v>
      </c>
    </row>
    <row r="3440" spans="7:8" x14ac:dyDescent="0.3">
      <c r="G3440" s="15">
        <v>9.5416666666666661</v>
      </c>
      <c r="H3440" s="3">
        <v>3.7752777777778204E-2</v>
      </c>
    </row>
    <row r="3441" spans="7:8" x14ac:dyDescent="0.3">
      <c r="G3441" s="15">
        <v>9.5444444444444443</v>
      </c>
      <c r="H3441" s="3">
        <v>3.7751851851852272E-2</v>
      </c>
    </row>
    <row r="3442" spans="7:8" x14ac:dyDescent="0.3">
      <c r="G3442" s="15">
        <v>9.5472222222222225</v>
      </c>
      <c r="H3442" s="3">
        <v>3.775092592592634E-2</v>
      </c>
    </row>
    <row r="3443" spans="7:8" x14ac:dyDescent="0.3">
      <c r="G3443" s="15">
        <v>9.5500000000000007</v>
      </c>
      <c r="H3443" s="3">
        <v>3.7750000000000415E-2</v>
      </c>
    </row>
    <row r="3444" spans="7:8" x14ac:dyDescent="0.3">
      <c r="G3444" s="15">
        <v>9.5527777777777771</v>
      </c>
      <c r="H3444" s="3">
        <v>3.774907407407449E-2</v>
      </c>
    </row>
    <row r="3445" spans="7:8" x14ac:dyDescent="0.3">
      <c r="G3445" s="15">
        <v>9.5555555555555554</v>
      </c>
      <c r="H3445" s="3">
        <v>3.7748148148148558E-2</v>
      </c>
    </row>
    <row r="3446" spans="7:8" x14ac:dyDescent="0.3">
      <c r="G3446" s="15">
        <v>9.5583333333333336</v>
      </c>
      <c r="H3446" s="3">
        <v>3.7747222222222626E-2</v>
      </c>
    </row>
    <row r="3447" spans="7:8" x14ac:dyDescent="0.3">
      <c r="G3447" s="15">
        <v>9.5611111111111118</v>
      </c>
      <c r="H3447" s="3">
        <v>3.7746296296296701E-2</v>
      </c>
    </row>
    <row r="3448" spans="7:8" x14ac:dyDescent="0.3">
      <c r="G3448" s="15">
        <v>9.5638888888888882</v>
      </c>
      <c r="H3448" s="3">
        <v>3.7745370370370776E-2</v>
      </c>
    </row>
    <row r="3449" spans="7:8" x14ac:dyDescent="0.3">
      <c r="G3449" s="15">
        <v>9.5666666666666664</v>
      </c>
      <c r="H3449" s="3">
        <v>3.7744444444444844E-2</v>
      </c>
    </row>
    <row r="3450" spans="7:8" x14ac:dyDescent="0.3">
      <c r="G3450" s="15">
        <v>9.5694444444444446</v>
      </c>
      <c r="H3450" s="3">
        <v>3.7743518518518912E-2</v>
      </c>
    </row>
    <row r="3451" spans="7:8" x14ac:dyDescent="0.3">
      <c r="G3451" s="15">
        <v>9.5722222222222229</v>
      </c>
      <c r="H3451" s="3">
        <v>3.7742592592592987E-2</v>
      </c>
    </row>
    <row r="3452" spans="7:8" x14ac:dyDescent="0.3">
      <c r="G3452" s="15">
        <v>9.5749999999999993</v>
      </c>
      <c r="H3452" s="3">
        <v>3.7741666666667062E-2</v>
      </c>
    </row>
    <row r="3453" spans="7:8" x14ac:dyDescent="0.3">
      <c r="G3453" s="15">
        <v>9.5777777777777775</v>
      </c>
      <c r="H3453" s="3">
        <v>3.774074074074113E-2</v>
      </c>
    </row>
    <row r="3454" spans="7:8" x14ac:dyDescent="0.3">
      <c r="G3454" s="15">
        <v>9.5805555555555557</v>
      </c>
      <c r="H3454" s="3">
        <v>3.7739814814815198E-2</v>
      </c>
    </row>
    <row r="3455" spans="7:8" x14ac:dyDescent="0.3">
      <c r="G3455" s="15">
        <v>9.5833333333333339</v>
      </c>
      <c r="H3455" s="3">
        <v>3.7738888888889273E-2</v>
      </c>
    </row>
    <row r="3456" spans="7:8" x14ac:dyDescent="0.3">
      <c r="G3456" s="15">
        <v>9.5861111111111104</v>
      </c>
      <c r="H3456" s="3">
        <v>3.7737962962963348E-2</v>
      </c>
    </row>
    <row r="3457" spans="7:8" x14ac:dyDescent="0.3">
      <c r="G3457" s="15">
        <v>9.5888888888888886</v>
      </c>
      <c r="H3457" s="3">
        <v>3.7737037037037416E-2</v>
      </c>
    </row>
    <row r="3458" spans="7:8" x14ac:dyDescent="0.3">
      <c r="G3458" s="15">
        <v>9.5916666666666668</v>
      </c>
      <c r="H3458" s="3">
        <v>3.7736111111111484E-2</v>
      </c>
    </row>
    <row r="3459" spans="7:8" x14ac:dyDescent="0.3">
      <c r="G3459" s="15">
        <v>9.594444444444445</v>
      </c>
      <c r="H3459" s="3">
        <v>3.7735185185185559E-2</v>
      </c>
    </row>
    <row r="3460" spans="7:8" x14ac:dyDescent="0.3">
      <c r="G3460" s="15">
        <v>9.5972222222222214</v>
      </c>
      <c r="H3460" s="3">
        <v>3.7734259259259634E-2</v>
      </c>
    </row>
    <row r="3461" spans="7:8" x14ac:dyDescent="0.3">
      <c r="G3461" s="15">
        <v>9.6</v>
      </c>
      <c r="H3461" s="3">
        <v>3.7733333333333702E-2</v>
      </c>
    </row>
    <row r="3462" spans="7:8" x14ac:dyDescent="0.3">
      <c r="G3462" s="15">
        <v>9.6027777777777779</v>
      </c>
      <c r="H3462" s="3">
        <v>3.773240740740777E-2</v>
      </c>
    </row>
    <row r="3463" spans="7:8" x14ac:dyDescent="0.3">
      <c r="G3463" s="15">
        <v>9.6055555555555561</v>
      </c>
      <c r="H3463" s="3">
        <v>3.7731481481481845E-2</v>
      </c>
    </row>
    <row r="3464" spans="7:8" x14ac:dyDescent="0.3">
      <c r="G3464" s="15">
        <v>9.6083333333333325</v>
      </c>
      <c r="H3464" s="3">
        <v>3.773055555555592E-2</v>
      </c>
    </row>
    <row r="3465" spans="7:8" x14ac:dyDescent="0.3">
      <c r="G3465" s="15">
        <v>9.6111111111111107</v>
      </c>
      <c r="H3465" s="3">
        <v>3.7729629629629988E-2</v>
      </c>
    </row>
    <row r="3466" spans="7:8" x14ac:dyDescent="0.3">
      <c r="G3466" s="15">
        <v>9.6138888888888889</v>
      </c>
      <c r="H3466" s="3">
        <v>3.7728703703704056E-2</v>
      </c>
    </row>
    <row r="3467" spans="7:8" x14ac:dyDescent="0.3">
      <c r="G3467" s="15">
        <v>9.6166666666666671</v>
      </c>
      <c r="H3467" s="3">
        <v>3.7727777777778131E-2</v>
      </c>
    </row>
    <row r="3468" spans="7:8" x14ac:dyDescent="0.3">
      <c r="G3468" s="15">
        <v>9.6194444444444436</v>
      </c>
      <c r="H3468" s="3">
        <v>3.7726851851852206E-2</v>
      </c>
    </row>
    <row r="3469" spans="7:8" x14ac:dyDescent="0.3">
      <c r="G3469" s="15">
        <v>9.6222222222222218</v>
      </c>
      <c r="H3469" s="3">
        <v>3.7725925925926274E-2</v>
      </c>
    </row>
    <row r="3470" spans="7:8" x14ac:dyDescent="0.3">
      <c r="G3470" s="15">
        <v>9.625</v>
      </c>
      <c r="H3470" s="3">
        <v>3.7725000000000342E-2</v>
      </c>
    </row>
    <row r="3471" spans="7:8" x14ac:dyDescent="0.3">
      <c r="G3471" s="15">
        <v>9.6277777777777782</v>
      </c>
      <c r="H3471" s="3">
        <v>3.7724074074074417E-2</v>
      </c>
    </row>
    <row r="3472" spans="7:8" x14ac:dyDescent="0.3">
      <c r="G3472" s="15">
        <v>9.6305555555555564</v>
      </c>
      <c r="H3472" s="3">
        <v>3.7723148148148491E-2</v>
      </c>
    </row>
    <row r="3473" spans="7:8" x14ac:dyDescent="0.3">
      <c r="G3473" s="15">
        <v>9.6333333333333329</v>
      </c>
      <c r="H3473" s="3">
        <v>3.7722222222222559E-2</v>
      </c>
    </row>
    <row r="3474" spans="7:8" x14ac:dyDescent="0.3">
      <c r="G3474" s="15">
        <v>9.6361111111111111</v>
      </c>
      <c r="H3474" s="3">
        <v>3.7721296296296628E-2</v>
      </c>
    </row>
    <row r="3475" spans="7:8" x14ac:dyDescent="0.3">
      <c r="G3475" s="15">
        <v>9.6388888888888893</v>
      </c>
      <c r="H3475" s="3">
        <v>3.7720370370370702E-2</v>
      </c>
    </row>
    <row r="3476" spans="7:8" x14ac:dyDescent="0.3">
      <c r="G3476" s="15">
        <v>9.6416666666666675</v>
      </c>
      <c r="H3476" s="3">
        <v>3.7719444444444777E-2</v>
      </c>
    </row>
    <row r="3477" spans="7:8" x14ac:dyDescent="0.3">
      <c r="G3477" s="15">
        <v>9.6444444444444439</v>
      </c>
      <c r="H3477" s="3">
        <v>3.7718518518518845E-2</v>
      </c>
    </row>
    <row r="3478" spans="7:8" x14ac:dyDescent="0.3">
      <c r="G3478" s="15">
        <v>9.6472222222222221</v>
      </c>
      <c r="H3478" s="3">
        <v>3.7717592592592913E-2</v>
      </c>
    </row>
    <row r="3479" spans="7:8" x14ac:dyDescent="0.3">
      <c r="G3479" s="15">
        <v>9.65</v>
      </c>
      <c r="H3479" s="3">
        <v>3.7716666666666988E-2</v>
      </c>
    </row>
    <row r="3480" spans="7:8" x14ac:dyDescent="0.3">
      <c r="G3480" s="15">
        <v>9.6527777777777786</v>
      </c>
      <c r="H3480" s="3">
        <v>3.7715740740741063E-2</v>
      </c>
    </row>
    <row r="3481" spans="7:8" x14ac:dyDescent="0.3">
      <c r="G3481" s="15">
        <v>9.655555555555555</v>
      </c>
      <c r="H3481" s="3">
        <v>3.7714814814815131E-2</v>
      </c>
    </row>
    <row r="3482" spans="7:8" x14ac:dyDescent="0.3">
      <c r="G3482" s="15">
        <v>9.6583333333333332</v>
      </c>
      <c r="H3482" s="3">
        <v>3.7713888888889199E-2</v>
      </c>
    </row>
    <row r="3483" spans="7:8" x14ac:dyDescent="0.3">
      <c r="G3483" s="15">
        <v>9.6611111111111114</v>
      </c>
      <c r="H3483" s="3">
        <v>3.7712962962963274E-2</v>
      </c>
    </row>
    <row r="3484" spans="7:8" x14ac:dyDescent="0.3">
      <c r="G3484" s="15">
        <v>9.6638888888888896</v>
      </c>
      <c r="H3484" s="3">
        <v>3.7712037037037349E-2</v>
      </c>
    </row>
    <row r="3485" spans="7:8" x14ac:dyDescent="0.3">
      <c r="G3485" s="15">
        <v>9.6666666666666661</v>
      </c>
      <c r="H3485" s="3">
        <v>3.7711111111111417E-2</v>
      </c>
    </row>
    <row r="3486" spans="7:8" x14ac:dyDescent="0.3">
      <c r="G3486" s="15">
        <v>9.6694444444444443</v>
      </c>
      <c r="H3486" s="3">
        <v>3.7710185185185485E-2</v>
      </c>
    </row>
    <row r="3487" spans="7:8" x14ac:dyDescent="0.3">
      <c r="G3487" s="15">
        <v>9.6722222222222225</v>
      </c>
      <c r="H3487" s="3">
        <v>3.770925925925956E-2</v>
      </c>
    </row>
    <row r="3488" spans="7:8" x14ac:dyDescent="0.3">
      <c r="G3488" s="15">
        <v>9.6750000000000007</v>
      </c>
      <c r="H3488" s="3">
        <v>3.7708333333333635E-2</v>
      </c>
    </row>
    <row r="3489" spans="7:8" x14ac:dyDescent="0.3">
      <c r="G3489" s="15">
        <v>9.6777777777777771</v>
      </c>
      <c r="H3489" s="3">
        <v>3.7707407407407703E-2</v>
      </c>
    </row>
    <row r="3490" spans="7:8" x14ac:dyDescent="0.3">
      <c r="G3490" s="15">
        <v>9.6805555555555554</v>
      </c>
      <c r="H3490" s="3">
        <v>3.7706481481481771E-2</v>
      </c>
    </row>
    <row r="3491" spans="7:8" x14ac:dyDescent="0.3">
      <c r="G3491" s="15">
        <v>9.6833333333333336</v>
      </c>
      <c r="H3491" s="3">
        <v>3.7705555555555846E-2</v>
      </c>
    </row>
    <row r="3492" spans="7:8" x14ac:dyDescent="0.3">
      <c r="G3492" s="15">
        <v>9.6861111111111118</v>
      </c>
      <c r="H3492" s="3">
        <v>3.7704629629629921E-2</v>
      </c>
    </row>
    <row r="3493" spans="7:8" x14ac:dyDescent="0.3">
      <c r="G3493" s="15">
        <v>9.6888888888888882</v>
      </c>
      <c r="H3493" s="3">
        <v>3.7703703703703989E-2</v>
      </c>
    </row>
    <row r="3494" spans="7:8" x14ac:dyDescent="0.3">
      <c r="G3494" s="15">
        <v>9.6916666666666664</v>
      </c>
      <c r="H3494" s="3">
        <v>3.7702777777778057E-2</v>
      </c>
    </row>
    <row r="3495" spans="7:8" x14ac:dyDescent="0.3">
      <c r="G3495" s="15">
        <v>9.6944444444444446</v>
      </c>
      <c r="H3495" s="3">
        <v>3.7701851851852132E-2</v>
      </c>
    </row>
    <row r="3496" spans="7:8" x14ac:dyDescent="0.3">
      <c r="G3496" s="15">
        <v>9.6972222222222229</v>
      </c>
      <c r="H3496" s="3">
        <v>3.7700925925926207E-2</v>
      </c>
    </row>
    <row r="3497" spans="7:8" x14ac:dyDescent="0.3">
      <c r="G3497" s="15">
        <v>9.6999999999999993</v>
      </c>
      <c r="H3497" s="3">
        <v>3.7700000000000275E-2</v>
      </c>
    </row>
    <row r="3498" spans="7:8" x14ac:dyDescent="0.3">
      <c r="G3498" s="15">
        <v>9.7027777777777775</v>
      </c>
      <c r="H3498" s="3">
        <v>3.7699074074074343E-2</v>
      </c>
    </row>
    <row r="3499" spans="7:8" x14ac:dyDescent="0.3">
      <c r="G3499" s="15">
        <v>9.7055555555555557</v>
      </c>
      <c r="H3499" s="3">
        <v>3.7698148148148418E-2</v>
      </c>
    </row>
    <row r="3500" spans="7:8" x14ac:dyDescent="0.3">
      <c r="G3500" s="15">
        <v>9.7083333333333339</v>
      </c>
      <c r="H3500" s="3">
        <v>3.7697222222222493E-2</v>
      </c>
    </row>
    <row r="3501" spans="7:8" x14ac:dyDescent="0.3">
      <c r="G3501" s="15">
        <v>9.7111111111111104</v>
      </c>
      <c r="H3501" s="3">
        <v>3.7696296296296561E-2</v>
      </c>
    </row>
    <row r="3502" spans="7:8" x14ac:dyDescent="0.3">
      <c r="G3502" s="15">
        <v>9.7138888888888886</v>
      </c>
      <c r="H3502" s="3">
        <v>3.7695370370370629E-2</v>
      </c>
    </row>
    <row r="3503" spans="7:8" x14ac:dyDescent="0.3">
      <c r="G3503" s="15">
        <v>9.7166666666666668</v>
      </c>
      <c r="H3503" s="3">
        <v>3.7694444444444704E-2</v>
      </c>
    </row>
    <row r="3504" spans="7:8" x14ac:dyDescent="0.3">
      <c r="G3504" s="15">
        <v>9.719444444444445</v>
      </c>
      <c r="H3504" s="3">
        <v>3.7693518518518779E-2</v>
      </c>
    </row>
    <row r="3505" spans="7:8" x14ac:dyDescent="0.3">
      <c r="G3505" s="15">
        <v>9.7222222222222214</v>
      </c>
      <c r="H3505" s="3">
        <v>3.7692592592592847E-2</v>
      </c>
    </row>
    <row r="3506" spans="7:8" x14ac:dyDescent="0.3">
      <c r="G3506" s="15">
        <v>9.7249999999999996</v>
      </c>
      <c r="H3506" s="3">
        <v>3.7691666666666915E-2</v>
      </c>
    </row>
    <row r="3507" spans="7:8" x14ac:dyDescent="0.3">
      <c r="G3507" s="15">
        <v>9.7277777777777779</v>
      </c>
      <c r="H3507" s="3">
        <v>3.769074074074099E-2</v>
      </c>
    </row>
    <row r="3508" spans="7:8" x14ac:dyDescent="0.3">
      <c r="G3508" s="15">
        <v>9.7305555555555561</v>
      </c>
      <c r="H3508" s="3">
        <v>3.7689814814815065E-2</v>
      </c>
    </row>
    <row r="3509" spans="7:8" x14ac:dyDescent="0.3">
      <c r="G3509" s="15">
        <v>9.7333333333333325</v>
      </c>
      <c r="H3509" s="3">
        <v>3.7688888888889133E-2</v>
      </c>
    </row>
    <row r="3510" spans="7:8" x14ac:dyDescent="0.3">
      <c r="G3510" s="15">
        <v>9.7361111111111107</v>
      </c>
      <c r="H3510" s="3">
        <v>3.7687962962963201E-2</v>
      </c>
    </row>
    <row r="3511" spans="7:8" x14ac:dyDescent="0.3">
      <c r="G3511" s="15">
        <v>9.7388888888888889</v>
      </c>
      <c r="H3511" s="3">
        <v>3.7687037037037276E-2</v>
      </c>
    </row>
    <row r="3512" spans="7:8" x14ac:dyDescent="0.3">
      <c r="G3512" s="15">
        <v>9.7416666666666671</v>
      </c>
      <c r="H3512" s="3">
        <v>3.7686111111111351E-2</v>
      </c>
    </row>
    <row r="3513" spans="7:8" x14ac:dyDescent="0.3">
      <c r="G3513" s="15">
        <v>9.7444444444444436</v>
      </c>
      <c r="H3513" s="3">
        <v>3.7685185185185419E-2</v>
      </c>
    </row>
    <row r="3514" spans="7:8" x14ac:dyDescent="0.3">
      <c r="G3514" s="15">
        <v>9.7472222222222218</v>
      </c>
      <c r="H3514" s="3">
        <v>3.7684259259259487E-2</v>
      </c>
    </row>
    <row r="3515" spans="7:8" x14ac:dyDescent="0.3">
      <c r="G3515" s="15">
        <v>9.75</v>
      </c>
      <c r="H3515" s="3">
        <v>3.7683333333333562E-2</v>
      </c>
    </row>
    <row r="3516" spans="7:8" x14ac:dyDescent="0.3">
      <c r="G3516" s="15">
        <v>9.7527777777777782</v>
      </c>
      <c r="H3516" s="3">
        <v>3.7682407407407637E-2</v>
      </c>
    </row>
    <row r="3517" spans="7:8" x14ac:dyDescent="0.3">
      <c r="G3517" s="15">
        <v>9.7555555555555564</v>
      </c>
      <c r="H3517" s="3">
        <v>3.7681481481481705E-2</v>
      </c>
    </row>
    <row r="3518" spans="7:8" x14ac:dyDescent="0.3">
      <c r="G3518" s="15">
        <v>9.7583333333333329</v>
      </c>
      <c r="H3518" s="3">
        <v>3.7680555555555773E-2</v>
      </c>
    </row>
    <row r="3519" spans="7:8" x14ac:dyDescent="0.3">
      <c r="G3519" s="15">
        <v>9.7611111111111111</v>
      </c>
      <c r="H3519" s="3">
        <v>3.7679629629629847E-2</v>
      </c>
    </row>
    <row r="3520" spans="7:8" x14ac:dyDescent="0.3">
      <c r="G3520" s="15">
        <v>9.7638888888888893</v>
      </c>
      <c r="H3520" s="3">
        <v>3.7678703703703922E-2</v>
      </c>
    </row>
    <row r="3521" spans="7:8" x14ac:dyDescent="0.3">
      <c r="G3521" s="15">
        <v>9.7666666666666675</v>
      </c>
      <c r="H3521" s="3">
        <v>3.767777777777799E-2</v>
      </c>
    </row>
    <row r="3522" spans="7:8" x14ac:dyDescent="0.3">
      <c r="G3522" s="15">
        <v>9.7694444444444439</v>
      </c>
      <c r="H3522" s="3">
        <v>3.7676851851852058E-2</v>
      </c>
    </row>
    <row r="3523" spans="7:8" x14ac:dyDescent="0.3">
      <c r="G3523" s="15">
        <v>9.7722222222222221</v>
      </c>
      <c r="H3523" s="3">
        <v>3.7675925925926133E-2</v>
      </c>
    </row>
    <row r="3524" spans="7:8" x14ac:dyDescent="0.3">
      <c r="G3524" s="15">
        <v>9.7750000000000004</v>
      </c>
      <c r="H3524" s="3">
        <v>3.7675000000000208E-2</v>
      </c>
    </row>
    <row r="3525" spans="7:8" x14ac:dyDescent="0.3">
      <c r="G3525" s="15">
        <v>9.7777777777777786</v>
      </c>
      <c r="H3525" s="3">
        <v>3.7674074074074276E-2</v>
      </c>
    </row>
    <row r="3526" spans="7:8" x14ac:dyDescent="0.3">
      <c r="G3526" s="15">
        <v>9.780555555555555</v>
      </c>
      <c r="H3526" s="3">
        <v>3.7673148148148344E-2</v>
      </c>
    </row>
    <row r="3527" spans="7:8" x14ac:dyDescent="0.3">
      <c r="G3527" s="15">
        <v>9.7833333333333332</v>
      </c>
      <c r="H3527" s="3">
        <v>3.7672222222222419E-2</v>
      </c>
    </row>
    <row r="3528" spans="7:8" x14ac:dyDescent="0.3">
      <c r="G3528" s="15">
        <v>9.7861111111111114</v>
      </c>
      <c r="H3528" s="3">
        <v>3.7671296296296494E-2</v>
      </c>
    </row>
    <row r="3529" spans="7:8" x14ac:dyDescent="0.3">
      <c r="G3529" s="15">
        <v>9.7888888888888896</v>
      </c>
      <c r="H3529" s="3">
        <v>3.7670370370370562E-2</v>
      </c>
    </row>
    <row r="3530" spans="7:8" x14ac:dyDescent="0.3">
      <c r="G3530" s="15">
        <v>9.7916666666666661</v>
      </c>
      <c r="H3530" s="3">
        <v>3.766944444444463E-2</v>
      </c>
    </row>
    <row r="3531" spans="7:8" x14ac:dyDescent="0.3">
      <c r="G3531" s="15">
        <v>9.7944444444444443</v>
      </c>
      <c r="H3531" s="3">
        <v>3.7668518518518705E-2</v>
      </c>
    </row>
    <row r="3532" spans="7:8" x14ac:dyDescent="0.3">
      <c r="G3532" s="15">
        <v>9.7972222222222225</v>
      </c>
      <c r="H3532" s="3">
        <v>3.766759259259278E-2</v>
      </c>
    </row>
    <row r="3533" spans="7:8" x14ac:dyDescent="0.3">
      <c r="G3533" s="15">
        <v>9.8000000000000007</v>
      </c>
      <c r="H3533" s="3">
        <v>3.7666666666666848E-2</v>
      </c>
    </row>
    <row r="3534" spans="7:8" x14ac:dyDescent="0.3">
      <c r="G3534" s="15">
        <v>9.8027777777777771</v>
      </c>
      <c r="H3534" s="3">
        <v>3.7665740740740916E-2</v>
      </c>
    </row>
    <row r="3535" spans="7:8" x14ac:dyDescent="0.3">
      <c r="G3535" s="15">
        <v>9.8055555555555554</v>
      </c>
      <c r="H3535" s="3">
        <v>3.7664814814814991E-2</v>
      </c>
    </row>
    <row r="3536" spans="7:8" x14ac:dyDescent="0.3">
      <c r="G3536" s="15">
        <v>9.8083333333333336</v>
      </c>
      <c r="H3536" s="3">
        <v>3.7663888888889066E-2</v>
      </c>
    </row>
    <row r="3537" spans="7:8" x14ac:dyDescent="0.3">
      <c r="G3537" s="15">
        <v>9.8111111111111118</v>
      </c>
      <c r="H3537" s="3">
        <v>3.7662962962963134E-2</v>
      </c>
    </row>
    <row r="3538" spans="7:8" x14ac:dyDescent="0.3">
      <c r="G3538" s="15">
        <v>9.8138888888888882</v>
      </c>
      <c r="H3538" s="3">
        <v>3.7662037037037202E-2</v>
      </c>
    </row>
    <row r="3539" spans="7:8" x14ac:dyDescent="0.3">
      <c r="G3539" s="15">
        <v>9.8166666666666664</v>
      </c>
      <c r="H3539" s="3">
        <v>3.7661111111111277E-2</v>
      </c>
    </row>
    <row r="3540" spans="7:8" x14ac:dyDescent="0.3">
      <c r="G3540" s="15">
        <v>9.8194444444444446</v>
      </c>
      <c r="H3540" s="3">
        <v>3.7660185185185352E-2</v>
      </c>
    </row>
    <row r="3541" spans="7:8" x14ac:dyDescent="0.3">
      <c r="G3541" s="15">
        <v>9.8222222222222229</v>
      </c>
      <c r="H3541" s="3">
        <v>3.765925925925942E-2</v>
      </c>
    </row>
    <row r="3542" spans="7:8" x14ac:dyDescent="0.3">
      <c r="G3542" s="15">
        <v>9.8249999999999993</v>
      </c>
      <c r="H3542" s="3">
        <v>3.7658333333333488E-2</v>
      </c>
    </row>
    <row r="3543" spans="7:8" x14ac:dyDescent="0.3">
      <c r="G3543" s="15">
        <v>9.8277777777777775</v>
      </c>
      <c r="H3543" s="3">
        <v>3.7657407407407563E-2</v>
      </c>
    </row>
    <row r="3544" spans="7:8" x14ac:dyDescent="0.3">
      <c r="G3544" s="15">
        <v>9.8305555555555557</v>
      </c>
      <c r="H3544" s="3">
        <v>3.7656481481481638E-2</v>
      </c>
    </row>
    <row r="3545" spans="7:8" x14ac:dyDescent="0.3">
      <c r="G3545" s="15">
        <v>9.8333333333333339</v>
      </c>
      <c r="H3545" s="3">
        <v>3.7655555555555706E-2</v>
      </c>
    </row>
    <row r="3546" spans="7:8" x14ac:dyDescent="0.3">
      <c r="G3546" s="15">
        <v>9.8361111111111104</v>
      </c>
      <c r="H3546" s="3">
        <v>3.7654629629629774E-2</v>
      </c>
    </row>
    <row r="3547" spans="7:8" x14ac:dyDescent="0.3">
      <c r="G3547" s="15">
        <v>9.8388888888888886</v>
      </c>
      <c r="H3547" s="3">
        <v>3.7653703703703849E-2</v>
      </c>
    </row>
    <row r="3548" spans="7:8" x14ac:dyDescent="0.3">
      <c r="G3548" s="15">
        <v>9.8416666666666668</v>
      </c>
      <c r="H3548" s="3">
        <v>3.7652777777777924E-2</v>
      </c>
    </row>
    <row r="3549" spans="7:8" x14ac:dyDescent="0.3">
      <c r="G3549" s="15">
        <v>9.844444444444445</v>
      </c>
      <c r="H3549" s="3">
        <v>3.7651851851851992E-2</v>
      </c>
    </row>
    <row r="3550" spans="7:8" x14ac:dyDescent="0.3">
      <c r="G3550" s="15">
        <v>9.8472222222222214</v>
      </c>
      <c r="H3550" s="3">
        <v>3.765092592592606E-2</v>
      </c>
    </row>
    <row r="3551" spans="7:8" x14ac:dyDescent="0.3">
      <c r="G3551" s="15">
        <v>9.85</v>
      </c>
      <c r="H3551" s="3">
        <v>3.7650000000000135E-2</v>
      </c>
    </row>
    <row r="3552" spans="7:8" x14ac:dyDescent="0.3">
      <c r="G3552" s="15">
        <v>9.8527777777777779</v>
      </c>
      <c r="H3552" s="3">
        <v>3.764907407407421E-2</v>
      </c>
    </row>
    <row r="3553" spans="7:8" x14ac:dyDescent="0.3">
      <c r="G3553" s="15">
        <v>9.8555555555555561</v>
      </c>
      <c r="H3553" s="3">
        <v>3.7648148148148278E-2</v>
      </c>
    </row>
    <row r="3554" spans="7:8" x14ac:dyDescent="0.3">
      <c r="G3554" s="15">
        <v>9.8583333333333325</v>
      </c>
      <c r="H3554" s="3">
        <v>3.7647222222222346E-2</v>
      </c>
    </row>
    <row r="3555" spans="7:8" x14ac:dyDescent="0.3">
      <c r="G3555" s="15">
        <v>9.8611111111111107</v>
      </c>
      <c r="H3555" s="3">
        <v>3.7646296296296421E-2</v>
      </c>
    </row>
    <row r="3556" spans="7:8" x14ac:dyDescent="0.3">
      <c r="G3556" s="15">
        <v>9.8638888888888889</v>
      </c>
      <c r="H3556" s="3">
        <v>3.7645370370370496E-2</v>
      </c>
    </row>
    <row r="3557" spans="7:8" x14ac:dyDescent="0.3">
      <c r="G3557" s="15">
        <v>9.8666666666666671</v>
      </c>
      <c r="H3557" s="3">
        <v>3.7644444444444564E-2</v>
      </c>
    </row>
    <row r="3558" spans="7:8" x14ac:dyDescent="0.3">
      <c r="G3558" s="15">
        <v>9.8694444444444436</v>
      </c>
      <c r="H3558" s="3">
        <v>3.7643518518518632E-2</v>
      </c>
    </row>
    <row r="3559" spans="7:8" x14ac:dyDescent="0.3">
      <c r="G3559" s="15">
        <v>9.8722222222222218</v>
      </c>
      <c r="H3559" s="3">
        <v>3.7642592592592707E-2</v>
      </c>
    </row>
    <row r="3560" spans="7:8" x14ac:dyDescent="0.3">
      <c r="G3560" s="15">
        <v>9.875</v>
      </c>
      <c r="H3560" s="3">
        <v>3.7641666666666782E-2</v>
      </c>
    </row>
    <row r="3561" spans="7:8" x14ac:dyDescent="0.3">
      <c r="G3561" s="15">
        <v>9.8777777777777782</v>
      </c>
      <c r="H3561" s="3">
        <v>3.764074074074085E-2</v>
      </c>
    </row>
    <row r="3562" spans="7:8" x14ac:dyDescent="0.3">
      <c r="G3562" s="15">
        <v>9.8805555555555564</v>
      </c>
      <c r="H3562" s="3">
        <v>3.7639814814814918E-2</v>
      </c>
    </row>
    <row r="3563" spans="7:8" x14ac:dyDescent="0.3">
      <c r="G3563" s="15">
        <v>9.8833333333333329</v>
      </c>
      <c r="H3563" s="3">
        <v>3.7638888888888992E-2</v>
      </c>
    </row>
    <row r="3564" spans="7:8" x14ac:dyDescent="0.3">
      <c r="G3564" s="15">
        <v>9.8861111111111111</v>
      </c>
      <c r="H3564" s="3">
        <v>3.7637962962963067E-2</v>
      </c>
    </row>
    <row r="3565" spans="7:8" x14ac:dyDescent="0.3">
      <c r="G3565" s="15">
        <v>9.8888888888888893</v>
      </c>
      <c r="H3565" s="3">
        <v>3.7637037037037135E-2</v>
      </c>
    </row>
    <row r="3566" spans="7:8" x14ac:dyDescent="0.3">
      <c r="G3566" s="15">
        <v>9.8916666666666675</v>
      </c>
      <c r="H3566" s="3">
        <v>3.7636111111111203E-2</v>
      </c>
    </row>
    <row r="3567" spans="7:8" x14ac:dyDescent="0.3">
      <c r="G3567" s="15">
        <v>9.8944444444444439</v>
      </c>
      <c r="H3567" s="3">
        <v>3.7635185185185278E-2</v>
      </c>
    </row>
    <row r="3568" spans="7:8" x14ac:dyDescent="0.3">
      <c r="G3568" s="15">
        <v>9.8972222222222221</v>
      </c>
      <c r="H3568" s="3">
        <v>3.7634259259259353E-2</v>
      </c>
    </row>
    <row r="3569" spans="7:8" x14ac:dyDescent="0.3">
      <c r="G3569" s="15">
        <v>9.9</v>
      </c>
      <c r="H3569" s="3">
        <v>3.7633333333333421E-2</v>
      </c>
    </row>
    <row r="3570" spans="7:8" x14ac:dyDescent="0.3">
      <c r="G3570" s="15">
        <v>9.9027777777777786</v>
      </c>
      <c r="H3570" s="3">
        <v>3.7632407407407489E-2</v>
      </c>
    </row>
    <row r="3571" spans="7:8" x14ac:dyDescent="0.3">
      <c r="G3571" s="15">
        <v>9.905555555555555</v>
      </c>
      <c r="H3571" s="3">
        <v>3.7631481481481564E-2</v>
      </c>
    </row>
    <row r="3572" spans="7:8" x14ac:dyDescent="0.3">
      <c r="G3572" s="15">
        <v>9.9083333333333332</v>
      </c>
      <c r="H3572" s="3">
        <v>3.7630555555555639E-2</v>
      </c>
    </row>
    <row r="3573" spans="7:8" x14ac:dyDescent="0.3">
      <c r="G3573" s="15">
        <v>9.9111111111111114</v>
      </c>
      <c r="H3573" s="3">
        <v>3.7629629629629707E-2</v>
      </c>
    </row>
    <row r="3574" spans="7:8" x14ac:dyDescent="0.3">
      <c r="G3574" s="15">
        <v>9.9138888888888896</v>
      </c>
      <c r="H3574" s="3">
        <v>3.7628703703703775E-2</v>
      </c>
    </row>
    <row r="3575" spans="7:8" x14ac:dyDescent="0.3">
      <c r="G3575" s="15">
        <v>9.9166666666666661</v>
      </c>
      <c r="H3575" s="3">
        <v>3.762777777777785E-2</v>
      </c>
    </row>
    <row r="3576" spans="7:8" x14ac:dyDescent="0.3">
      <c r="G3576" s="15">
        <v>9.9194444444444443</v>
      </c>
      <c r="H3576" s="3">
        <v>3.7626851851851925E-2</v>
      </c>
    </row>
    <row r="3577" spans="7:8" x14ac:dyDescent="0.3">
      <c r="G3577" s="15">
        <v>9.9222222222222225</v>
      </c>
      <c r="H3577" s="3">
        <v>3.7625925925925993E-2</v>
      </c>
    </row>
    <row r="3578" spans="7:8" x14ac:dyDescent="0.3">
      <c r="G3578" s="15">
        <v>9.9250000000000007</v>
      </c>
      <c r="H3578" s="3">
        <v>3.7625000000000061E-2</v>
      </c>
    </row>
    <row r="3579" spans="7:8" x14ac:dyDescent="0.3">
      <c r="G3579" s="15">
        <v>9.9277777777777771</v>
      </c>
      <c r="H3579" s="3">
        <v>3.7624074074074136E-2</v>
      </c>
    </row>
    <row r="3580" spans="7:8" x14ac:dyDescent="0.3">
      <c r="G3580" s="15">
        <v>9.9305555555555554</v>
      </c>
      <c r="H3580" s="3">
        <v>3.7623148148148211E-2</v>
      </c>
    </row>
    <row r="3581" spans="7:8" x14ac:dyDescent="0.3">
      <c r="G3581" s="15">
        <v>9.9333333333333336</v>
      </c>
      <c r="H3581" s="3">
        <v>3.7622222222222279E-2</v>
      </c>
    </row>
    <row r="3582" spans="7:8" x14ac:dyDescent="0.3">
      <c r="G3582" s="15">
        <v>9.9361111111111118</v>
      </c>
      <c r="H3582" s="3">
        <v>3.7621296296296347E-2</v>
      </c>
    </row>
    <row r="3583" spans="7:8" x14ac:dyDescent="0.3">
      <c r="G3583" s="15">
        <v>9.9388888888888882</v>
      </c>
      <c r="H3583" s="3">
        <v>3.7620370370370422E-2</v>
      </c>
    </row>
    <row r="3584" spans="7:8" x14ac:dyDescent="0.3">
      <c r="G3584" s="15">
        <v>9.9416666666666664</v>
      </c>
      <c r="H3584" s="3">
        <v>3.7619444444444497E-2</v>
      </c>
    </row>
    <row r="3585" spans="7:8" x14ac:dyDescent="0.3">
      <c r="G3585" s="15">
        <v>9.9444444444444446</v>
      </c>
      <c r="H3585" s="3">
        <v>3.7618518518518565E-2</v>
      </c>
    </row>
    <row r="3586" spans="7:8" x14ac:dyDescent="0.3">
      <c r="G3586" s="15">
        <v>9.9472222222222229</v>
      </c>
      <c r="H3586" s="3">
        <v>3.7617592592592633E-2</v>
      </c>
    </row>
    <row r="3587" spans="7:8" x14ac:dyDescent="0.3">
      <c r="G3587" s="15">
        <v>9.9499999999999993</v>
      </c>
      <c r="H3587" s="3">
        <v>3.7616666666666708E-2</v>
      </c>
    </row>
    <row r="3588" spans="7:8" x14ac:dyDescent="0.3">
      <c r="G3588" s="15">
        <v>9.9527777777777775</v>
      </c>
      <c r="H3588" s="3">
        <v>3.7615740740740783E-2</v>
      </c>
    </row>
    <row r="3589" spans="7:8" x14ac:dyDescent="0.3">
      <c r="G3589" s="15">
        <v>9.9555555555555557</v>
      </c>
      <c r="H3589" s="3">
        <v>3.7614814814814851E-2</v>
      </c>
    </row>
    <row r="3590" spans="7:8" x14ac:dyDescent="0.3">
      <c r="G3590" s="15">
        <v>9.9583333333333339</v>
      </c>
      <c r="H3590" s="3">
        <v>3.7613888888888919E-2</v>
      </c>
    </row>
    <row r="3591" spans="7:8" x14ac:dyDescent="0.3">
      <c r="G3591" s="15">
        <v>9.9611111111111104</v>
      </c>
      <c r="H3591" s="3">
        <v>3.7612962962962994E-2</v>
      </c>
    </row>
    <row r="3592" spans="7:8" x14ac:dyDescent="0.3">
      <c r="G3592" s="15">
        <v>9.9638888888888886</v>
      </c>
      <c r="H3592" s="3">
        <v>3.7612037037037069E-2</v>
      </c>
    </row>
    <row r="3593" spans="7:8" x14ac:dyDescent="0.3">
      <c r="G3593" s="15">
        <v>9.9666666666666668</v>
      </c>
      <c r="H3593" s="3">
        <v>3.7611111111111137E-2</v>
      </c>
    </row>
    <row r="3594" spans="7:8" x14ac:dyDescent="0.3">
      <c r="G3594" s="15">
        <v>9.969444444444445</v>
      </c>
      <c r="H3594" s="3">
        <v>3.7610185185185205E-2</v>
      </c>
    </row>
    <row r="3595" spans="7:8" x14ac:dyDescent="0.3">
      <c r="G3595" s="15">
        <v>9.9722222222222214</v>
      </c>
      <c r="H3595" s="3">
        <v>3.760925925925928E-2</v>
      </c>
    </row>
    <row r="3596" spans="7:8" x14ac:dyDescent="0.3">
      <c r="G3596" s="15">
        <v>9.9749999999999996</v>
      </c>
      <c r="H3596" s="3">
        <v>3.7608333333333355E-2</v>
      </c>
    </row>
    <row r="3597" spans="7:8" x14ac:dyDescent="0.3">
      <c r="G3597" s="15">
        <v>9.9777777777777779</v>
      </c>
      <c r="H3597" s="3">
        <v>3.7607407407407423E-2</v>
      </c>
    </row>
    <row r="3598" spans="7:8" x14ac:dyDescent="0.3">
      <c r="G3598" s="15">
        <v>9.9805555555555561</v>
      </c>
      <c r="H3598" s="3">
        <v>3.7606481481481491E-2</v>
      </c>
    </row>
    <row r="3599" spans="7:8" x14ac:dyDescent="0.3">
      <c r="G3599" s="15">
        <v>9.9833333333333325</v>
      </c>
      <c r="H3599" s="3">
        <v>3.7605555555555566E-2</v>
      </c>
    </row>
    <row r="3600" spans="7:8" x14ac:dyDescent="0.3">
      <c r="G3600" s="15">
        <v>9.9861111111111107</v>
      </c>
      <c r="H3600" s="3">
        <v>3.7604629629629641E-2</v>
      </c>
    </row>
    <row r="3601" spans="7:8" x14ac:dyDescent="0.3">
      <c r="G3601" s="15">
        <v>9.9888888888888889</v>
      </c>
      <c r="H3601" s="3">
        <v>3.7603703703703709E-2</v>
      </c>
    </row>
    <row r="3602" spans="7:8" x14ac:dyDescent="0.3">
      <c r="G3602" s="15">
        <v>9.9916666666666671</v>
      </c>
      <c r="H3602" s="3">
        <v>3.7602777777777777E-2</v>
      </c>
    </row>
    <row r="3603" spans="7:8" x14ac:dyDescent="0.3">
      <c r="G3603" s="15">
        <v>9.9944444444444436</v>
      </c>
      <c r="H3603" s="3">
        <v>3.7601851851851852E-2</v>
      </c>
    </row>
    <row r="3604" spans="7:8" x14ac:dyDescent="0.3">
      <c r="G3604" s="15">
        <v>9.9972222222222218</v>
      </c>
      <c r="H3604" s="3">
        <v>3.7600925925925927E-2</v>
      </c>
    </row>
    <row r="3605" spans="7:8" x14ac:dyDescent="0.3">
      <c r="G3605" s="15">
        <v>10</v>
      </c>
      <c r="H3605" s="3">
        <v>3.7599999999999995E-2</v>
      </c>
    </row>
    <row r="3606" spans="7:8" x14ac:dyDescent="0.3">
      <c r="G3606" s="15">
        <v>10.002777777777778</v>
      </c>
      <c r="H3606" s="3">
        <v>3.7600805555555547E-2</v>
      </c>
    </row>
    <row r="3607" spans="7:8" x14ac:dyDescent="0.3">
      <c r="G3607" s="15">
        <v>10.005555555555556</v>
      </c>
      <c r="H3607" s="3">
        <v>3.76016111111111E-2</v>
      </c>
    </row>
    <row r="3608" spans="7:8" x14ac:dyDescent="0.3">
      <c r="G3608" s="15">
        <v>10.008333333333333</v>
      </c>
      <c r="H3608" s="3">
        <v>3.7602416666666652E-2</v>
      </c>
    </row>
    <row r="3609" spans="7:8" x14ac:dyDescent="0.3">
      <c r="G3609" s="15">
        <v>10.011111111111111</v>
      </c>
      <c r="H3609" s="3">
        <v>3.7603222222222205E-2</v>
      </c>
    </row>
    <row r="3610" spans="7:8" x14ac:dyDescent="0.3">
      <c r="G3610" s="15">
        <v>10.013888888888889</v>
      </c>
      <c r="H3610" s="3">
        <v>3.7604027777777757E-2</v>
      </c>
    </row>
    <row r="3611" spans="7:8" x14ac:dyDescent="0.3">
      <c r="G3611" s="15">
        <v>10.016666666666667</v>
      </c>
      <c r="H3611" s="3">
        <v>3.760483333333331E-2</v>
      </c>
    </row>
    <row r="3612" spans="7:8" x14ac:dyDescent="0.3">
      <c r="G3612" s="15">
        <v>10.019444444444444</v>
      </c>
      <c r="H3612" s="3">
        <v>3.7605638888888862E-2</v>
      </c>
    </row>
    <row r="3613" spans="7:8" x14ac:dyDescent="0.3">
      <c r="G3613" s="15">
        <v>10.022222222222222</v>
      </c>
      <c r="H3613" s="3">
        <v>3.7606444444444415E-2</v>
      </c>
    </row>
    <row r="3614" spans="7:8" x14ac:dyDescent="0.3">
      <c r="G3614" s="15">
        <v>10.025</v>
      </c>
      <c r="H3614" s="3">
        <v>3.7607249999999967E-2</v>
      </c>
    </row>
    <row r="3615" spans="7:8" x14ac:dyDescent="0.3">
      <c r="G3615" s="15">
        <v>10.027777777777779</v>
      </c>
      <c r="H3615" s="3">
        <v>3.760805555555552E-2</v>
      </c>
    </row>
    <row r="3616" spans="7:8" x14ac:dyDescent="0.3">
      <c r="G3616" s="15">
        <v>10.030555555555555</v>
      </c>
      <c r="H3616" s="3">
        <v>3.7608861111111072E-2</v>
      </c>
    </row>
    <row r="3617" spans="7:8" x14ac:dyDescent="0.3">
      <c r="G3617" s="15">
        <v>10.033333333333333</v>
      </c>
      <c r="H3617" s="3">
        <v>3.7609666666666625E-2</v>
      </c>
    </row>
    <row r="3618" spans="7:8" x14ac:dyDescent="0.3">
      <c r="G3618" s="15">
        <v>10.036111111111111</v>
      </c>
      <c r="H3618" s="3">
        <v>3.7610472222222177E-2</v>
      </c>
    </row>
    <row r="3619" spans="7:8" x14ac:dyDescent="0.3">
      <c r="G3619" s="15">
        <v>10.03888888888889</v>
      </c>
      <c r="H3619" s="3">
        <v>3.761127777777773E-2</v>
      </c>
    </row>
    <row r="3620" spans="7:8" x14ac:dyDescent="0.3">
      <c r="G3620" s="15">
        <v>10.041666666666666</v>
      </c>
      <c r="H3620" s="3">
        <v>3.7612083333333282E-2</v>
      </c>
    </row>
    <row r="3621" spans="7:8" x14ac:dyDescent="0.3">
      <c r="G3621" s="15">
        <v>10.044444444444444</v>
      </c>
      <c r="H3621" s="3">
        <v>3.7612888888888835E-2</v>
      </c>
    </row>
    <row r="3622" spans="7:8" x14ac:dyDescent="0.3">
      <c r="G3622" s="15">
        <v>10.047222222222222</v>
      </c>
      <c r="H3622" s="3">
        <v>3.7613694444444387E-2</v>
      </c>
    </row>
    <row r="3623" spans="7:8" x14ac:dyDescent="0.3">
      <c r="G3623" s="15">
        <v>10.050000000000001</v>
      </c>
      <c r="H3623" s="3">
        <v>3.761449999999994E-2</v>
      </c>
    </row>
    <row r="3624" spans="7:8" x14ac:dyDescent="0.3">
      <c r="G3624" s="15">
        <v>10.052777777777777</v>
      </c>
      <c r="H3624" s="3">
        <v>3.7615305555555492E-2</v>
      </c>
    </row>
    <row r="3625" spans="7:8" x14ac:dyDescent="0.3">
      <c r="G3625" s="15">
        <v>10.055555555555555</v>
      </c>
      <c r="H3625" s="3">
        <v>3.7616111111111045E-2</v>
      </c>
    </row>
    <row r="3626" spans="7:8" x14ac:dyDescent="0.3">
      <c r="G3626" s="15">
        <v>10.058333333333334</v>
      </c>
      <c r="H3626" s="3">
        <v>3.7616916666666597E-2</v>
      </c>
    </row>
    <row r="3627" spans="7:8" x14ac:dyDescent="0.3">
      <c r="G3627" s="15">
        <v>10.061111111111112</v>
      </c>
      <c r="H3627" s="3">
        <v>3.761772222222215E-2</v>
      </c>
    </row>
    <row r="3628" spans="7:8" x14ac:dyDescent="0.3">
      <c r="G3628" s="15">
        <v>10.063888888888888</v>
      </c>
      <c r="H3628" s="3">
        <v>3.7618527777777702E-2</v>
      </c>
    </row>
    <row r="3629" spans="7:8" x14ac:dyDescent="0.3">
      <c r="G3629" s="15">
        <v>10.066666666666666</v>
      </c>
      <c r="H3629" s="3">
        <v>3.7619333333333255E-2</v>
      </c>
    </row>
    <row r="3630" spans="7:8" x14ac:dyDescent="0.3">
      <c r="G3630" s="15">
        <v>10.069444444444445</v>
      </c>
      <c r="H3630" s="3">
        <v>3.7620138888888807E-2</v>
      </c>
    </row>
    <row r="3631" spans="7:8" x14ac:dyDescent="0.3">
      <c r="G3631" s="15">
        <v>10.072222222222223</v>
      </c>
      <c r="H3631" s="3">
        <v>3.762094444444436E-2</v>
      </c>
    </row>
    <row r="3632" spans="7:8" x14ac:dyDescent="0.3">
      <c r="G3632" s="15">
        <v>10.074999999999999</v>
      </c>
      <c r="H3632" s="3">
        <v>3.7621749999999912E-2</v>
      </c>
    </row>
    <row r="3633" spans="7:8" x14ac:dyDescent="0.3">
      <c r="G3633" s="15">
        <v>10.077777777777778</v>
      </c>
      <c r="H3633" s="3">
        <v>3.7622555555555465E-2</v>
      </c>
    </row>
    <row r="3634" spans="7:8" x14ac:dyDescent="0.3">
      <c r="G3634" s="15">
        <v>10.080555555555556</v>
      </c>
      <c r="H3634" s="3">
        <v>3.7623361111111017E-2</v>
      </c>
    </row>
    <row r="3635" spans="7:8" x14ac:dyDescent="0.3">
      <c r="G3635" s="15">
        <v>10.083333333333334</v>
      </c>
      <c r="H3635" s="3">
        <v>3.762416666666657E-2</v>
      </c>
    </row>
    <row r="3636" spans="7:8" x14ac:dyDescent="0.3">
      <c r="G3636" s="15">
        <v>10.08611111111111</v>
      </c>
      <c r="H3636" s="3">
        <v>3.7624972222222122E-2</v>
      </c>
    </row>
    <row r="3637" spans="7:8" x14ac:dyDescent="0.3">
      <c r="G3637" s="15">
        <v>10.088888888888889</v>
      </c>
      <c r="H3637" s="3">
        <v>3.7625777777777675E-2</v>
      </c>
    </row>
    <row r="3638" spans="7:8" x14ac:dyDescent="0.3">
      <c r="G3638" s="15">
        <v>10.091666666666667</v>
      </c>
      <c r="H3638" s="3">
        <v>3.7626583333333227E-2</v>
      </c>
    </row>
    <row r="3639" spans="7:8" x14ac:dyDescent="0.3">
      <c r="G3639" s="15">
        <v>10.094444444444445</v>
      </c>
      <c r="H3639" s="3">
        <v>3.762738888888878E-2</v>
      </c>
    </row>
    <row r="3640" spans="7:8" x14ac:dyDescent="0.3">
      <c r="G3640" s="15">
        <v>10.097222222222221</v>
      </c>
      <c r="H3640" s="3">
        <v>3.7628194444444332E-2</v>
      </c>
    </row>
    <row r="3641" spans="7:8" x14ac:dyDescent="0.3">
      <c r="G3641" s="15">
        <v>10.1</v>
      </c>
      <c r="H3641" s="3">
        <v>3.7628999999999885E-2</v>
      </c>
    </row>
    <row r="3642" spans="7:8" x14ac:dyDescent="0.3">
      <c r="G3642" s="15">
        <v>10.102777777777778</v>
      </c>
      <c r="H3642" s="3">
        <v>3.7629805555555437E-2</v>
      </c>
    </row>
    <row r="3643" spans="7:8" x14ac:dyDescent="0.3">
      <c r="G3643" s="15">
        <v>10.105555555555556</v>
      </c>
      <c r="H3643" s="3">
        <v>3.763061111111099E-2</v>
      </c>
    </row>
    <row r="3644" spans="7:8" x14ac:dyDescent="0.3">
      <c r="G3644" s="15">
        <v>10.108333333333333</v>
      </c>
      <c r="H3644" s="3">
        <v>3.7631416666666542E-2</v>
      </c>
    </row>
    <row r="3645" spans="7:8" x14ac:dyDescent="0.3">
      <c r="G3645" s="15">
        <v>10.111111111111111</v>
      </c>
      <c r="H3645" s="3">
        <v>3.7632222222222095E-2</v>
      </c>
    </row>
    <row r="3646" spans="7:8" x14ac:dyDescent="0.3">
      <c r="G3646" s="15">
        <v>10.113888888888889</v>
      </c>
      <c r="H3646" s="3">
        <v>3.7633027777777647E-2</v>
      </c>
    </row>
    <row r="3647" spans="7:8" x14ac:dyDescent="0.3">
      <c r="G3647" s="15">
        <v>10.116666666666667</v>
      </c>
      <c r="H3647" s="3">
        <v>3.76338333333332E-2</v>
      </c>
    </row>
    <row r="3648" spans="7:8" x14ac:dyDescent="0.3">
      <c r="G3648" s="15">
        <v>10.119444444444444</v>
      </c>
      <c r="H3648" s="3">
        <v>3.7634638888888752E-2</v>
      </c>
    </row>
    <row r="3649" spans="7:8" x14ac:dyDescent="0.3">
      <c r="G3649" s="15">
        <v>10.122222222222222</v>
      </c>
      <c r="H3649" s="3">
        <v>3.7635444444444305E-2</v>
      </c>
    </row>
    <row r="3650" spans="7:8" x14ac:dyDescent="0.3">
      <c r="G3650" s="15">
        <v>10.125</v>
      </c>
      <c r="H3650" s="3">
        <v>3.7636249999999857E-2</v>
      </c>
    </row>
    <row r="3651" spans="7:8" x14ac:dyDescent="0.3">
      <c r="G3651" s="15">
        <v>10.127777777777778</v>
      </c>
      <c r="H3651" s="3">
        <v>3.763705555555541E-2</v>
      </c>
    </row>
    <row r="3652" spans="7:8" x14ac:dyDescent="0.3">
      <c r="G3652" s="15">
        <v>10.130555555555556</v>
      </c>
      <c r="H3652" s="3">
        <v>3.7637861111110962E-2</v>
      </c>
    </row>
    <row r="3653" spans="7:8" x14ac:dyDescent="0.3">
      <c r="G3653" s="15">
        <v>10.133333333333333</v>
      </c>
      <c r="H3653" s="3">
        <v>3.7638666666666515E-2</v>
      </c>
    </row>
    <row r="3654" spans="7:8" x14ac:dyDescent="0.3">
      <c r="G3654" s="15">
        <v>10.136111111111111</v>
      </c>
      <c r="H3654" s="3">
        <v>3.7639472222222067E-2</v>
      </c>
    </row>
    <row r="3655" spans="7:8" x14ac:dyDescent="0.3">
      <c r="G3655" s="15">
        <v>10.138888888888889</v>
      </c>
      <c r="H3655" s="3">
        <v>3.764027777777762E-2</v>
      </c>
    </row>
    <row r="3656" spans="7:8" x14ac:dyDescent="0.3">
      <c r="G3656" s="15">
        <v>10.141666666666667</v>
      </c>
      <c r="H3656" s="3">
        <v>3.7641083333333172E-2</v>
      </c>
    </row>
    <row r="3657" spans="7:8" x14ac:dyDescent="0.3">
      <c r="G3657" s="15">
        <v>10.144444444444444</v>
      </c>
      <c r="H3657" s="3">
        <v>3.7641888888888725E-2</v>
      </c>
    </row>
    <row r="3658" spans="7:8" x14ac:dyDescent="0.3">
      <c r="G3658" s="15">
        <v>10.147222222222222</v>
      </c>
      <c r="H3658" s="3">
        <v>3.7642694444444277E-2</v>
      </c>
    </row>
    <row r="3659" spans="7:8" x14ac:dyDescent="0.3">
      <c r="G3659" s="15">
        <v>10.15</v>
      </c>
      <c r="H3659" s="3">
        <v>3.764349999999983E-2</v>
      </c>
    </row>
    <row r="3660" spans="7:8" x14ac:dyDescent="0.3">
      <c r="G3660" s="15">
        <v>10.152777777777779</v>
      </c>
      <c r="H3660" s="3">
        <v>3.7644305555555382E-2</v>
      </c>
    </row>
    <row r="3661" spans="7:8" x14ac:dyDescent="0.3">
      <c r="G3661" s="15">
        <v>10.155555555555555</v>
      </c>
      <c r="H3661" s="3">
        <v>3.7645111111110935E-2</v>
      </c>
    </row>
    <row r="3662" spans="7:8" x14ac:dyDescent="0.3">
      <c r="G3662" s="15">
        <v>10.158333333333333</v>
      </c>
      <c r="H3662" s="3">
        <v>3.7645916666666487E-2</v>
      </c>
    </row>
    <row r="3663" spans="7:8" x14ac:dyDescent="0.3">
      <c r="G3663" s="15">
        <v>10.161111111111111</v>
      </c>
      <c r="H3663" s="3">
        <v>3.764672222222204E-2</v>
      </c>
    </row>
    <row r="3664" spans="7:8" x14ac:dyDescent="0.3">
      <c r="G3664" s="15">
        <v>10.16388888888889</v>
      </c>
      <c r="H3664" s="3">
        <v>3.7647527777777592E-2</v>
      </c>
    </row>
    <row r="3665" spans="7:8" x14ac:dyDescent="0.3">
      <c r="G3665" s="15">
        <v>10.166666666666666</v>
      </c>
      <c r="H3665" s="3">
        <v>3.7648333333333145E-2</v>
      </c>
    </row>
    <row r="3666" spans="7:8" x14ac:dyDescent="0.3">
      <c r="G3666" s="15">
        <v>10.169444444444444</v>
      </c>
      <c r="H3666" s="3">
        <v>3.7649138888888697E-2</v>
      </c>
    </row>
    <row r="3667" spans="7:8" x14ac:dyDescent="0.3">
      <c r="G3667" s="15">
        <v>10.172222222222222</v>
      </c>
      <c r="H3667" s="3">
        <v>3.764994444444425E-2</v>
      </c>
    </row>
    <row r="3668" spans="7:8" x14ac:dyDescent="0.3">
      <c r="G3668" s="15">
        <v>10.175000000000001</v>
      </c>
      <c r="H3668" s="3">
        <v>3.7650749999999802E-2</v>
      </c>
    </row>
    <row r="3669" spans="7:8" x14ac:dyDescent="0.3">
      <c r="G3669" s="15">
        <v>10.177777777777777</v>
      </c>
      <c r="H3669" s="3">
        <v>3.7651555555555355E-2</v>
      </c>
    </row>
    <row r="3670" spans="7:8" x14ac:dyDescent="0.3">
      <c r="G3670" s="15">
        <v>10.180555555555555</v>
      </c>
      <c r="H3670" s="3">
        <v>3.7652361111110907E-2</v>
      </c>
    </row>
    <row r="3671" spans="7:8" x14ac:dyDescent="0.3">
      <c r="G3671" s="15">
        <v>10.183333333333334</v>
      </c>
      <c r="H3671" s="3">
        <v>3.765316666666646E-2</v>
      </c>
    </row>
    <row r="3672" spans="7:8" x14ac:dyDescent="0.3">
      <c r="G3672" s="15">
        <v>10.186111111111112</v>
      </c>
      <c r="H3672" s="3">
        <v>3.7653972222222012E-2</v>
      </c>
    </row>
    <row r="3673" spans="7:8" x14ac:dyDescent="0.3">
      <c r="G3673" s="15">
        <v>10.188888888888888</v>
      </c>
      <c r="H3673" s="3">
        <v>3.7654777777777565E-2</v>
      </c>
    </row>
    <row r="3674" spans="7:8" x14ac:dyDescent="0.3">
      <c r="G3674" s="15">
        <v>10.191666666666666</v>
      </c>
      <c r="H3674" s="3">
        <v>3.7655583333333117E-2</v>
      </c>
    </row>
    <row r="3675" spans="7:8" x14ac:dyDescent="0.3">
      <c r="G3675" s="15">
        <v>10.194444444444445</v>
      </c>
      <c r="H3675" s="3">
        <v>3.765638888888867E-2</v>
      </c>
    </row>
    <row r="3676" spans="7:8" x14ac:dyDescent="0.3">
      <c r="G3676" s="15">
        <v>10.197222222222223</v>
      </c>
      <c r="H3676" s="3">
        <v>3.7657194444444222E-2</v>
      </c>
    </row>
    <row r="3677" spans="7:8" x14ac:dyDescent="0.3">
      <c r="G3677" s="15">
        <v>10.199999999999999</v>
      </c>
      <c r="H3677" s="3">
        <v>3.7657999999999775E-2</v>
      </c>
    </row>
    <row r="3678" spans="7:8" x14ac:dyDescent="0.3">
      <c r="G3678" s="15">
        <v>10.202777777777778</v>
      </c>
      <c r="H3678" s="3">
        <v>3.7658805555555327E-2</v>
      </c>
    </row>
    <row r="3679" spans="7:8" x14ac:dyDescent="0.3">
      <c r="G3679" s="15">
        <v>10.205555555555556</v>
      </c>
      <c r="H3679" s="3">
        <v>3.765961111111088E-2</v>
      </c>
    </row>
    <row r="3680" spans="7:8" x14ac:dyDescent="0.3">
      <c r="G3680" s="15">
        <v>10.208333333333334</v>
      </c>
      <c r="H3680" s="3">
        <v>3.7660416666666433E-2</v>
      </c>
    </row>
    <row r="3681" spans="7:8" x14ac:dyDescent="0.3">
      <c r="G3681" s="15">
        <v>10.21111111111111</v>
      </c>
      <c r="H3681" s="3">
        <v>3.7661222222221985E-2</v>
      </c>
    </row>
    <row r="3682" spans="7:8" x14ac:dyDescent="0.3">
      <c r="G3682" s="15">
        <v>10.213888888888889</v>
      </c>
      <c r="H3682" s="3">
        <v>3.7662027777777538E-2</v>
      </c>
    </row>
    <row r="3683" spans="7:8" x14ac:dyDescent="0.3">
      <c r="G3683" s="15">
        <v>10.216666666666667</v>
      </c>
      <c r="H3683" s="3">
        <v>3.766283333333309E-2</v>
      </c>
    </row>
    <row r="3684" spans="7:8" x14ac:dyDescent="0.3">
      <c r="G3684" s="15">
        <v>10.219444444444445</v>
      </c>
      <c r="H3684" s="3">
        <v>3.7663638888888643E-2</v>
      </c>
    </row>
    <row r="3685" spans="7:8" x14ac:dyDescent="0.3">
      <c r="G3685" s="15">
        <v>10.222222222222221</v>
      </c>
      <c r="H3685" s="3">
        <v>3.7664444444444195E-2</v>
      </c>
    </row>
    <row r="3686" spans="7:8" x14ac:dyDescent="0.3">
      <c r="G3686" s="15">
        <v>10.225</v>
      </c>
      <c r="H3686" s="3">
        <v>3.7665249999999748E-2</v>
      </c>
    </row>
    <row r="3687" spans="7:8" x14ac:dyDescent="0.3">
      <c r="G3687" s="15">
        <v>10.227777777777778</v>
      </c>
      <c r="H3687" s="3">
        <v>3.76660555555553E-2</v>
      </c>
    </row>
    <row r="3688" spans="7:8" x14ac:dyDescent="0.3">
      <c r="G3688" s="15">
        <v>10.230555555555556</v>
      </c>
      <c r="H3688" s="3">
        <v>3.7666861111110853E-2</v>
      </c>
    </row>
    <row r="3689" spans="7:8" x14ac:dyDescent="0.3">
      <c r="G3689" s="15">
        <v>10.233333333333333</v>
      </c>
      <c r="H3689" s="3">
        <v>3.7667666666666405E-2</v>
      </c>
    </row>
    <row r="3690" spans="7:8" x14ac:dyDescent="0.3">
      <c r="G3690" s="15">
        <v>10.236111111111111</v>
      </c>
      <c r="H3690" s="3">
        <v>3.7668472222221958E-2</v>
      </c>
    </row>
    <row r="3691" spans="7:8" x14ac:dyDescent="0.3">
      <c r="G3691" s="15">
        <v>10.238888888888889</v>
      </c>
      <c r="H3691" s="3">
        <v>3.766927777777751E-2</v>
      </c>
    </row>
    <row r="3692" spans="7:8" x14ac:dyDescent="0.3">
      <c r="G3692" s="15">
        <v>10.241666666666667</v>
      </c>
      <c r="H3692" s="3">
        <v>3.7670083333333063E-2</v>
      </c>
    </row>
    <row r="3693" spans="7:8" x14ac:dyDescent="0.3">
      <c r="G3693" s="15">
        <v>10.244444444444444</v>
      </c>
      <c r="H3693" s="3">
        <v>3.7670888888888615E-2</v>
      </c>
    </row>
    <row r="3694" spans="7:8" x14ac:dyDescent="0.3">
      <c r="G3694" s="15">
        <v>10.247222222222222</v>
      </c>
      <c r="H3694" s="3">
        <v>3.7671694444444168E-2</v>
      </c>
    </row>
    <row r="3695" spans="7:8" x14ac:dyDescent="0.3">
      <c r="G3695" s="15">
        <v>10.25</v>
      </c>
      <c r="H3695" s="3">
        <v>3.767249999999972E-2</v>
      </c>
    </row>
    <row r="3696" spans="7:8" x14ac:dyDescent="0.3">
      <c r="G3696" s="15">
        <v>10.252777777777778</v>
      </c>
      <c r="H3696" s="3">
        <v>3.7673305555555273E-2</v>
      </c>
    </row>
    <row r="3697" spans="7:8" x14ac:dyDescent="0.3">
      <c r="G3697" s="15">
        <v>10.255555555555556</v>
      </c>
      <c r="H3697" s="3">
        <v>3.7674111111110825E-2</v>
      </c>
    </row>
    <row r="3698" spans="7:8" x14ac:dyDescent="0.3">
      <c r="G3698" s="15">
        <v>10.258333333333333</v>
      </c>
      <c r="H3698" s="3">
        <v>3.7674916666666378E-2</v>
      </c>
    </row>
    <row r="3699" spans="7:8" x14ac:dyDescent="0.3">
      <c r="G3699" s="15">
        <v>10.261111111111111</v>
      </c>
      <c r="H3699" s="3">
        <v>3.767572222222193E-2</v>
      </c>
    </row>
    <row r="3700" spans="7:8" x14ac:dyDescent="0.3">
      <c r="G3700" s="15">
        <v>10.263888888888889</v>
      </c>
      <c r="H3700" s="3">
        <v>3.7676527777777483E-2</v>
      </c>
    </row>
    <row r="3701" spans="7:8" x14ac:dyDescent="0.3">
      <c r="G3701" s="15">
        <v>10.266666666666667</v>
      </c>
      <c r="H3701" s="3">
        <v>3.7677333333333035E-2</v>
      </c>
    </row>
    <row r="3702" spans="7:8" x14ac:dyDescent="0.3">
      <c r="G3702" s="15">
        <v>10.269444444444444</v>
      </c>
      <c r="H3702" s="3">
        <v>3.7678138888888588E-2</v>
      </c>
    </row>
    <row r="3703" spans="7:8" x14ac:dyDescent="0.3">
      <c r="G3703" s="15">
        <v>10.272222222222222</v>
      </c>
      <c r="H3703" s="3">
        <v>3.767894444444414E-2</v>
      </c>
    </row>
    <row r="3704" spans="7:8" x14ac:dyDescent="0.3">
      <c r="G3704" s="15">
        <v>10.275</v>
      </c>
      <c r="H3704" s="3">
        <v>3.7679749999999693E-2</v>
      </c>
    </row>
    <row r="3705" spans="7:8" x14ac:dyDescent="0.3">
      <c r="G3705" s="15">
        <v>10.277777777777779</v>
      </c>
      <c r="H3705" s="3">
        <v>3.7680555555555245E-2</v>
      </c>
    </row>
    <row r="3706" spans="7:8" x14ac:dyDescent="0.3">
      <c r="G3706" s="15">
        <v>10.280555555555555</v>
      </c>
      <c r="H3706" s="3">
        <v>3.7681361111110798E-2</v>
      </c>
    </row>
    <row r="3707" spans="7:8" x14ac:dyDescent="0.3">
      <c r="G3707" s="15">
        <v>10.283333333333333</v>
      </c>
      <c r="H3707" s="3">
        <v>3.768216666666635E-2</v>
      </c>
    </row>
    <row r="3708" spans="7:8" x14ac:dyDescent="0.3">
      <c r="G3708" s="15">
        <v>10.286111111111111</v>
      </c>
      <c r="H3708" s="3">
        <v>3.7682972222221903E-2</v>
      </c>
    </row>
    <row r="3709" spans="7:8" x14ac:dyDescent="0.3">
      <c r="G3709" s="15">
        <v>10.28888888888889</v>
      </c>
      <c r="H3709" s="3">
        <v>3.7683777777777455E-2</v>
      </c>
    </row>
    <row r="3710" spans="7:8" x14ac:dyDescent="0.3">
      <c r="G3710" s="15">
        <v>10.291666666666666</v>
      </c>
      <c r="H3710" s="3">
        <v>3.7684583333333008E-2</v>
      </c>
    </row>
    <row r="3711" spans="7:8" x14ac:dyDescent="0.3">
      <c r="G3711" s="15">
        <v>10.294444444444444</v>
      </c>
      <c r="H3711" s="3">
        <v>3.768538888888856E-2</v>
      </c>
    </row>
    <row r="3712" spans="7:8" x14ac:dyDescent="0.3">
      <c r="G3712" s="15">
        <v>10.297222222222222</v>
      </c>
      <c r="H3712" s="3">
        <v>3.7686194444444113E-2</v>
      </c>
    </row>
    <row r="3713" spans="7:8" x14ac:dyDescent="0.3">
      <c r="G3713" s="15">
        <v>10.3</v>
      </c>
      <c r="H3713" s="3">
        <v>3.7686999999999665E-2</v>
      </c>
    </row>
    <row r="3714" spans="7:8" x14ac:dyDescent="0.3">
      <c r="G3714" s="15">
        <v>10.302777777777777</v>
      </c>
      <c r="H3714" s="3">
        <v>3.7687805555555218E-2</v>
      </c>
    </row>
    <row r="3715" spans="7:8" x14ac:dyDescent="0.3">
      <c r="G3715" s="15">
        <v>10.305555555555555</v>
      </c>
      <c r="H3715" s="3">
        <v>3.768861111111077E-2</v>
      </c>
    </row>
    <row r="3716" spans="7:8" x14ac:dyDescent="0.3">
      <c r="G3716" s="15">
        <v>10.308333333333334</v>
      </c>
      <c r="H3716" s="3">
        <v>3.7689416666666323E-2</v>
      </c>
    </row>
    <row r="3717" spans="7:8" x14ac:dyDescent="0.3">
      <c r="G3717" s="15">
        <v>10.311111111111112</v>
      </c>
      <c r="H3717" s="3">
        <v>3.7690222222221875E-2</v>
      </c>
    </row>
    <row r="3718" spans="7:8" x14ac:dyDescent="0.3">
      <c r="G3718" s="15">
        <v>10.313888888888888</v>
      </c>
      <c r="H3718" s="3">
        <v>3.7691027777777428E-2</v>
      </c>
    </row>
    <row r="3719" spans="7:8" x14ac:dyDescent="0.3">
      <c r="G3719" s="15">
        <v>10.316666666666666</v>
      </c>
      <c r="H3719" s="3">
        <v>3.769183333333298E-2</v>
      </c>
    </row>
    <row r="3720" spans="7:8" x14ac:dyDescent="0.3">
      <c r="G3720" s="15">
        <v>10.319444444444445</v>
      </c>
      <c r="H3720" s="3">
        <v>3.7692638888888533E-2</v>
      </c>
    </row>
    <row r="3721" spans="7:8" x14ac:dyDescent="0.3">
      <c r="G3721" s="15">
        <v>10.322222222222223</v>
      </c>
      <c r="H3721" s="3">
        <v>3.7693444444444085E-2</v>
      </c>
    </row>
    <row r="3722" spans="7:8" x14ac:dyDescent="0.3">
      <c r="G3722" s="15">
        <v>10.324999999999999</v>
      </c>
      <c r="H3722" s="3">
        <v>3.7694249999999638E-2</v>
      </c>
    </row>
    <row r="3723" spans="7:8" x14ac:dyDescent="0.3">
      <c r="G3723" s="15">
        <v>10.327777777777778</v>
      </c>
      <c r="H3723" s="3">
        <v>3.769505555555519E-2</v>
      </c>
    </row>
    <row r="3724" spans="7:8" x14ac:dyDescent="0.3">
      <c r="G3724" s="15">
        <v>10.330555555555556</v>
      </c>
      <c r="H3724" s="3">
        <v>3.7695861111110743E-2</v>
      </c>
    </row>
    <row r="3725" spans="7:8" x14ac:dyDescent="0.3">
      <c r="G3725" s="15">
        <v>10.333333333333334</v>
      </c>
      <c r="H3725" s="3">
        <v>3.7696666666666295E-2</v>
      </c>
    </row>
    <row r="3726" spans="7:8" x14ac:dyDescent="0.3">
      <c r="G3726" s="15">
        <v>10.33611111111111</v>
      </c>
      <c r="H3726" s="3">
        <v>3.7697472222221848E-2</v>
      </c>
    </row>
    <row r="3727" spans="7:8" x14ac:dyDescent="0.3">
      <c r="G3727" s="15">
        <v>10.338888888888889</v>
      </c>
      <c r="H3727" s="3">
        <v>3.76982777777774E-2</v>
      </c>
    </row>
    <row r="3728" spans="7:8" x14ac:dyDescent="0.3">
      <c r="G3728" s="15">
        <v>10.341666666666667</v>
      </c>
      <c r="H3728" s="3">
        <v>3.7699083333332953E-2</v>
      </c>
    </row>
    <row r="3729" spans="7:8" x14ac:dyDescent="0.3">
      <c r="G3729" s="15">
        <v>10.344444444444445</v>
      </c>
      <c r="H3729" s="3">
        <v>3.7699888888888505E-2</v>
      </c>
    </row>
    <row r="3730" spans="7:8" x14ac:dyDescent="0.3">
      <c r="G3730" s="15">
        <v>10.347222222222221</v>
      </c>
      <c r="H3730" s="3">
        <v>3.7700694444444058E-2</v>
      </c>
    </row>
    <row r="3731" spans="7:8" x14ac:dyDescent="0.3">
      <c r="G3731" s="15">
        <v>10.35</v>
      </c>
      <c r="H3731" s="3">
        <v>3.770149999999961E-2</v>
      </c>
    </row>
    <row r="3732" spans="7:8" x14ac:dyDescent="0.3">
      <c r="G3732" s="15">
        <v>10.352777777777778</v>
      </c>
      <c r="H3732" s="3">
        <v>3.7702305555555163E-2</v>
      </c>
    </row>
    <row r="3733" spans="7:8" x14ac:dyDescent="0.3">
      <c r="G3733" s="15">
        <v>10.355555555555556</v>
      </c>
      <c r="H3733" s="3">
        <v>3.7703111111110715E-2</v>
      </c>
    </row>
    <row r="3734" spans="7:8" x14ac:dyDescent="0.3">
      <c r="G3734" s="15">
        <v>10.358333333333333</v>
      </c>
      <c r="H3734" s="3">
        <v>3.7703916666666268E-2</v>
      </c>
    </row>
    <row r="3735" spans="7:8" x14ac:dyDescent="0.3">
      <c r="G3735" s="15">
        <v>10.361111111111111</v>
      </c>
      <c r="H3735" s="3">
        <v>3.770472222222182E-2</v>
      </c>
    </row>
    <row r="3736" spans="7:8" x14ac:dyDescent="0.3">
      <c r="G3736" s="15">
        <v>10.363888888888889</v>
      </c>
      <c r="H3736" s="3">
        <v>3.7705527777777373E-2</v>
      </c>
    </row>
    <row r="3737" spans="7:8" x14ac:dyDescent="0.3">
      <c r="G3737" s="15">
        <v>10.366666666666667</v>
      </c>
      <c r="H3737" s="3">
        <v>3.7706333333332925E-2</v>
      </c>
    </row>
    <row r="3738" spans="7:8" x14ac:dyDescent="0.3">
      <c r="G3738" s="15">
        <v>10.369444444444444</v>
      </c>
      <c r="H3738" s="3">
        <v>3.7707138888888478E-2</v>
      </c>
    </row>
    <row r="3739" spans="7:8" x14ac:dyDescent="0.3">
      <c r="G3739" s="15">
        <v>10.372222222222222</v>
      </c>
      <c r="H3739" s="3">
        <v>3.770794444444403E-2</v>
      </c>
    </row>
    <row r="3740" spans="7:8" x14ac:dyDescent="0.3">
      <c r="G3740" s="15">
        <v>10.375</v>
      </c>
      <c r="H3740" s="3">
        <v>3.7708749999999583E-2</v>
      </c>
    </row>
    <row r="3741" spans="7:8" x14ac:dyDescent="0.3">
      <c r="G3741" s="15">
        <v>10.377777777777778</v>
      </c>
      <c r="H3741" s="3">
        <v>3.7709555555555135E-2</v>
      </c>
    </row>
    <row r="3742" spans="7:8" x14ac:dyDescent="0.3">
      <c r="G3742" s="15">
        <v>10.380555555555556</v>
      </c>
      <c r="H3742" s="3">
        <v>3.7710361111110688E-2</v>
      </c>
    </row>
    <row r="3743" spans="7:8" x14ac:dyDescent="0.3">
      <c r="G3743" s="15">
        <v>10.383333333333333</v>
      </c>
      <c r="H3743" s="3">
        <v>3.771116666666624E-2</v>
      </c>
    </row>
    <row r="3744" spans="7:8" x14ac:dyDescent="0.3">
      <c r="G3744" s="15">
        <v>10.386111111111111</v>
      </c>
      <c r="H3744" s="3">
        <v>3.7711972222221793E-2</v>
      </c>
    </row>
    <row r="3745" spans="7:8" x14ac:dyDescent="0.3">
      <c r="G3745" s="15">
        <v>10.388888888888889</v>
      </c>
      <c r="H3745" s="3">
        <v>3.7712777777777345E-2</v>
      </c>
    </row>
    <row r="3746" spans="7:8" x14ac:dyDescent="0.3">
      <c r="G3746" s="15">
        <v>10.391666666666667</v>
      </c>
      <c r="H3746" s="3">
        <v>3.7713583333332898E-2</v>
      </c>
    </row>
    <row r="3747" spans="7:8" x14ac:dyDescent="0.3">
      <c r="G3747" s="15">
        <v>10.394444444444444</v>
      </c>
      <c r="H3747" s="3">
        <v>3.771438888888845E-2</v>
      </c>
    </row>
    <row r="3748" spans="7:8" x14ac:dyDescent="0.3">
      <c r="G3748" s="15">
        <v>10.397222222222222</v>
      </c>
      <c r="H3748" s="3">
        <v>3.7715194444444003E-2</v>
      </c>
    </row>
    <row r="3749" spans="7:8" x14ac:dyDescent="0.3">
      <c r="G3749" s="15">
        <v>10.4</v>
      </c>
      <c r="H3749" s="3">
        <v>3.7715999999999555E-2</v>
      </c>
    </row>
    <row r="3750" spans="7:8" x14ac:dyDescent="0.3">
      <c r="G3750" s="15">
        <v>10.402777777777779</v>
      </c>
      <c r="H3750" s="3">
        <v>3.7716805555555108E-2</v>
      </c>
    </row>
    <row r="3751" spans="7:8" x14ac:dyDescent="0.3">
      <c r="G3751" s="15">
        <v>10.405555555555555</v>
      </c>
      <c r="H3751" s="3">
        <v>3.771761111111066E-2</v>
      </c>
    </row>
    <row r="3752" spans="7:8" x14ac:dyDescent="0.3">
      <c r="G3752" s="15">
        <v>10.408333333333333</v>
      </c>
      <c r="H3752" s="3">
        <v>3.7718416666666213E-2</v>
      </c>
    </row>
    <row r="3753" spans="7:8" x14ac:dyDescent="0.3">
      <c r="G3753" s="15">
        <v>10.411111111111111</v>
      </c>
      <c r="H3753" s="3">
        <v>3.7719222222221765E-2</v>
      </c>
    </row>
    <row r="3754" spans="7:8" x14ac:dyDescent="0.3">
      <c r="G3754" s="15">
        <v>10.41388888888889</v>
      </c>
      <c r="H3754" s="3">
        <v>3.7720027777777318E-2</v>
      </c>
    </row>
    <row r="3755" spans="7:8" x14ac:dyDescent="0.3">
      <c r="G3755" s="15">
        <v>10.416666666666666</v>
      </c>
      <c r="H3755" s="3">
        <v>3.772083333333287E-2</v>
      </c>
    </row>
    <row r="3756" spans="7:8" x14ac:dyDescent="0.3">
      <c r="G3756" s="15">
        <v>10.419444444444444</v>
      </c>
      <c r="H3756" s="3">
        <v>3.7721638888888423E-2</v>
      </c>
    </row>
    <row r="3757" spans="7:8" x14ac:dyDescent="0.3">
      <c r="G3757" s="15">
        <v>10.422222222222222</v>
      </c>
      <c r="H3757" s="3">
        <v>3.7722444444443975E-2</v>
      </c>
    </row>
    <row r="3758" spans="7:8" x14ac:dyDescent="0.3">
      <c r="G3758" s="15">
        <v>10.425000000000001</v>
      </c>
      <c r="H3758" s="3">
        <v>3.7723249999999528E-2</v>
      </c>
    </row>
    <row r="3759" spans="7:8" x14ac:dyDescent="0.3">
      <c r="G3759" s="15">
        <v>10.427777777777777</v>
      </c>
      <c r="H3759" s="3">
        <v>3.772405555555508E-2</v>
      </c>
    </row>
    <row r="3760" spans="7:8" x14ac:dyDescent="0.3">
      <c r="G3760" s="15">
        <v>10.430555555555555</v>
      </c>
      <c r="H3760" s="3">
        <v>3.7724861111110633E-2</v>
      </c>
    </row>
    <row r="3761" spans="7:8" x14ac:dyDescent="0.3">
      <c r="G3761" s="15">
        <v>10.433333333333334</v>
      </c>
      <c r="H3761" s="3">
        <v>3.7725666666666186E-2</v>
      </c>
    </row>
    <row r="3762" spans="7:8" x14ac:dyDescent="0.3">
      <c r="G3762" s="15">
        <v>10.436111111111112</v>
      </c>
      <c r="H3762" s="3">
        <v>3.7726472222221738E-2</v>
      </c>
    </row>
    <row r="3763" spans="7:8" x14ac:dyDescent="0.3">
      <c r="G3763" s="15">
        <v>10.438888888888888</v>
      </c>
      <c r="H3763" s="3">
        <v>3.7727277777777291E-2</v>
      </c>
    </row>
    <row r="3764" spans="7:8" x14ac:dyDescent="0.3">
      <c r="G3764" s="15">
        <v>10.441666666666666</v>
      </c>
      <c r="H3764" s="3">
        <v>3.7728083333332843E-2</v>
      </c>
    </row>
    <row r="3765" spans="7:8" x14ac:dyDescent="0.3">
      <c r="G3765" s="15">
        <v>10.444444444444445</v>
      </c>
      <c r="H3765" s="3">
        <v>3.7728888888888396E-2</v>
      </c>
    </row>
    <row r="3766" spans="7:8" x14ac:dyDescent="0.3">
      <c r="G3766" s="15">
        <v>10.447222222222223</v>
      </c>
      <c r="H3766" s="3">
        <v>3.7729694444443948E-2</v>
      </c>
    </row>
    <row r="3767" spans="7:8" x14ac:dyDescent="0.3">
      <c r="G3767" s="15">
        <v>10.45</v>
      </c>
      <c r="H3767" s="3">
        <v>3.7730499999999501E-2</v>
      </c>
    </row>
    <row r="3768" spans="7:8" x14ac:dyDescent="0.3">
      <c r="G3768" s="15">
        <v>10.452777777777778</v>
      </c>
      <c r="H3768" s="3">
        <v>3.7731305555555053E-2</v>
      </c>
    </row>
    <row r="3769" spans="7:8" x14ac:dyDescent="0.3">
      <c r="G3769" s="15">
        <v>10.455555555555556</v>
      </c>
      <c r="H3769" s="3">
        <v>3.7732111111110606E-2</v>
      </c>
    </row>
    <row r="3770" spans="7:8" x14ac:dyDescent="0.3">
      <c r="G3770" s="15">
        <v>10.458333333333334</v>
      </c>
      <c r="H3770" s="3">
        <v>3.7732916666666158E-2</v>
      </c>
    </row>
    <row r="3771" spans="7:8" x14ac:dyDescent="0.3">
      <c r="G3771" s="15">
        <v>10.46111111111111</v>
      </c>
      <c r="H3771" s="3">
        <v>3.7733722222221711E-2</v>
      </c>
    </row>
    <row r="3772" spans="7:8" x14ac:dyDescent="0.3">
      <c r="G3772" s="15">
        <v>10.463888888888889</v>
      </c>
      <c r="H3772" s="3">
        <v>3.7734527777777263E-2</v>
      </c>
    </row>
    <row r="3773" spans="7:8" x14ac:dyDescent="0.3">
      <c r="G3773" s="15">
        <v>10.466666666666667</v>
      </c>
      <c r="H3773" s="3">
        <v>3.7735333333332816E-2</v>
      </c>
    </row>
    <row r="3774" spans="7:8" x14ac:dyDescent="0.3">
      <c r="G3774" s="15">
        <v>10.469444444444445</v>
      </c>
      <c r="H3774" s="3">
        <v>3.7736138888888368E-2</v>
      </c>
    </row>
    <row r="3775" spans="7:8" x14ac:dyDescent="0.3">
      <c r="G3775" s="15">
        <v>10.472222222222221</v>
      </c>
      <c r="H3775" s="3">
        <v>3.7736944444443921E-2</v>
      </c>
    </row>
    <row r="3776" spans="7:8" x14ac:dyDescent="0.3">
      <c r="G3776" s="15">
        <v>10.475</v>
      </c>
      <c r="H3776" s="3">
        <v>3.7737749999999473E-2</v>
      </c>
    </row>
    <row r="3777" spans="7:8" x14ac:dyDescent="0.3">
      <c r="G3777" s="15">
        <v>10.477777777777778</v>
      </c>
      <c r="H3777" s="3">
        <v>3.7738555555555026E-2</v>
      </c>
    </row>
    <row r="3778" spans="7:8" x14ac:dyDescent="0.3">
      <c r="G3778" s="15">
        <v>10.480555555555556</v>
      </c>
      <c r="H3778" s="3">
        <v>3.7739361111110578E-2</v>
      </c>
    </row>
    <row r="3779" spans="7:8" x14ac:dyDescent="0.3">
      <c r="G3779" s="15">
        <v>10.483333333333333</v>
      </c>
      <c r="H3779" s="3">
        <v>3.7740166666666131E-2</v>
      </c>
    </row>
    <row r="3780" spans="7:8" x14ac:dyDescent="0.3">
      <c r="G3780" s="15">
        <v>10.486111111111111</v>
      </c>
      <c r="H3780" s="3">
        <v>3.7740972222221683E-2</v>
      </c>
    </row>
    <row r="3781" spans="7:8" x14ac:dyDescent="0.3">
      <c r="G3781" s="15">
        <v>10.488888888888889</v>
      </c>
      <c r="H3781" s="3">
        <v>3.7741777777777236E-2</v>
      </c>
    </row>
    <row r="3782" spans="7:8" x14ac:dyDescent="0.3">
      <c r="G3782" s="15">
        <v>10.491666666666667</v>
      </c>
      <c r="H3782" s="3">
        <v>3.7742583333332788E-2</v>
      </c>
    </row>
    <row r="3783" spans="7:8" x14ac:dyDescent="0.3">
      <c r="G3783" s="15">
        <v>10.494444444444444</v>
      </c>
      <c r="H3783" s="3">
        <v>3.7743388888888341E-2</v>
      </c>
    </row>
    <row r="3784" spans="7:8" x14ac:dyDescent="0.3">
      <c r="G3784" s="15">
        <v>10.497222222222222</v>
      </c>
      <c r="H3784" s="3">
        <v>3.7744194444443893E-2</v>
      </c>
    </row>
    <row r="3785" spans="7:8" x14ac:dyDescent="0.3">
      <c r="G3785" s="15">
        <v>10.5</v>
      </c>
      <c r="H3785" s="3">
        <v>3.7744999999999446E-2</v>
      </c>
    </row>
    <row r="3786" spans="7:8" x14ac:dyDescent="0.3">
      <c r="G3786" s="15">
        <v>10.502777777777778</v>
      </c>
      <c r="H3786" s="3">
        <v>3.7745805555554998E-2</v>
      </c>
    </row>
    <row r="3787" spans="7:8" x14ac:dyDescent="0.3">
      <c r="G3787" s="15">
        <v>10.505555555555556</v>
      </c>
      <c r="H3787" s="3">
        <v>3.7746611111110551E-2</v>
      </c>
    </row>
    <row r="3788" spans="7:8" x14ac:dyDescent="0.3">
      <c r="G3788" s="15">
        <v>10.508333333333333</v>
      </c>
      <c r="H3788" s="3">
        <v>3.7747416666666103E-2</v>
      </c>
    </row>
    <row r="3789" spans="7:8" x14ac:dyDescent="0.3">
      <c r="G3789" s="15">
        <v>10.511111111111111</v>
      </c>
      <c r="H3789" s="3">
        <v>3.7748222222221656E-2</v>
      </c>
    </row>
    <row r="3790" spans="7:8" x14ac:dyDescent="0.3">
      <c r="G3790" s="15">
        <v>10.513888888888889</v>
      </c>
      <c r="H3790" s="3">
        <v>3.7749027777777208E-2</v>
      </c>
    </row>
    <row r="3791" spans="7:8" x14ac:dyDescent="0.3">
      <c r="G3791" s="15">
        <v>10.516666666666667</v>
      </c>
      <c r="H3791" s="3">
        <v>3.7749833333332761E-2</v>
      </c>
    </row>
    <row r="3792" spans="7:8" x14ac:dyDescent="0.3">
      <c r="G3792" s="15">
        <v>10.519444444444444</v>
      </c>
      <c r="H3792" s="3">
        <v>3.7750638888888313E-2</v>
      </c>
    </row>
    <row r="3793" spans="7:8" x14ac:dyDescent="0.3">
      <c r="G3793" s="15">
        <v>10.522222222222222</v>
      </c>
      <c r="H3793" s="3">
        <v>3.7751444444443866E-2</v>
      </c>
    </row>
    <row r="3794" spans="7:8" x14ac:dyDescent="0.3">
      <c r="G3794" s="15">
        <v>10.525</v>
      </c>
      <c r="H3794" s="3">
        <v>3.7752249999999418E-2</v>
      </c>
    </row>
    <row r="3795" spans="7:8" x14ac:dyDescent="0.3">
      <c r="G3795" s="15">
        <v>10.527777777777779</v>
      </c>
      <c r="H3795" s="3">
        <v>3.7753055555554971E-2</v>
      </c>
    </row>
    <row r="3796" spans="7:8" x14ac:dyDescent="0.3">
      <c r="G3796" s="15">
        <v>10.530555555555555</v>
      </c>
      <c r="H3796" s="3">
        <v>3.7753861111110523E-2</v>
      </c>
    </row>
    <row r="3797" spans="7:8" x14ac:dyDescent="0.3">
      <c r="G3797" s="15">
        <v>10.533333333333333</v>
      </c>
      <c r="H3797" s="3">
        <v>3.7754666666666076E-2</v>
      </c>
    </row>
    <row r="3798" spans="7:8" x14ac:dyDescent="0.3">
      <c r="G3798" s="15">
        <v>10.536111111111111</v>
      </c>
      <c r="H3798" s="3">
        <v>3.7755472222221628E-2</v>
      </c>
    </row>
    <row r="3799" spans="7:8" x14ac:dyDescent="0.3">
      <c r="G3799" s="15">
        <v>10.53888888888889</v>
      </c>
      <c r="H3799" s="3">
        <v>3.7756277777777181E-2</v>
      </c>
    </row>
    <row r="3800" spans="7:8" x14ac:dyDescent="0.3">
      <c r="G3800" s="15">
        <v>10.541666666666666</v>
      </c>
      <c r="H3800" s="3">
        <v>3.7757083333332733E-2</v>
      </c>
    </row>
    <row r="3801" spans="7:8" x14ac:dyDescent="0.3">
      <c r="G3801" s="15">
        <v>10.544444444444444</v>
      </c>
      <c r="H3801" s="3">
        <v>3.7757888888888286E-2</v>
      </c>
    </row>
    <row r="3802" spans="7:8" x14ac:dyDescent="0.3">
      <c r="G3802" s="15">
        <v>10.547222222222222</v>
      </c>
      <c r="H3802" s="3">
        <v>3.7758694444443838E-2</v>
      </c>
    </row>
    <row r="3803" spans="7:8" x14ac:dyDescent="0.3">
      <c r="G3803" s="15">
        <v>10.55</v>
      </c>
      <c r="H3803" s="3">
        <v>3.7759499999999391E-2</v>
      </c>
    </row>
    <row r="3804" spans="7:8" x14ac:dyDescent="0.3">
      <c r="G3804" s="15">
        <v>10.552777777777777</v>
      </c>
      <c r="H3804" s="3">
        <v>3.7760305555554943E-2</v>
      </c>
    </row>
    <row r="3805" spans="7:8" x14ac:dyDescent="0.3">
      <c r="G3805" s="15">
        <v>10.555555555555555</v>
      </c>
      <c r="H3805" s="3">
        <v>3.7761111111110496E-2</v>
      </c>
    </row>
    <row r="3806" spans="7:8" x14ac:dyDescent="0.3">
      <c r="G3806" s="15">
        <v>10.558333333333334</v>
      </c>
      <c r="H3806" s="3">
        <v>3.7761916666666048E-2</v>
      </c>
    </row>
    <row r="3807" spans="7:8" x14ac:dyDescent="0.3">
      <c r="G3807" s="15">
        <v>10.561111111111112</v>
      </c>
      <c r="H3807" s="3">
        <v>3.7762722222221601E-2</v>
      </c>
    </row>
    <row r="3808" spans="7:8" x14ac:dyDescent="0.3">
      <c r="G3808" s="15">
        <v>10.563888888888888</v>
      </c>
      <c r="H3808" s="3">
        <v>3.7763527777777153E-2</v>
      </c>
    </row>
    <row r="3809" spans="7:8" x14ac:dyDescent="0.3">
      <c r="G3809" s="15">
        <v>10.566666666666666</v>
      </c>
      <c r="H3809" s="3">
        <v>3.7764333333332706E-2</v>
      </c>
    </row>
    <row r="3810" spans="7:8" x14ac:dyDescent="0.3">
      <c r="G3810" s="15">
        <v>10.569444444444445</v>
      </c>
      <c r="H3810" s="3">
        <v>3.7765138888888258E-2</v>
      </c>
    </row>
    <row r="3811" spans="7:8" x14ac:dyDescent="0.3">
      <c r="G3811" s="15">
        <v>10.572222222222223</v>
      </c>
      <c r="H3811" s="3">
        <v>3.7765944444443811E-2</v>
      </c>
    </row>
    <row r="3812" spans="7:8" x14ac:dyDescent="0.3">
      <c r="G3812" s="15">
        <v>10.574999999999999</v>
      </c>
      <c r="H3812" s="3">
        <v>3.7766749999999363E-2</v>
      </c>
    </row>
    <row r="3813" spans="7:8" x14ac:dyDescent="0.3">
      <c r="G3813" s="15">
        <v>10.577777777777778</v>
      </c>
      <c r="H3813" s="3">
        <v>3.7767555555554916E-2</v>
      </c>
    </row>
    <row r="3814" spans="7:8" x14ac:dyDescent="0.3">
      <c r="G3814" s="15">
        <v>10.580555555555556</v>
      </c>
      <c r="H3814" s="3">
        <v>3.7768361111110468E-2</v>
      </c>
    </row>
    <row r="3815" spans="7:8" x14ac:dyDescent="0.3">
      <c r="G3815" s="15">
        <v>10.583333333333334</v>
      </c>
      <c r="H3815" s="3">
        <v>3.7769166666666021E-2</v>
      </c>
    </row>
    <row r="3816" spans="7:8" x14ac:dyDescent="0.3">
      <c r="G3816" s="15">
        <v>10.58611111111111</v>
      </c>
      <c r="H3816" s="3">
        <v>3.7769972222221573E-2</v>
      </c>
    </row>
    <row r="3817" spans="7:8" x14ac:dyDescent="0.3">
      <c r="G3817" s="15">
        <v>10.588888888888889</v>
      </c>
      <c r="H3817" s="3">
        <v>3.7770777777777126E-2</v>
      </c>
    </row>
    <row r="3818" spans="7:8" x14ac:dyDescent="0.3">
      <c r="G3818" s="15">
        <v>10.591666666666667</v>
      </c>
      <c r="H3818" s="3">
        <v>3.7771583333332678E-2</v>
      </c>
    </row>
    <row r="3819" spans="7:8" x14ac:dyDescent="0.3">
      <c r="G3819" s="15">
        <v>10.594444444444445</v>
      </c>
      <c r="H3819" s="3">
        <v>3.7772388888888231E-2</v>
      </c>
    </row>
    <row r="3820" spans="7:8" x14ac:dyDescent="0.3">
      <c r="G3820" s="15">
        <v>10.597222222222221</v>
      </c>
      <c r="H3820" s="3">
        <v>3.7773194444443783E-2</v>
      </c>
    </row>
    <row r="3821" spans="7:8" x14ac:dyDescent="0.3">
      <c r="G3821" s="15">
        <v>10.6</v>
      </c>
      <c r="H3821" s="3">
        <v>3.7773999999999336E-2</v>
      </c>
    </row>
    <row r="3822" spans="7:8" x14ac:dyDescent="0.3">
      <c r="G3822" s="15">
        <v>10.602777777777778</v>
      </c>
      <c r="H3822" s="3">
        <v>3.7774805555554888E-2</v>
      </c>
    </row>
    <row r="3823" spans="7:8" x14ac:dyDescent="0.3">
      <c r="G3823" s="15">
        <v>10.605555555555556</v>
      </c>
      <c r="H3823" s="3">
        <v>3.7775611111110441E-2</v>
      </c>
    </row>
    <row r="3824" spans="7:8" x14ac:dyDescent="0.3">
      <c r="G3824" s="15">
        <v>10.608333333333333</v>
      </c>
      <c r="H3824" s="3">
        <v>3.7776416666665993E-2</v>
      </c>
    </row>
    <row r="3825" spans="7:8" x14ac:dyDescent="0.3">
      <c r="G3825" s="15">
        <v>10.611111111111111</v>
      </c>
      <c r="H3825" s="3">
        <v>3.7777222222221546E-2</v>
      </c>
    </row>
    <row r="3826" spans="7:8" x14ac:dyDescent="0.3">
      <c r="G3826" s="15">
        <v>10.613888888888889</v>
      </c>
      <c r="H3826" s="3">
        <v>3.7778027777777098E-2</v>
      </c>
    </row>
    <row r="3827" spans="7:8" x14ac:dyDescent="0.3">
      <c r="G3827" s="15">
        <v>10.616666666666667</v>
      </c>
      <c r="H3827" s="3">
        <v>3.7778833333332651E-2</v>
      </c>
    </row>
    <row r="3828" spans="7:8" x14ac:dyDescent="0.3">
      <c r="G3828" s="15">
        <v>10.619444444444444</v>
      </c>
      <c r="H3828" s="3">
        <v>3.7779638888888203E-2</v>
      </c>
    </row>
    <row r="3829" spans="7:8" x14ac:dyDescent="0.3">
      <c r="G3829" s="15">
        <v>10.622222222222222</v>
      </c>
      <c r="H3829" s="3">
        <v>3.7780444444443756E-2</v>
      </c>
    </row>
    <row r="3830" spans="7:8" x14ac:dyDescent="0.3">
      <c r="G3830" s="15">
        <v>10.625</v>
      </c>
      <c r="H3830" s="3">
        <v>3.7781249999999308E-2</v>
      </c>
    </row>
    <row r="3831" spans="7:8" x14ac:dyDescent="0.3">
      <c r="G3831" s="15">
        <v>10.627777777777778</v>
      </c>
      <c r="H3831" s="3">
        <v>3.7782055555554861E-2</v>
      </c>
    </row>
    <row r="3832" spans="7:8" x14ac:dyDescent="0.3">
      <c r="G3832" s="15">
        <v>10.630555555555556</v>
      </c>
      <c r="H3832" s="3">
        <v>3.7782861111110413E-2</v>
      </c>
    </row>
    <row r="3833" spans="7:8" x14ac:dyDescent="0.3">
      <c r="G3833" s="15">
        <v>10.633333333333333</v>
      </c>
      <c r="H3833" s="3">
        <v>3.7783666666665966E-2</v>
      </c>
    </row>
    <row r="3834" spans="7:8" x14ac:dyDescent="0.3">
      <c r="G3834" s="15">
        <v>10.636111111111111</v>
      </c>
      <c r="H3834" s="3">
        <v>3.7784472222221518E-2</v>
      </c>
    </row>
    <row r="3835" spans="7:8" x14ac:dyDescent="0.3">
      <c r="G3835" s="15">
        <v>10.638888888888889</v>
      </c>
      <c r="H3835" s="3">
        <v>3.7785277777777071E-2</v>
      </c>
    </row>
    <row r="3836" spans="7:8" x14ac:dyDescent="0.3">
      <c r="G3836" s="15">
        <v>10.641666666666667</v>
      </c>
      <c r="H3836" s="3">
        <v>3.7786083333332623E-2</v>
      </c>
    </row>
    <row r="3837" spans="7:8" x14ac:dyDescent="0.3">
      <c r="G3837" s="15">
        <v>10.644444444444444</v>
      </c>
      <c r="H3837" s="3">
        <v>3.7786888888888176E-2</v>
      </c>
    </row>
    <row r="3838" spans="7:8" x14ac:dyDescent="0.3">
      <c r="G3838" s="15">
        <v>10.647222222222222</v>
      </c>
      <c r="H3838" s="3">
        <v>3.7787694444443728E-2</v>
      </c>
    </row>
    <row r="3839" spans="7:8" x14ac:dyDescent="0.3">
      <c r="G3839" s="15">
        <v>10.65</v>
      </c>
      <c r="H3839" s="3">
        <v>3.7788499999999281E-2</v>
      </c>
    </row>
    <row r="3840" spans="7:8" x14ac:dyDescent="0.3">
      <c r="G3840" s="15">
        <v>10.652777777777779</v>
      </c>
      <c r="H3840" s="3">
        <v>3.7789305555554834E-2</v>
      </c>
    </row>
    <row r="3841" spans="7:8" x14ac:dyDescent="0.3">
      <c r="G3841" s="15">
        <v>10.655555555555555</v>
      </c>
      <c r="H3841" s="3">
        <v>3.7790111111110386E-2</v>
      </c>
    </row>
    <row r="3842" spans="7:8" x14ac:dyDescent="0.3">
      <c r="G3842" s="15">
        <v>10.658333333333333</v>
      </c>
      <c r="H3842" s="3">
        <v>3.7790916666665939E-2</v>
      </c>
    </row>
    <row r="3843" spans="7:8" x14ac:dyDescent="0.3">
      <c r="G3843" s="15">
        <v>10.661111111111111</v>
      </c>
      <c r="H3843" s="3">
        <v>3.7791722222221491E-2</v>
      </c>
    </row>
    <row r="3844" spans="7:8" x14ac:dyDescent="0.3">
      <c r="G3844" s="15">
        <v>10.66388888888889</v>
      </c>
      <c r="H3844" s="3">
        <v>3.7792527777777044E-2</v>
      </c>
    </row>
    <row r="3845" spans="7:8" x14ac:dyDescent="0.3">
      <c r="G3845" s="15">
        <v>10.666666666666666</v>
      </c>
      <c r="H3845" s="3">
        <v>3.7793333333332596E-2</v>
      </c>
    </row>
    <row r="3846" spans="7:8" x14ac:dyDescent="0.3">
      <c r="G3846" s="15">
        <v>10.669444444444444</v>
      </c>
      <c r="H3846" s="3">
        <v>3.7794138888888149E-2</v>
      </c>
    </row>
    <row r="3847" spans="7:8" x14ac:dyDescent="0.3">
      <c r="G3847" s="15">
        <v>10.672222222222222</v>
      </c>
      <c r="H3847" s="3">
        <v>3.7794944444443701E-2</v>
      </c>
    </row>
    <row r="3848" spans="7:8" x14ac:dyDescent="0.3">
      <c r="G3848" s="15">
        <v>10.675000000000001</v>
      </c>
      <c r="H3848" s="3">
        <v>3.7795749999999254E-2</v>
      </c>
    </row>
    <row r="3849" spans="7:8" x14ac:dyDescent="0.3">
      <c r="G3849" s="15">
        <v>10.677777777777777</v>
      </c>
      <c r="H3849" s="3">
        <v>3.7796555555554806E-2</v>
      </c>
    </row>
    <row r="3850" spans="7:8" x14ac:dyDescent="0.3">
      <c r="G3850" s="15">
        <v>10.680555555555555</v>
      </c>
      <c r="H3850" s="3">
        <v>3.7797361111110359E-2</v>
      </c>
    </row>
    <row r="3851" spans="7:8" x14ac:dyDescent="0.3">
      <c r="G3851" s="15">
        <v>10.683333333333334</v>
      </c>
      <c r="H3851" s="3">
        <v>3.7798166666665911E-2</v>
      </c>
    </row>
    <row r="3852" spans="7:8" x14ac:dyDescent="0.3">
      <c r="G3852" s="15">
        <v>10.686111111111112</v>
      </c>
      <c r="H3852" s="3">
        <v>3.7798972222221464E-2</v>
      </c>
    </row>
    <row r="3853" spans="7:8" x14ac:dyDescent="0.3">
      <c r="G3853" s="15">
        <v>10.688888888888888</v>
      </c>
      <c r="H3853" s="3">
        <v>3.7799777777777016E-2</v>
      </c>
    </row>
    <row r="3854" spans="7:8" x14ac:dyDescent="0.3">
      <c r="G3854" s="15">
        <v>10.691666666666666</v>
      </c>
      <c r="H3854" s="3">
        <v>3.7800583333332569E-2</v>
      </c>
    </row>
    <row r="3855" spans="7:8" x14ac:dyDescent="0.3">
      <c r="G3855" s="15">
        <v>10.694444444444445</v>
      </c>
      <c r="H3855" s="3">
        <v>3.7801388888888121E-2</v>
      </c>
    </row>
    <row r="3856" spans="7:8" x14ac:dyDescent="0.3">
      <c r="G3856" s="15">
        <v>10.697222222222223</v>
      </c>
      <c r="H3856" s="3">
        <v>3.7802194444443674E-2</v>
      </c>
    </row>
    <row r="3857" spans="7:8" x14ac:dyDescent="0.3">
      <c r="G3857" s="15">
        <v>10.7</v>
      </c>
      <c r="H3857" s="3">
        <v>3.7802999999999226E-2</v>
      </c>
    </row>
    <row r="3858" spans="7:8" x14ac:dyDescent="0.3">
      <c r="G3858" s="15">
        <v>10.702777777777778</v>
      </c>
      <c r="H3858" s="3">
        <v>3.7803805555554779E-2</v>
      </c>
    </row>
    <row r="3859" spans="7:8" x14ac:dyDescent="0.3">
      <c r="G3859" s="15">
        <v>10.705555555555556</v>
      </c>
      <c r="H3859" s="3">
        <v>3.7804611111110331E-2</v>
      </c>
    </row>
    <row r="3860" spans="7:8" x14ac:dyDescent="0.3">
      <c r="G3860" s="15">
        <v>10.708333333333334</v>
      </c>
      <c r="H3860" s="3">
        <v>3.7805416666665884E-2</v>
      </c>
    </row>
    <row r="3861" spans="7:8" x14ac:dyDescent="0.3">
      <c r="G3861" s="15">
        <v>10.71111111111111</v>
      </c>
      <c r="H3861" s="3">
        <v>3.7806222222221436E-2</v>
      </c>
    </row>
    <row r="3862" spans="7:8" x14ac:dyDescent="0.3">
      <c r="G3862" s="15">
        <v>10.713888888888889</v>
      </c>
      <c r="H3862" s="3">
        <v>3.7807027777776989E-2</v>
      </c>
    </row>
    <row r="3863" spans="7:8" x14ac:dyDescent="0.3">
      <c r="G3863" s="15">
        <v>10.716666666666667</v>
      </c>
      <c r="H3863" s="3">
        <v>3.7807833333332541E-2</v>
      </c>
    </row>
    <row r="3864" spans="7:8" x14ac:dyDescent="0.3">
      <c r="G3864" s="15">
        <v>10.719444444444445</v>
      </c>
      <c r="H3864" s="3">
        <v>3.7808638888888094E-2</v>
      </c>
    </row>
    <row r="3865" spans="7:8" x14ac:dyDescent="0.3">
      <c r="G3865" s="15">
        <v>10.722222222222221</v>
      </c>
      <c r="H3865" s="3">
        <v>3.7809444444443646E-2</v>
      </c>
    </row>
    <row r="3866" spans="7:8" x14ac:dyDescent="0.3">
      <c r="G3866" s="15">
        <v>10.725</v>
      </c>
      <c r="H3866" s="3">
        <v>3.7810249999999199E-2</v>
      </c>
    </row>
    <row r="3867" spans="7:8" x14ac:dyDescent="0.3">
      <c r="G3867" s="15">
        <v>10.727777777777778</v>
      </c>
      <c r="H3867" s="3">
        <v>3.7811055555554751E-2</v>
      </c>
    </row>
    <row r="3868" spans="7:8" x14ac:dyDescent="0.3">
      <c r="G3868" s="15">
        <v>10.730555555555556</v>
      </c>
      <c r="H3868" s="3">
        <v>3.7811861111110304E-2</v>
      </c>
    </row>
    <row r="3869" spans="7:8" x14ac:dyDescent="0.3">
      <c r="G3869" s="15">
        <v>10.733333333333333</v>
      </c>
      <c r="H3869" s="3">
        <v>3.7812666666665856E-2</v>
      </c>
    </row>
    <row r="3870" spans="7:8" x14ac:dyDescent="0.3">
      <c r="G3870" s="15">
        <v>10.736111111111111</v>
      </c>
      <c r="H3870" s="3">
        <v>3.7813472222221409E-2</v>
      </c>
    </row>
    <row r="3871" spans="7:8" x14ac:dyDescent="0.3">
      <c r="G3871" s="15">
        <v>10.738888888888889</v>
      </c>
      <c r="H3871" s="3">
        <v>3.7814277777776961E-2</v>
      </c>
    </row>
    <row r="3872" spans="7:8" x14ac:dyDescent="0.3">
      <c r="G3872" s="15">
        <v>10.741666666666667</v>
      </c>
      <c r="H3872" s="3">
        <v>3.7815083333332514E-2</v>
      </c>
    </row>
    <row r="3873" spans="7:8" x14ac:dyDescent="0.3">
      <c r="G3873" s="15">
        <v>10.744444444444444</v>
      </c>
      <c r="H3873" s="3">
        <v>3.7815888888888066E-2</v>
      </c>
    </row>
    <row r="3874" spans="7:8" x14ac:dyDescent="0.3">
      <c r="G3874" s="15">
        <v>10.747222222222222</v>
      </c>
      <c r="H3874" s="3">
        <v>3.7816694444443619E-2</v>
      </c>
    </row>
    <row r="3875" spans="7:8" x14ac:dyDescent="0.3">
      <c r="G3875" s="15">
        <v>10.75</v>
      </c>
      <c r="H3875" s="3">
        <v>3.7817499999999171E-2</v>
      </c>
    </row>
    <row r="3876" spans="7:8" x14ac:dyDescent="0.3">
      <c r="G3876" s="15">
        <v>10.752777777777778</v>
      </c>
      <c r="H3876" s="3">
        <v>3.7818305555554724E-2</v>
      </c>
    </row>
    <row r="3877" spans="7:8" x14ac:dyDescent="0.3">
      <c r="G3877" s="15">
        <v>10.755555555555556</v>
      </c>
      <c r="H3877" s="3">
        <v>3.7819111111110276E-2</v>
      </c>
    </row>
    <row r="3878" spans="7:8" x14ac:dyDescent="0.3">
      <c r="G3878" s="15">
        <v>10.758333333333333</v>
      </c>
      <c r="H3878" s="3">
        <v>3.7819916666665829E-2</v>
      </c>
    </row>
    <row r="3879" spans="7:8" x14ac:dyDescent="0.3">
      <c r="G3879" s="15">
        <v>10.761111111111111</v>
      </c>
      <c r="H3879" s="3">
        <v>3.7820722222221381E-2</v>
      </c>
    </row>
    <row r="3880" spans="7:8" x14ac:dyDescent="0.3">
      <c r="G3880" s="15">
        <v>10.763888888888889</v>
      </c>
      <c r="H3880" s="3">
        <v>3.7821527777776934E-2</v>
      </c>
    </row>
    <row r="3881" spans="7:8" x14ac:dyDescent="0.3">
      <c r="G3881" s="15">
        <v>10.766666666666667</v>
      </c>
      <c r="H3881" s="3">
        <v>3.7822333333332486E-2</v>
      </c>
    </row>
    <row r="3882" spans="7:8" x14ac:dyDescent="0.3">
      <c r="G3882" s="15">
        <v>10.769444444444444</v>
      </c>
      <c r="H3882" s="3">
        <v>3.7823138888888039E-2</v>
      </c>
    </row>
    <row r="3883" spans="7:8" x14ac:dyDescent="0.3">
      <c r="G3883" s="15">
        <v>10.772222222222222</v>
      </c>
      <c r="H3883" s="3">
        <v>3.7823944444443591E-2</v>
      </c>
    </row>
    <row r="3884" spans="7:8" x14ac:dyDescent="0.3">
      <c r="G3884" s="15">
        <v>10.775</v>
      </c>
      <c r="H3884" s="3">
        <v>3.7824749999999144E-2</v>
      </c>
    </row>
    <row r="3885" spans="7:8" x14ac:dyDescent="0.3">
      <c r="G3885" s="15">
        <v>10.777777777777779</v>
      </c>
      <c r="H3885" s="3">
        <v>3.7825555555554696E-2</v>
      </c>
    </row>
    <row r="3886" spans="7:8" x14ac:dyDescent="0.3">
      <c r="G3886" s="15">
        <v>10.780555555555555</v>
      </c>
      <c r="H3886" s="3">
        <v>3.7826361111110249E-2</v>
      </c>
    </row>
    <row r="3887" spans="7:8" x14ac:dyDescent="0.3">
      <c r="G3887" s="15">
        <v>10.783333333333333</v>
      </c>
      <c r="H3887" s="3">
        <v>3.7827166666665801E-2</v>
      </c>
    </row>
    <row r="3888" spans="7:8" x14ac:dyDescent="0.3">
      <c r="G3888" s="15">
        <v>10.786111111111111</v>
      </c>
      <c r="H3888" s="3">
        <v>3.7827972222221354E-2</v>
      </c>
    </row>
    <row r="3889" spans="7:8" x14ac:dyDescent="0.3">
      <c r="G3889" s="15">
        <v>10.78888888888889</v>
      </c>
      <c r="H3889" s="3">
        <v>3.7828777777776906E-2</v>
      </c>
    </row>
    <row r="3890" spans="7:8" x14ac:dyDescent="0.3">
      <c r="G3890" s="15">
        <v>10.791666666666666</v>
      </c>
      <c r="H3890" s="3">
        <v>3.7829583333332459E-2</v>
      </c>
    </row>
    <row r="3891" spans="7:8" x14ac:dyDescent="0.3">
      <c r="G3891" s="15">
        <v>10.794444444444444</v>
      </c>
      <c r="H3891" s="3">
        <v>3.7830388888888011E-2</v>
      </c>
    </row>
    <row r="3892" spans="7:8" x14ac:dyDescent="0.3">
      <c r="G3892" s="15">
        <v>10.797222222222222</v>
      </c>
      <c r="H3892" s="3">
        <v>3.7831194444443564E-2</v>
      </c>
    </row>
    <row r="3893" spans="7:8" x14ac:dyDescent="0.3">
      <c r="G3893" s="15">
        <v>10.8</v>
      </c>
      <c r="H3893" s="3">
        <v>3.7831999999999116E-2</v>
      </c>
    </row>
    <row r="3894" spans="7:8" x14ac:dyDescent="0.3">
      <c r="G3894" s="15">
        <v>10.802777777777777</v>
      </c>
      <c r="H3894" s="3">
        <v>3.7832805555554669E-2</v>
      </c>
    </row>
    <row r="3895" spans="7:8" x14ac:dyDescent="0.3">
      <c r="G3895" s="15">
        <v>10.805555555555555</v>
      </c>
      <c r="H3895" s="3">
        <v>3.7833611111110221E-2</v>
      </c>
    </row>
    <row r="3896" spans="7:8" x14ac:dyDescent="0.3">
      <c r="G3896" s="15">
        <v>10.808333333333334</v>
      </c>
      <c r="H3896" s="3">
        <v>3.7834416666665774E-2</v>
      </c>
    </row>
    <row r="3897" spans="7:8" x14ac:dyDescent="0.3">
      <c r="G3897" s="15">
        <v>10.811111111111112</v>
      </c>
      <c r="H3897" s="3">
        <v>3.7835222222221326E-2</v>
      </c>
    </row>
    <row r="3898" spans="7:8" x14ac:dyDescent="0.3">
      <c r="G3898" s="15">
        <v>10.813888888888888</v>
      </c>
      <c r="H3898" s="3">
        <v>3.7836027777776879E-2</v>
      </c>
    </row>
    <row r="3899" spans="7:8" x14ac:dyDescent="0.3">
      <c r="G3899" s="15">
        <v>10.816666666666666</v>
      </c>
      <c r="H3899" s="3">
        <v>3.7836833333332431E-2</v>
      </c>
    </row>
    <row r="3900" spans="7:8" x14ac:dyDescent="0.3">
      <c r="G3900" s="15">
        <v>10.819444444444445</v>
      </c>
      <c r="H3900" s="3">
        <v>3.7837638888887984E-2</v>
      </c>
    </row>
    <row r="3901" spans="7:8" x14ac:dyDescent="0.3">
      <c r="G3901" s="15">
        <v>10.822222222222223</v>
      </c>
      <c r="H3901" s="3">
        <v>3.7838444444443536E-2</v>
      </c>
    </row>
    <row r="3902" spans="7:8" x14ac:dyDescent="0.3">
      <c r="G3902" s="15">
        <v>10.824999999999999</v>
      </c>
      <c r="H3902" s="3">
        <v>3.7839249999999089E-2</v>
      </c>
    </row>
    <row r="3903" spans="7:8" x14ac:dyDescent="0.3">
      <c r="G3903" s="15">
        <v>10.827777777777778</v>
      </c>
      <c r="H3903" s="3">
        <v>3.7840055555554641E-2</v>
      </c>
    </row>
    <row r="3904" spans="7:8" x14ac:dyDescent="0.3">
      <c r="G3904" s="15">
        <v>10.830555555555556</v>
      </c>
      <c r="H3904" s="3">
        <v>3.7840861111110194E-2</v>
      </c>
    </row>
    <row r="3905" spans="7:8" x14ac:dyDescent="0.3">
      <c r="G3905" s="15">
        <v>10.833333333333334</v>
      </c>
      <c r="H3905" s="3">
        <v>3.7841666666665746E-2</v>
      </c>
    </row>
    <row r="3906" spans="7:8" x14ac:dyDescent="0.3">
      <c r="G3906" s="15">
        <v>10.83611111111111</v>
      </c>
      <c r="H3906" s="3">
        <v>3.7842472222221299E-2</v>
      </c>
    </row>
    <row r="3907" spans="7:8" x14ac:dyDescent="0.3">
      <c r="G3907" s="15">
        <v>10.838888888888889</v>
      </c>
      <c r="H3907" s="3">
        <v>3.7843277777776851E-2</v>
      </c>
    </row>
    <row r="3908" spans="7:8" x14ac:dyDescent="0.3">
      <c r="G3908" s="15">
        <v>10.841666666666667</v>
      </c>
      <c r="H3908" s="3">
        <v>3.7844083333332404E-2</v>
      </c>
    </row>
    <row r="3909" spans="7:8" x14ac:dyDescent="0.3">
      <c r="G3909" s="15">
        <v>10.844444444444445</v>
      </c>
      <c r="H3909" s="3">
        <v>3.7844888888887956E-2</v>
      </c>
    </row>
    <row r="3910" spans="7:8" x14ac:dyDescent="0.3">
      <c r="G3910" s="15">
        <v>10.847222222222221</v>
      </c>
      <c r="H3910" s="3">
        <v>3.7845694444443509E-2</v>
      </c>
    </row>
    <row r="3911" spans="7:8" x14ac:dyDescent="0.3">
      <c r="G3911" s="15">
        <v>10.85</v>
      </c>
      <c r="H3911" s="3">
        <v>3.7846499999999061E-2</v>
      </c>
    </row>
    <row r="3912" spans="7:8" x14ac:dyDescent="0.3">
      <c r="G3912" s="15">
        <v>10.852777777777778</v>
      </c>
      <c r="H3912" s="3">
        <v>3.7847305555554614E-2</v>
      </c>
    </row>
    <row r="3913" spans="7:8" x14ac:dyDescent="0.3">
      <c r="G3913" s="15">
        <v>10.855555555555556</v>
      </c>
      <c r="H3913" s="3">
        <v>3.7848111111110166E-2</v>
      </c>
    </row>
    <row r="3914" spans="7:8" x14ac:dyDescent="0.3">
      <c r="G3914" s="15">
        <v>10.858333333333333</v>
      </c>
      <c r="H3914" s="3">
        <v>3.7848916666665719E-2</v>
      </c>
    </row>
    <row r="3915" spans="7:8" x14ac:dyDescent="0.3">
      <c r="G3915" s="15">
        <v>10.861111111111111</v>
      </c>
      <c r="H3915" s="3">
        <v>3.7849722222221271E-2</v>
      </c>
    </row>
    <row r="3916" spans="7:8" x14ac:dyDescent="0.3">
      <c r="G3916" s="15">
        <v>10.863888888888889</v>
      </c>
      <c r="H3916" s="3">
        <v>3.7850527777776824E-2</v>
      </c>
    </row>
    <row r="3917" spans="7:8" x14ac:dyDescent="0.3">
      <c r="G3917" s="15">
        <v>10.866666666666667</v>
      </c>
      <c r="H3917" s="3">
        <v>3.7851333333332376E-2</v>
      </c>
    </row>
    <row r="3918" spans="7:8" x14ac:dyDescent="0.3">
      <c r="G3918" s="15">
        <v>10.869444444444444</v>
      </c>
      <c r="H3918" s="3">
        <v>3.7852138888887929E-2</v>
      </c>
    </row>
    <row r="3919" spans="7:8" x14ac:dyDescent="0.3">
      <c r="G3919" s="15">
        <v>10.872222222222222</v>
      </c>
      <c r="H3919" s="3">
        <v>3.7852944444443481E-2</v>
      </c>
    </row>
    <row r="3920" spans="7:8" x14ac:dyDescent="0.3">
      <c r="G3920" s="15">
        <v>10.875</v>
      </c>
      <c r="H3920" s="3">
        <v>3.7853749999999034E-2</v>
      </c>
    </row>
    <row r="3921" spans="7:8" x14ac:dyDescent="0.3">
      <c r="G3921" s="15">
        <v>10.877777777777778</v>
      </c>
      <c r="H3921" s="3">
        <v>3.7854555555554587E-2</v>
      </c>
    </row>
    <row r="3922" spans="7:8" x14ac:dyDescent="0.3">
      <c r="G3922" s="15">
        <v>10.880555555555556</v>
      </c>
      <c r="H3922" s="3">
        <v>3.7855361111110139E-2</v>
      </c>
    </row>
    <row r="3923" spans="7:8" x14ac:dyDescent="0.3">
      <c r="G3923" s="15">
        <v>10.883333333333333</v>
      </c>
      <c r="H3923" s="3">
        <v>3.7856166666665692E-2</v>
      </c>
    </row>
    <row r="3924" spans="7:8" x14ac:dyDescent="0.3">
      <c r="G3924" s="15">
        <v>10.886111111111111</v>
      </c>
      <c r="H3924" s="3">
        <v>3.7856972222221244E-2</v>
      </c>
    </row>
    <row r="3925" spans="7:8" x14ac:dyDescent="0.3">
      <c r="G3925" s="15">
        <v>10.888888888888889</v>
      </c>
      <c r="H3925" s="3">
        <v>3.7857777777776797E-2</v>
      </c>
    </row>
    <row r="3926" spans="7:8" x14ac:dyDescent="0.3">
      <c r="G3926" s="15">
        <v>10.891666666666667</v>
      </c>
      <c r="H3926" s="3">
        <v>3.7858583333332349E-2</v>
      </c>
    </row>
    <row r="3927" spans="7:8" x14ac:dyDescent="0.3">
      <c r="G3927" s="15">
        <v>10.894444444444444</v>
      </c>
      <c r="H3927" s="3">
        <v>3.7859388888887902E-2</v>
      </c>
    </row>
    <row r="3928" spans="7:8" x14ac:dyDescent="0.3">
      <c r="G3928" s="15">
        <v>10.897222222222222</v>
      </c>
      <c r="H3928" s="3">
        <v>3.7860194444443454E-2</v>
      </c>
    </row>
    <row r="3929" spans="7:8" x14ac:dyDescent="0.3">
      <c r="G3929" s="15">
        <v>10.9</v>
      </c>
      <c r="H3929" s="3">
        <v>3.7860999999999007E-2</v>
      </c>
    </row>
    <row r="3930" spans="7:8" x14ac:dyDescent="0.3">
      <c r="G3930" s="15">
        <v>10.902777777777779</v>
      </c>
      <c r="H3930" s="3">
        <v>3.7861805555554559E-2</v>
      </c>
    </row>
    <row r="3931" spans="7:8" x14ac:dyDescent="0.3">
      <c r="G3931" s="15">
        <v>10.905555555555555</v>
      </c>
      <c r="H3931" s="3">
        <v>3.7862611111110112E-2</v>
      </c>
    </row>
    <row r="3932" spans="7:8" x14ac:dyDescent="0.3">
      <c r="G3932" s="15">
        <v>10.908333333333333</v>
      </c>
      <c r="H3932" s="3">
        <v>3.7863416666665664E-2</v>
      </c>
    </row>
    <row r="3933" spans="7:8" x14ac:dyDescent="0.3">
      <c r="G3933" s="15">
        <v>10.911111111111111</v>
      </c>
      <c r="H3933" s="3">
        <v>3.7864222222221217E-2</v>
      </c>
    </row>
    <row r="3934" spans="7:8" x14ac:dyDescent="0.3">
      <c r="G3934" s="15">
        <v>10.91388888888889</v>
      </c>
      <c r="H3934" s="3">
        <v>3.7865027777776769E-2</v>
      </c>
    </row>
    <row r="3935" spans="7:8" x14ac:dyDescent="0.3">
      <c r="G3935" s="15">
        <v>10.916666666666666</v>
      </c>
      <c r="H3935" s="3">
        <v>3.7865833333332322E-2</v>
      </c>
    </row>
    <row r="3936" spans="7:8" x14ac:dyDescent="0.3">
      <c r="G3936" s="15">
        <v>10.919444444444444</v>
      </c>
      <c r="H3936" s="3">
        <v>3.7866638888887874E-2</v>
      </c>
    </row>
    <row r="3937" spans="7:8" x14ac:dyDescent="0.3">
      <c r="G3937" s="15">
        <v>10.922222222222222</v>
      </c>
      <c r="H3937" s="3">
        <v>3.7867444444443427E-2</v>
      </c>
    </row>
    <row r="3938" spans="7:8" x14ac:dyDescent="0.3">
      <c r="G3938" s="15">
        <v>10.925000000000001</v>
      </c>
      <c r="H3938" s="3">
        <v>3.7868249999998979E-2</v>
      </c>
    </row>
    <row r="3939" spans="7:8" x14ac:dyDescent="0.3">
      <c r="G3939" s="15">
        <v>10.927777777777777</v>
      </c>
      <c r="H3939" s="3">
        <v>3.7869055555554532E-2</v>
      </c>
    </row>
    <row r="3940" spans="7:8" x14ac:dyDescent="0.3">
      <c r="G3940" s="15">
        <v>10.930555555555555</v>
      </c>
      <c r="H3940" s="3">
        <v>3.7869861111110084E-2</v>
      </c>
    </row>
    <row r="3941" spans="7:8" x14ac:dyDescent="0.3">
      <c r="G3941" s="15">
        <v>10.933333333333334</v>
      </c>
      <c r="H3941" s="3">
        <v>3.7870666666665637E-2</v>
      </c>
    </row>
    <row r="3942" spans="7:8" x14ac:dyDescent="0.3">
      <c r="G3942" s="15">
        <v>10.936111111111112</v>
      </c>
      <c r="H3942" s="3">
        <v>3.7871472222221189E-2</v>
      </c>
    </row>
    <row r="3943" spans="7:8" x14ac:dyDescent="0.3">
      <c r="G3943" s="15">
        <v>10.938888888888888</v>
      </c>
      <c r="H3943" s="3">
        <v>3.7872277777776742E-2</v>
      </c>
    </row>
    <row r="3944" spans="7:8" x14ac:dyDescent="0.3">
      <c r="G3944" s="15">
        <v>10.941666666666666</v>
      </c>
      <c r="H3944" s="3">
        <v>3.7873083333332294E-2</v>
      </c>
    </row>
    <row r="3945" spans="7:8" x14ac:dyDescent="0.3">
      <c r="G3945" s="15">
        <v>10.944444444444445</v>
      </c>
      <c r="H3945" s="3">
        <v>3.7873888888887847E-2</v>
      </c>
    </row>
    <row r="3946" spans="7:8" x14ac:dyDescent="0.3">
      <c r="G3946" s="15">
        <v>10.947222222222223</v>
      </c>
      <c r="H3946" s="3">
        <v>3.7874694444443399E-2</v>
      </c>
    </row>
    <row r="3947" spans="7:8" x14ac:dyDescent="0.3">
      <c r="G3947" s="15">
        <v>10.95</v>
      </c>
      <c r="H3947" s="3">
        <v>3.7875499999998952E-2</v>
      </c>
    </row>
    <row r="3948" spans="7:8" x14ac:dyDescent="0.3">
      <c r="G3948" s="15">
        <v>10.952777777777778</v>
      </c>
      <c r="H3948" s="3">
        <v>3.7876305555554504E-2</v>
      </c>
    </row>
    <row r="3949" spans="7:8" x14ac:dyDescent="0.3">
      <c r="G3949" s="15">
        <v>10.955555555555556</v>
      </c>
      <c r="H3949" s="3">
        <v>3.7877111111110057E-2</v>
      </c>
    </row>
    <row r="3950" spans="7:8" x14ac:dyDescent="0.3">
      <c r="G3950" s="15">
        <v>10.958333333333334</v>
      </c>
      <c r="H3950" s="3">
        <v>3.7877916666665609E-2</v>
      </c>
    </row>
    <row r="3951" spans="7:8" x14ac:dyDescent="0.3">
      <c r="G3951" s="15">
        <v>10.96111111111111</v>
      </c>
      <c r="H3951" s="3">
        <v>3.7878722222221162E-2</v>
      </c>
    </row>
    <row r="3952" spans="7:8" x14ac:dyDescent="0.3">
      <c r="G3952" s="15">
        <v>10.963888888888889</v>
      </c>
      <c r="H3952" s="3">
        <v>3.7879527777776714E-2</v>
      </c>
    </row>
    <row r="3953" spans="7:8" x14ac:dyDescent="0.3">
      <c r="G3953" s="15">
        <v>10.966666666666667</v>
      </c>
      <c r="H3953" s="3">
        <v>3.7880333333332267E-2</v>
      </c>
    </row>
    <row r="3954" spans="7:8" x14ac:dyDescent="0.3">
      <c r="G3954" s="15">
        <v>10.969444444444445</v>
      </c>
      <c r="H3954" s="3">
        <v>3.7881138888887819E-2</v>
      </c>
    </row>
    <row r="3955" spans="7:8" x14ac:dyDescent="0.3">
      <c r="G3955" s="15">
        <v>10.972222222222221</v>
      </c>
      <c r="H3955" s="3">
        <v>3.7881944444443372E-2</v>
      </c>
    </row>
    <row r="3956" spans="7:8" x14ac:dyDescent="0.3">
      <c r="G3956" s="15">
        <v>10.975</v>
      </c>
      <c r="H3956" s="3">
        <v>3.7882749999998924E-2</v>
      </c>
    </row>
    <row r="3957" spans="7:8" x14ac:dyDescent="0.3">
      <c r="G3957" s="15">
        <v>10.977777777777778</v>
      </c>
      <c r="H3957" s="3">
        <v>3.7883555555554477E-2</v>
      </c>
    </row>
    <row r="3958" spans="7:8" x14ac:dyDescent="0.3">
      <c r="G3958" s="15">
        <v>10.980555555555556</v>
      </c>
      <c r="H3958" s="3">
        <v>3.7884361111110029E-2</v>
      </c>
    </row>
    <row r="3959" spans="7:8" x14ac:dyDescent="0.3">
      <c r="G3959" s="15">
        <v>10.983333333333333</v>
      </c>
      <c r="H3959" s="3">
        <v>3.7885166666665582E-2</v>
      </c>
    </row>
    <row r="3960" spans="7:8" x14ac:dyDescent="0.3">
      <c r="G3960" s="15">
        <v>10.986111111111111</v>
      </c>
      <c r="H3960" s="3">
        <v>3.7885972222221134E-2</v>
      </c>
    </row>
    <row r="3961" spans="7:8" x14ac:dyDescent="0.3">
      <c r="G3961" s="15">
        <v>10.988888888888889</v>
      </c>
      <c r="H3961" s="3">
        <v>3.7886777777776687E-2</v>
      </c>
    </row>
    <row r="3962" spans="7:8" x14ac:dyDescent="0.3">
      <c r="G3962" s="15">
        <v>10.991666666666667</v>
      </c>
      <c r="H3962" s="3">
        <v>3.7887583333332239E-2</v>
      </c>
    </row>
    <row r="3963" spans="7:8" x14ac:dyDescent="0.3">
      <c r="G3963" s="15">
        <v>10.994444444444444</v>
      </c>
      <c r="H3963" s="3">
        <v>3.7888388888887792E-2</v>
      </c>
    </row>
    <row r="3964" spans="7:8" x14ac:dyDescent="0.3">
      <c r="G3964" s="15">
        <v>10.997222222222222</v>
      </c>
      <c r="H3964" s="3">
        <v>3.7889194444443344E-2</v>
      </c>
    </row>
    <row r="3965" spans="7:8" x14ac:dyDescent="0.3">
      <c r="G3965" s="15">
        <v>11</v>
      </c>
      <c r="H3965" s="3">
        <v>3.7889999999998897E-2</v>
      </c>
    </row>
    <row r="3966" spans="7:8" x14ac:dyDescent="0.3">
      <c r="G3966" s="15">
        <v>11.002777777777778</v>
      </c>
      <c r="H3966" s="3">
        <v>3.7890805555554449E-2</v>
      </c>
    </row>
    <row r="3967" spans="7:8" x14ac:dyDescent="0.3">
      <c r="G3967" s="15">
        <v>11.005555555555556</v>
      </c>
      <c r="H3967" s="3">
        <v>3.7891611111110002E-2</v>
      </c>
    </row>
    <row r="3968" spans="7:8" x14ac:dyDescent="0.3">
      <c r="G3968" s="15">
        <v>11.008333333333333</v>
      </c>
      <c r="H3968" s="3">
        <v>3.7892416666665554E-2</v>
      </c>
    </row>
    <row r="3969" spans="7:8" x14ac:dyDescent="0.3">
      <c r="G3969" s="15">
        <v>11.011111111111111</v>
      </c>
      <c r="H3969" s="3">
        <v>3.7893222222221107E-2</v>
      </c>
    </row>
    <row r="3970" spans="7:8" x14ac:dyDescent="0.3">
      <c r="G3970" s="15">
        <v>11.013888888888889</v>
      </c>
      <c r="H3970" s="3">
        <v>3.7894027777776659E-2</v>
      </c>
    </row>
    <row r="3971" spans="7:8" x14ac:dyDescent="0.3">
      <c r="G3971" s="15">
        <v>11.016666666666667</v>
      </c>
      <c r="H3971" s="3">
        <v>3.7894833333332212E-2</v>
      </c>
    </row>
    <row r="3972" spans="7:8" x14ac:dyDescent="0.3">
      <c r="G3972" s="15">
        <v>11.019444444444444</v>
      </c>
      <c r="H3972" s="3">
        <v>3.7895638888887764E-2</v>
      </c>
    </row>
    <row r="3973" spans="7:8" x14ac:dyDescent="0.3">
      <c r="G3973" s="15">
        <v>11.022222222222222</v>
      </c>
      <c r="H3973" s="3">
        <v>3.7896444444443317E-2</v>
      </c>
    </row>
    <row r="3974" spans="7:8" x14ac:dyDescent="0.3">
      <c r="G3974" s="15">
        <v>11.025</v>
      </c>
      <c r="H3974" s="3">
        <v>3.7897249999998869E-2</v>
      </c>
    </row>
    <row r="3975" spans="7:8" x14ac:dyDescent="0.3">
      <c r="G3975" s="15">
        <v>11.027777777777779</v>
      </c>
      <c r="H3975" s="3">
        <v>3.7898055555554422E-2</v>
      </c>
    </row>
    <row r="3976" spans="7:8" x14ac:dyDescent="0.3">
      <c r="G3976" s="15">
        <v>11.030555555555555</v>
      </c>
      <c r="H3976" s="3">
        <v>3.7898861111109974E-2</v>
      </c>
    </row>
    <row r="3977" spans="7:8" x14ac:dyDescent="0.3">
      <c r="G3977" s="15">
        <v>11.033333333333333</v>
      </c>
      <c r="H3977" s="3">
        <v>3.7899666666665527E-2</v>
      </c>
    </row>
    <row r="3978" spans="7:8" x14ac:dyDescent="0.3">
      <c r="G3978" s="15">
        <v>11.036111111111111</v>
      </c>
      <c r="H3978" s="3">
        <v>3.7900472222221079E-2</v>
      </c>
    </row>
    <row r="3979" spans="7:8" x14ac:dyDescent="0.3">
      <c r="G3979" s="15">
        <v>11.03888888888889</v>
      </c>
      <c r="H3979" s="3">
        <v>3.7901277777776632E-2</v>
      </c>
    </row>
    <row r="3980" spans="7:8" x14ac:dyDescent="0.3">
      <c r="G3980" s="15">
        <v>11.041666666666666</v>
      </c>
      <c r="H3980" s="3">
        <v>3.7902083333332184E-2</v>
      </c>
    </row>
    <row r="3981" spans="7:8" x14ac:dyDescent="0.3">
      <c r="G3981" s="15">
        <v>11.044444444444444</v>
      </c>
      <c r="H3981" s="3">
        <v>3.7902888888887737E-2</v>
      </c>
    </row>
    <row r="3982" spans="7:8" x14ac:dyDescent="0.3">
      <c r="G3982" s="15">
        <v>11.047222222222222</v>
      </c>
      <c r="H3982" s="3">
        <v>3.7903694444443289E-2</v>
      </c>
    </row>
    <row r="3983" spans="7:8" x14ac:dyDescent="0.3">
      <c r="G3983" s="15">
        <v>11.05</v>
      </c>
      <c r="H3983" s="3">
        <v>3.7904499999998842E-2</v>
      </c>
    </row>
    <row r="3984" spans="7:8" x14ac:dyDescent="0.3">
      <c r="G3984" s="15">
        <v>11.052777777777777</v>
      </c>
      <c r="H3984" s="3">
        <v>3.7905305555554394E-2</v>
      </c>
    </row>
    <row r="3985" spans="7:8" x14ac:dyDescent="0.3">
      <c r="G3985" s="15">
        <v>11.055555555555555</v>
      </c>
      <c r="H3985" s="3">
        <v>3.7906111111109947E-2</v>
      </c>
    </row>
    <row r="3986" spans="7:8" x14ac:dyDescent="0.3">
      <c r="G3986" s="15">
        <v>11.058333333333334</v>
      </c>
      <c r="H3986" s="3">
        <v>3.7906916666665499E-2</v>
      </c>
    </row>
    <row r="3987" spans="7:8" x14ac:dyDescent="0.3">
      <c r="G3987" s="15">
        <v>11.061111111111112</v>
      </c>
      <c r="H3987" s="3">
        <v>3.7907722222221052E-2</v>
      </c>
    </row>
    <row r="3988" spans="7:8" x14ac:dyDescent="0.3">
      <c r="G3988" s="15">
        <v>11.063888888888888</v>
      </c>
      <c r="H3988" s="3">
        <v>3.7908527777776604E-2</v>
      </c>
    </row>
    <row r="3989" spans="7:8" x14ac:dyDescent="0.3">
      <c r="G3989" s="15">
        <v>11.066666666666666</v>
      </c>
      <c r="H3989" s="3">
        <v>3.7909333333332157E-2</v>
      </c>
    </row>
    <row r="3990" spans="7:8" x14ac:dyDescent="0.3">
      <c r="G3990" s="15">
        <v>11.069444444444445</v>
      </c>
      <c r="H3990" s="3">
        <v>3.7910138888887709E-2</v>
      </c>
    </row>
    <row r="3991" spans="7:8" x14ac:dyDescent="0.3">
      <c r="G3991" s="15">
        <v>11.072222222222223</v>
      </c>
      <c r="H3991" s="3">
        <v>3.7910944444443262E-2</v>
      </c>
    </row>
    <row r="3992" spans="7:8" x14ac:dyDescent="0.3">
      <c r="G3992" s="15">
        <v>11.074999999999999</v>
      </c>
      <c r="H3992" s="3">
        <v>3.7911749999998814E-2</v>
      </c>
    </row>
    <row r="3993" spans="7:8" x14ac:dyDescent="0.3">
      <c r="G3993" s="15">
        <v>11.077777777777778</v>
      </c>
      <c r="H3993" s="3">
        <v>3.7912555555554367E-2</v>
      </c>
    </row>
    <row r="3994" spans="7:8" x14ac:dyDescent="0.3">
      <c r="G3994" s="15">
        <v>11.080555555555556</v>
      </c>
      <c r="H3994" s="3">
        <v>3.7913361111109919E-2</v>
      </c>
    </row>
    <row r="3995" spans="7:8" x14ac:dyDescent="0.3">
      <c r="G3995" s="15">
        <v>11.083333333333334</v>
      </c>
      <c r="H3995" s="3">
        <v>3.7914166666665472E-2</v>
      </c>
    </row>
    <row r="3996" spans="7:8" x14ac:dyDescent="0.3">
      <c r="G3996" s="15">
        <v>11.08611111111111</v>
      </c>
      <c r="H3996" s="3">
        <v>3.7914972222221024E-2</v>
      </c>
    </row>
    <row r="3997" spans="7:8" x14ac:dyDescent="0.3">
      <c r="G3997" s="15">
        <v>11.088888888888889</v>
      </c>
      <c r="H3997" s="3">
        <v>3.7915777777776577E-2</v>
      </c>
    </row>
    <row r="3998" spans="7:8" x14ac:dyDescent="0.3">
      <c r="G3998" s="15">
        <v>11.091666666666667</v>
      </c>
      <c r="H3998" s="3">
        <v>3.7916583333332129E-2</v>
      </c>
    </row>
    <row r="3999" spans="7:8" x14ac:dyDescent="0.3">
      <c r="G3999" s="15">
        <v>11.094444444444445</v>
      </c>
      <c r="H3999" s="3">
        <v>3.7917388888887682E-2</v>
      </c>
    </row>
    <row r="4000" spans="7:8" x14ac:dyDescent="0.3">
      <c r="G4000" s="15">
        <v>11.097222222222221</v>
      </c>
      <c r="H4000" s="3">
        <v>3.7918194444443235E-2</v>
      </c>
    </row>
    <row r="4001" spans="7:8" x14ac:dyDescent="0.3">
      <c r="G4001" s="15">
        <v>11.1</v>
      </c>
      <c r="H4001" s="3">
        <v>3.7918999999998787E-2</v>
      </c>
    </row>
    <row r="4002" spans="7:8" x14ac:dyDescent="0.3">
      <c r="G4002" s="15">
        <v>11.102777777777778</v>
      </c>
      <c r="H4002" s="3">
        <v>3.791980555555434E-2</v>
      </c>
    </row>
    <row r="4003" spans="7:8" x14ac:dyDescent="0.3">
      <c r="G4003" s="15">
        <v>11.105555555555556</v>
      </c>
      <c r="H4003" s="3">
        <v>3.7920611111109892E-2</v>
      </c>
    </row>
    <row r="4004" spans="7:8" x14ac:dyDescent="0.3">
      <c r="G4004" s="15">
        <v>11.108333333333333</v>
      </c>
      <c r="H4004" s="3">
        <v>3.7921416666665445E-2</v>
      </c>
    </row>
    <row r="4005" spans="7:8" x14ac:dyDescent="0.3">
      <c r="G4005" s="15">
        <v>11.111111111111111</v>
      </c>
      <c r="H4005" s="3">
        <v>3.7922222222220997E-2</v>
      </c>
    </row>
    <row r="4006" spans="7:8" x14ac:dyDescent="0.3">
      <c r="G4006" s="15">
        <v>11.113888888888889</v>
      </c>
      <c r="H4006" s="3">
        <v>3.792302777777655E-2</v>
      </c>
    </row>
    <row r="4007" spans="7:8" x14ac:dyDescent="0.3">
      <c r="G4007" s="15">
        <v>11.116666666666667</v>
      </c>
      <c r="H4007" s="3">
        <v>3.7923833333332102E-2</v>
      </c>
    </row>
    <row r="4008" spans="7:8" x14ac:dyDescent="0.3">
      <c r="G4008" s="15">
        <v>11.119444444444444</v>
      </c>
      <c r="H4008" s="3">
        <v>3.7924638888887655E-2</v>
      </c>
    </row>
    <row r="4009" spans="7:8" x14ac:dyDescent="0.3">
      <c r="G4009" s="15">
        <v>11.122222222222222</v>
      </c>
      <c r="H4009" s="3">
        <v>3.7925444444443207E-2</v>
      </c>
    </row>
    <row r="4010" spans="7:8" x14ac:dyDescent="0.3">
      <c r="G4010" s="15">
        <v>11.125</v>
      </c>
      <c r="H4010" s="3">
        <v>3.792624999999876E-2</v>
      </c>
    </row>
    <row r="4011" spans="7:8" x14ac:dyDescent="0.3">
      <c r="G4011" s="15">
        <v>11.127777777777778</v>
      </c>
      <c r="H4011" s="3">
        <v>3.7927055555554312E-2</v>
      </c>
    </row>
    <row r="4012" spans="7:8" x14ac:dyDescent="0.3">
      <c r="G4012" s="15">
        <v>11.130555555555556</v>
      </c>
      <c r="H4012" s="3">
        <v>3.7927861111109865E-2</v>
      </c>
    </row>
    <row r="4013" spans="7:8" x14ac:dyDescent="0.3">
      <c r="G4013" s="15">
        <v>11.133333333333333</v>
      </c>
      <c r="H4013" s="3">
        <v>3.7928666666665417E-2</v>
      </c>
    </row>
    <row r="4014" spans="7:8" x14ac:dyDescent="0.3">
      <c r="G4014" s="15">
        <v>11.136111111111111</v>
      </c>
      <c r="H4014" s="3">
        <v>3.792947222222097E-2</v>
      </c>
    </row>
    <row r="4015" spans="7:8" x14ac:dyDescent="0.3">
      <c r="G4015" s="15">
        <v>11.138888888888889</v>
      </c>
      <c r="H4015" s="3">
        <v>3.7930277777776522E-2</v>
      </c>
    </row>
    <row r="4016" spans="7:8" x14ac:dyDescent="0.3">
      <c r="G4016" s="15">
        <v>11.141666666666667</v>
      </c>
      <c r="H4016" s="3">
        <v>3.7931083333332075E-2</v>
      </c>
    </row>
    <row r="4017" spans="7:8" x14ac:dyDescent="0.3">
      <c r="G4017" s="15">
        <v>11.144444444444444</v>
      </c>
      <c r="H4017" s="3">
        <v>3.7931888888887627E-2</v>
      </c>
    </row>
    <row r="4018" spans="7:8" x14ac:dyDescent="0.3">
      <c r="G4018" s="15">
        <v>11.147222222222222</v>
      </c>
      <c r="H4018" s="3">
        <v>3.793269444444318E-2</v>
      </c>
    </row>
    <row r="4019" spans="7:8" x14ac:dyDescent="0.3">
      <c r="G4019" s="15">
        <v>11.15</v>
      </c>
      <c r="H4019" s="3">
        <v>3.7933499999998732E-2</v>
      </c>
    </row>
    <row r="4020" spans="7:8" x14ac:dyDescent="0.3">
      <c r="G4020" s="15">
        <v>11.152777777777779</v>
      </c>
      <c r="H4020" s="3">
        <v>3.7934305555554285E-2</v>
      </c>
    </row>
    <row r="4021" spans="7:8" x14ac:dyDescent="0.3">
      <c r="G4021" s="15">
        <v>11.155555555555555</v>
      </c>
      <c r="H4021" s="3">
        <v>3.7935111111109837E-2</v>
      </c>
    </row>
    <row r="4022" spans="7:8" x14ac:dyDescent="0.3">
      <c r="G4022" s="15">
        <v>11.158333333333333</v>
      </c>
      <c r="H4022" s="3">
        <v>3.793591666666539E-2</v>
      </c>
    </row>
    <row r="4023" spans="7:8" x14ac:dyDescent="0.3">
      <c r="G4023" s="15">
        <v>11.161111111111111</v>
      </c>
      <c r="H4023" s="3">
        <v>3.7936722222220942E-2</v>
      </c>
    </row>
    <row r="4024" spans="7:8" x14ac:dyDescent="0.3">
      <c r="G4024" s="15">
        <v>11.16388888888889</v>
      </c>
      <c r="H4024" s="3">
        <v>3.7937527777776495E-2</v>
      </c>
    </row>
    <row r="4025" spans="7:8" x14ac:dyDescent="0.3">
      <c r="G4025" s="15">
        <v>11.166666666666666</v>
      </c>
      <c r="H4025" s="3">
        <v>3.7938333333332047E-2</v>
      </c>
    </row>
    <row r="4026" spans="7:8" x14ac:dyDescent="0.3">
      <c r="G4026" s="15">
        <v>11.169444444444444</v>
      </c>
      <c r="H4026" s="3">
        <v>3.79391388888876E-2</v>
      </c>
    </row>
    <row r="4027" spans="7:8" x14ac:dyDescent="0.3">
      <c r="G4027" s="15">
        <v>11.172222222222222</v>
      </c>
      <c r="H4027" s="3">
        <v>3.7939944444443152E-2</v>
      </c>
    </row>
    <row r="4028" spans="7:8" x14ac:dyDescent="0.3">
      <c r="G4028" s="15">
        <v>11.175000000000001</v>
      </c>
      <c r="H4028" s="3">
        <v>3.7940749999998705E-2</v>
      </c>
    </row>
    <row r="4029" spans="7:8" x14ac:dyDescent="0.3">
      <c r="G4029" s="15">
        <v>11.177777777777777</v>
      </c>
      <c r="H4029" s="3">
        <v>3.7941555555554257E-2</v>
      </c>
    </row>
    <row r="4030" spans="7:8" x14ac:dyDescent="0.3">
      <c r="G4030" s="15">
        <v>11.180555555555555</v>
      </c>
      <c r="H4030" s="3">
        <v>3.794236111110981E-2</v>
      </c>
    </row>
    <row r="4031" spans="7:8" x14ac:dyDescent="0.3">
      <c r="G4031" s="15">
        <v>11.183333333333334</v>
      </c>
      <c r="H4031" s="3">
        <v>3.7943166666665362E-2</v>
      </c>
    </row>
    <row r="4032" spans="7:8" x14ac:dyDescent="0.3">
      <c r="G4032" s="15">
        <v>11.186111111111112</v>
      </c>
      <c r="H4032" s="3">
        <v>3.7943972222220915E-2</v>
      </c>
    </row>
    <row r="4033" spans="7:8" x14ac:dyDescent="0.3">
      <c r="G4033" s="15">
        <v>11.188888888888888</v>
      </c>
      <c r="H4033" s="3">
        <v>3.7944777777776467E-2</v>
      </c>
    </row>
    <row r="4034" spans="7:8" x14ac:dyDescent="0.3">
      <c r="G4034" s="15">
        <v>11.191666666666666</v>
      </c>
      <c r="H4034" s="3">
        <v>3.794558333333202E-2</v>
      </c>
    </row>
    <row r="4035" spans="7:8" x14ac:dyDescent="0.3">
      <c r="G4035" s="15">
        <v>11.194444444444445</v>
      </c>
      <c r="H4035" s="3">
        <v>3.7946388888887572E-2</v>
      </c>
    </row>
    <row r="4036" spans="7:8" x14ac:dyDescent="0.3">
      <c r="G4036" s="15">
        <v>11.197222222222223</v>
      </c>
      <c r="H4036" s="3">
        <v>3.7947194444443125E-2</v>
      </c>
    </row>
    <row r="4037" spans="7:8" x14ac:dyDescent="0.3">
      <c r="G4037" s="15">
        <v>11.2</v>
      </c>
      <c r="H4037" s="3">
        <v>3.7947999999998677E-2</v>
      </c>
    </row>
    <row r="4038" spans="7:8" x14ac:dyDescent="0.3">
      <c r="G4038" s="15">
        <v>11.202777777777778</v>
      </c>
      <c r="H4038" s="3">
        <v>3.794880555555423E-2</v>
      </c>
    </row>
    <row r="4039" spans="7:8" x14ac:dyDescent="0.3">
      <c r="G4039" s="15">
        <v>11.205555555555556</v>
      </c>
      <c r="H4039" s="3">
        <v>3.7949611111109782E-2</v>
      </c>
    </row>
    <row r="4040" spans="7:8" x14ac:dyDescent="0.3">
      <c r="G4040" s="15">
        <v>11.208333333333334</v>
      </c>
      <c r="H4040" s="3">
        <v>3.7950416666665335E-2</v>
      </c>
    </row>
    <row r="4041" spans="7:8" x14ac:dyDescent="0.3">
      <c r="G4041" s="15">
        <v>11.21111111111111</v>
      </c>
      <c r="H4041" s="3">
        <v>3.7951222222220894E-2</v>
      </c>
    </row>
    <row r="4042" spans="7:8" x14ac:dyDescent="0.3">
      <c r="G4042" s="15">
        <v>11.213888888888889</v>
      </c>
      <c r="H4042" s="3">
        <v>3.7952027777776454E-2</v>
      </c>
    </row>
    <row r="4043" spans="7:8" x14ac:dyDescent="0.3">
      <c r="G4043" s="15">
        <v>11.216666666666667</v>
      </c>
      <c r="H4043" s="3">
        <v>3.7952833333332006E-2</v>
      </c>
    </row>
    <row r="4044" spans="7:8" x14ac:dyDescent="0.3">
      <c r="G4044" s="15">
        <v>11.219444444444445</v>
      </c>
      <c r="H4044" s="3">
        <v>3.7953638888887559E-2</v>
      </c>
    </row>
    <row r="4045" spans="7:8" x14ac:dyDescent="0.3">
      <c r="G4045" s="15">
        <v>11.222222222222221</v>
      </c>
      <c r="H4045" s="3">
        <v>3.7954444444443118E-2</v>
      </c>
    </row>
    <row r="4046" spans="7:8" x14ac:dyDescent="0.3">
      <c r="G4046" s="15">
        <v>11.225</v>
      </c>
      <c r="H4046" s="3">
        <v>3.7955249999998678E-2</v>
      </c>
    </row>
    <row r="4047" spans="7:8" x14ac:dyDescent="0.3">
      <c r="G4047" s="15">
        <v>11.227777777777778</v>
      </c>
      <c r="H4047" s="3">
        <v>3.795605555555423E-2</v>
      </c>
    </row>
    <row r="4048" spans="7:8" x14ac:dyDescent="0.3">
      <c r="G4048" s="15">
        <v>11.230555555555556</v>
      </c>
      <c r="H4048" s="3">
        <v>3.7956861111109783E-2</v>
      </c>
    </row>
    <row r="4049" spans="7:8" x14ac:dyDescent="0.3">
      <c r="G4049" s="15">
        <v>11.233333333333333</v>
      </c>
      <c r="H4049" s="3">
        <v>3.7957666666665342E-2</v>
      </c>
    </row>
    <row r="4050" spans="7:8" x14ac:dyDescent="0.3">
      <c r="G4050" s="15">
        <v>11.236111111111111</v>
      </c>
      <c r="H4050" s="3">
        <v>3.7958472222220901E-2</v>
      </c>
    </row>
    <row r="4051" spans="7:8" x14ac:dyDescent="0.3">
      <c r="G4051" s="15">
        <v>11.238888888888889</v>
      </c>
      <c r="H4051" s="3">
        <v>3.7959277777776454E-2</v>
      </c>
    </row>
    <row r="4052" spans="7:8" x14ac:dyDescent="0.3">
      <c r="G4052" s="15">
        <v>11.241666666666667</v>
      </c>
      <c r="H4052" s="3">
        <v>3.7960083333332006E-2</v>
      </c>
    </row>
    <row r="4053" spans="7:8" x14ac:dyDescent="0.3">
      <c r="G4053" s="15">
        <v>11.244444444444444</v>
      </c>
      <c r="H4053" s="3">
        <v>3.7960888888887566E-2</v>
      </c>
    </row>
    <row r="4054" spans="7:8" x14ac:dyDescent="0.3">
      <c r="G4054" s="15">
        <v>11.247222222222222</v>
      </c>
      <c r="H4054" s="3">
        <v>3.7961694444443125E-2</v>
      </c>
    </row>
    <row r="4055" spans="7:8" x14ac:dyDescent="0.3">
      <c r="G4055" s="15">
        <v>11.25</v>
      </c>
      <c r="H4055" s="3">
        <v>3.7962499999998678E-2</v>
      </c>
    </row>
    <row r="4056" spans="7:8" x14ac:dyDescent="0.3">
      <c r="G4056" s="15">
        <v>11.252777777777778</v>
      </c>
      <c r="H4056" s="3">
        <v>3.796330555555423E-2</v>
      </c>
    </row>
    <row r="4057" spans="7:8" x14ac:dyDescent="0.3">
      <c r="G4057" s="15">
        <v>11.255555555555556</v>
      </c>
      <c r="H4057" s="3">
        <v>3.796411111110979E-2</v>
      </c>
    </row>
    <row r="4058" spans="7:8" x14ac:dyDescent="0.3">
      <c r="G4058" s="15">
        <v>11.258333333333333</v>
      </c>
      <c r="H4058" s="3">
        <v>3.7964916666665349E-2</v>
      </c>
    </row>
    <row r="4059" spans="7:8" x14ac:dyDescent="0.3">
      <c r="G4059" s="15">
        <v>11.261111111111111</v>
      </c>
      <c r="H4059" s="3">
        <v>3.7965722222220902E-2</v>
      </c>
    </row>
    <row r="4060" spans="7:8" x14ac:dyDescent="0.3">
      <c r="G4060" s="15">
        <v>11.263888888888889</v>
      </c>
      <c r="H4060" s="3">
        <v>3.7966527777776454E-2</v>
      </c>
    </row>
    <row r="4061" spans="7:8" x14ac:dyDescent="0.3">
      <c r="G4061" s="15">
        <v>11.266666666666667</v>
      </c>
      <c r="H4061" s="3">
        <v>3.7967333333332014E-2</v>
      </c>
    </row>
    <row r="4062" spans="7:8" x14ac:dyDescent="0.3">
      <c r="G4062" s="15">
        <v>11.269444444444444</v>
      </c>
      <c r="H4062" s="3">
        <v>3.7968138888887573E-2</v>
      </c>
    </row>
    <row r="4063" spans="7:8" x14ac:dyDescent="0.3">
      <c r="G4063" s="15">
        <v>11.272222222222222</v>
      </c>
      <c r="H4063" s="3">
        <v>3.7968944444443126E-2</v>
      </c>
    </row>
    <row r="4064" spans="7:8" x14ac:dyDescent="0.3">
      <c r="G4064" s="15">
        <v>11.275</v>
      </c>
      <c r="H4064" s="3">
        <v>3.7969749999998678E-2</v>
      </c>
    </row>
    <row r="4065" spans="7:8" x14ac:dyDescent="0.3">
      <c r="G4065" s="15">
        <v>11.277777777777779</v>
      </c>
      <c r="H4065" s="3">
        <v>3.7970555555554238E-2</v>
      </c>
    </row>
    <row r="4066" spans="7:8" x14ac:dyDescent="0.3">
      <c r="G4066" s="15">
        <v>11.280555555555555</v>
      </c>
      <c r="H4066" s="3">
        <v>3.7971361111109797E-2</v>
      </c>
    </row>
    <row r="4067" spans="7:8" x14ac:dyDescent="0.3">
      <c r="G4067" s="15">
        <v>11.283333333333333</v>
      </c>
      <c r="H4067" s="3">
        <v>3.797216666666535E-2</v>
      </c>
    </row>
    <row r="4068" spans="7:8" x14ac:dyDescent="0.3">
      <c r="G4068" s="15">
        <v>11.286111111111111</v>
      </c>
      <c r="H4068" s="3">
        <v>3.7972972222220902E-2</v>
      </c>
    </row>
    <row r="4069" spans="7:8" x14ac:dyDescent="0.3">
      <c r="G4069" s="15">
        <v>11.28888888888889</v>
      </c>
      <c r="H4069" s="3">
        <v>3.7973777777776462E-2</v>
      </c>
    </row>
    <row r="4070" spans="7:8" x14ac:dyDescent="0.3">
      <c r="G4070" s="15">
        <v>11.291666666666666</v>
      </c>
      <c r="H4070" s="3">
        <v>3.7974583333332021E-2</v>
      </c>
    </row>
    <row r="4071" spans="7:8" x14ac:dyDescent="0.3">
      <c r="G4071" s="15">
        <v>11.294444444444444</v>
      </c>
      <c r="H4071" s="3">
        <v>3.7975388888887573E-2</v>
      </c>
    </row>
    <row r="4072" spans="7:8" x14ac:dyDescent="0.3">
      <c r="G4072" s="15">
        <v>11.297222222222222</v>
      </c>
      <c r="H4072" s="3">
        <v>3.7976194444443126E-2</v>
      </c>
    </row>
    <row r="4073" spans="7:8" x14ac:dyDescent="0.3">
      <c r="G4073" s="15">
        <v>11.3</v>
      </c>
      <c r="H4073" s="3">
        <v>3.7976999999998685E-2</v>
      </c>
    </row>
    <row r="4074" spans="7:8" x14ac:dyDescent="0.3">
      <c r="G4074" s="15">
        <v>11.302777777777777</v>
      </c>
      <c r="H4074" s="3">
        <v>3.7977805555554245E-2</v>
      </c>
    </row>
    <row r="4075" spans="7:8" x14ac:dyDescent="0.3">
      <c r="G4075" s="15">
        <v>11.305555555555555</v>
      </c>
      <c r="H4075" s="3">
        <v>3.7978611111109797E-2</v>
      </c>
    </row>
    <row r="4076" spans="7:8" x14ac:dyDescent="0.3">
      <c r="G4076" s="15">
        <v>11.308333333333334</v>
      </c>
      <c r="H4076" s="3">
        <v>3.797941666666535E-2</v>
      </c>
    </row>
    <row r="4077" spans="7:8" x14ac:dyDescent="0.3">
      <c r="G4077" s="15">
        <v>11.311111111111112</v>
      </c>
      <c r="H4077" s="3">
        <v>3.7980222222220909E-2</v>
      </c>
    </row>
    <row r="4078" spans="7:8" x14ac:dyDescent="0.3">
      <c r="G4078" s="15">
        <v>11.313888888888888</v>
      </c>
      <c r="H4078" s="3">
        <v>3.7981027777776469E-2</v>
      </c>
    </row>
    <row r="4079" spans="7:8" x14ac:dyDescent="0.3">
      <c r="G4079" s="15">
        <v>11.316666666666666</v>
      </c>
      <c r="H4079" s="3">
        <v>3.7981833333332021E-2</v>
      </c>
    </row>
    <row r="4080" spans="7:8" x14ac:dyDescent="0.3">
      <c r="G4080" s="15">
        <v>11.319444444444445</v>
      </c>
      <c r="H4080" s="3">
        <v>3.7982638888887574E-2</v>
      </c>
    </row>
    <row r="4081" spans="7:8" x14ac:dyDescent="0.3">
      <c r="G4081" s="15">
        <v>11.322222222222223</v>
      </c>
      <c r="H4081" s="3">
        <v>3.7983444444443133E-2</v>
      </c>
    </row>
    <row r="4082" spans="7:8" x14ac:dyDescent="0.3">
      <c r="G4082" s="15">
        <v>11.324999999999999</v>
      </c>
      <c r="H4082" s="3">
        <v>3.7984249999998693E-2</v>
      </c>
    </row>
    <row r="4083" spans="7:8" x14ac:dyDescent="0.3">
      <c r="G4083" s="15">
        <v>11.327777777777778</v>
      </c>
      <c r="H4083" s="3">
        <v>3.7985055555554245E-2</v>
      </c>
    </row>
    <row r="4084" spans="7:8" x14ac:dyDescent="0.3">
      <c r="G4084" s="15">
        <v>11.330555555555556</v>
      </c>
      <c r="H4084" s="3">
        <v>3.7985861111109798E-2</v>
      </c>
    </row>
    <row r="4085" spans="7:8" x14ac:dyDescent="0.3">
      <c r="G4085" s="15">
        <v>11.333333333333334</v>
      </c>
      <c r="H4085" s="3">
        <v>3.7986666666665357E-2</v>
      </c>
    </row>
    <row r="4086" spans="7:8" x14ac:dyDescent="0.3">
      <c r="G4086" s="15">
        <v>11.33611111111111</v>
      </c>
      <c r="H4086" s="3">
        <v>3.7987472222220917E-2</v>
      </c>
    </row>
    <row r="4087" spans="7:8" x14ac:dyDescent="0.3">
      <c r="G4087" s="15">
        <v>11.338888888888889</v>
      </c>
      <c r="H4087" s="3">
        <v>3.7988277777776469E-2</v>
      </c>
    </row>
    <row r="4088" spans="7:8" x14ac:dyDescent="0.3">
      <c r="G4088" s="15">
        <v>11.341666666666667</v>
      </c>
      <c r="H4088" s="3">
        <v>3.7989083333332022E-2</v>
      </c>
    </row>
    <row r="4089" spans="7:8" x14ac:dyDescent="0.3">
      <c r="G4089" s="15">
        <v>11.344444444444445</v>
      </c>
      <c r="H4089" s="3">
        <v>3.7989888888887581E-2</v>
      </c>
    </row>
    <row r="4090" spans="7:8" x14ac:dyDescent="0.3">
      <c r="G4090" s="15">
        <v>11.347222222222221</v>
      </c>
      <c r="H4090" s="3">
        <v>3.799069444444314E-2</v>
      </c>
    </row>
    <row r="4091" spans="7:8" x14ac:dyDescent="0.3">
      <c r="G4091" s="15">
        <v>11.35</v>
      </c>
      <c r="H4091" s="3">
        <v>3.7991499999998693E-2</v>
      </c>
    </row>
    <row r="4092" spans="7:8" x14ac:dyDescent="0.3">
      <c r="G4092" s="15">
        <v>11.352777777777778</v>
      </c>
      <c r="H4092" s="3">
        <v>3.7992305555554245E-2</v>
      </c>
    </row>
    <row r="4093" spans="7:8" x14ac:dyDescent="0.3">
      <c r="G4093" s="15">
        <v>11.355555555555556</v>
      </c>
      <c r="H4093" s="3">
        <v>3.7993111111109805E-2</v>
      </c>
    </row>
    <row r="4094" spans="7:8" x14ac:dyDescent="0.3">
      <c r="G4094" s="15">
        <v>11.358333333333333</v>
      </c>
      <c r="H4094" s="3">
        <v>3.7993916666665364E-2</v>
      </c>
    </row>
    <row r="4095" spans="7:8" x14ac:dyDescent="0.3">
      <c r="G4095" s="15">
        <v>11.361111111111111</v>
      </c>
      <c r="H4095" s="3">
        <v>3.7994722222220917E-2</v>
      </c>
    </row>
    <row r="4096" spans="7:8" x14ac:dyDescent="0.3">
      <c r="G4096" s="15">
        <v>11.363888888888889</v>
      </c>
      <c r="H4096" s="3">
        <v>3.7995527777776469E-2</v>
      </c>
    </row>
    <row r="4097" spans="7:8" x14ac:dyDescent="0.3">
      <c r="G4097" s="15">
        <v>11.366666666666667</v>
      </c>
      <c r="H4097" s="3">
        <v>3.7996333333332029E-2</v>
      </c>
    </row>
    <row r="4098" spans="7:8" x14ac:dyDescent="0.3">
      <c r="G4098" s="15">
        <v>11.369444444444444</v>
      </c>
      <c r="H4098" s="3">
        <v>3.7997138888887588E-2</v>
      </c>
    </row>
    <row r="4099" spans="7:8" x14ac:dyDescent="0.3">
      <c r="G4099" s="15">
        <v>11.372222222222222</v>
      </c>
      <c r="H4099" s="3">
        <v>3.7997944444443141E-2</v>
      </c>
    </row>
    <row r="4100" spans="7:8" x14ac:dyDescent="0.3">
      <c r="G4100" s="15">
        <v>11.375</v>
      </c>
      <c r="H4100" s="3">
        <v>3.7998749999998693E-2</v>
      </c>
    </row>
    <row r="4101" spans="7:8" x14ac:dyDescent="0.3">
      <c r="G4101" s="15">
        <v>11.377777777777778</v>
      </c>
      <c r="H4101" s="3">
        <v>3.7999555555554253E-2</v>
      </c>
    </row>
    <row r="4102" spans="7:8" x14ac:dyDescent="0.3">
      <c r="G4102" s="15">
        <v>11.380555555555556</v>
      </c>
      <c r="H4102" s="3">
        <v>3.8000361111109812E-2</v>
      </c>
    </row>
    <row r="4103" spans="7:8" x14ac:dyDescent="0.3">
      <c r="G4103" s="15">
        <v>11.383333333333333</v>
      </c>
      <c r="H4103" s="3">
        <v>3.8001166666665365E-2</v>
      </c>
    </row>
    <row r="4104" spans="7:8" x14ac:dyDescent="0.3">
      <c r="G4104" s="15">
        <v>11.386111111111111</v>
      </c>
      <c r="H4104" s="3">
        <v>3.8001972222220917E-2</v>
      </c>
    </row>
    <row r="4105" spans="7:8" x14ac:dyDescent="0.3">
      <c r="G4105" s="15">
        <v>11.388888888888889</v>
      </c>
      <c r="H4105" s="3">
        <v>3.8002777777776477E-2</v>
      </c>
    </row>
    <row r="4106" spans="7:8" x14ac:dyDescent="0.3">
      <c r="G4106" s="15">
        <v>11.391666666666667</v>
      </c>
      <c r="H4106" s="3">
        <v>3.8003583333332036E-2</v>
      </c>
    </row>
    <row r="4107" spans="7:8" x14ac:dyDescent="0.3">
      <c r="G4107" s="15">
        <v>11.394444444444444</v>
      </c>
      <c r="H4107" s="3">
        <v>3.8004388888887589E-2</v>
      </c>
    </row>
    <row r="4108" spans="7:8" x14ac:dyDescent="0.3">
      <c r="G4108" s="15">
        <v>11.397222222222222</v>
      </c>
      <c r="H4108" s="3">
        <v>3.8005194444443141E-2</v>
      </c>
    </row>
    <row r="4109" spans="7:8" x14ac:dyDescent="0.3">
      <c r="G4109" s="15">
        <v>11.4</v>
      </c>
      <c r="H4109" s="3">
        <v>3.8005999999998701E-2</v>
      </c>
    </row>
    <row r="4110" spans="7:8" x14ac:dyDescent="0.3">
      <c r="G4110" s="15">
        <v>11.402777777777779</v>
      </c>
      <c r="H4110" s="3">
        <v>3.800680555555426E-2</v>
      </c>
    </row>
    <row r="4111" spans="7:8" x14ac:dyDescent="0.3">
      <c r="G4111" s="15">
        <v>11.405555555555555</v>
      </c>
      <c r="H4111" s="3">
        <v>3.8007611111109812E-2</v>
      </c>
    </row>
    <row r="4112" spans="7:8" x14ac:dyDescent="0.3">
      <c r="G4112" s="15">
        <v>11.408333333333333</v>
      </c>
      <c r="H4112" s="3">
        <v>3.8008416666665365E-2</v>
      </c>
    </row>
    <row r="4113" spans="7:8" x14ac:dyDescent="0.3">
      <c r="G4113" s="15">
        <v>11.411111111111111</v>
      </c>
      <c r="H4113" s="3">
        <v>3.8009222222220924E-2</v>
      </c>
    </row>
    <row r="4114" spans="7:8" x14ac:dyDescent="0.3">
      <c r="G4114" s="15">
        <v>11.41388888888889</v>
      </c>
      <c r="H4114" s="3">
        <v>3.8010027777776484E-2</v>
      </c>
    </row>
    <row r="4115" spans="7:8" x14ac:dyDescent="0.3">
      <c r="G4115" s="15">
        <v>11.416666666666666</v>
      </c>
      <c r="H4115" s="3">
        <v>3.8010833333332036E-2</v>
      </c>
    </row>
    <row r="4116" spans="7:8" x14ac:dyDescent="0.3">
      <c r="G4116" s="15">
        <v>11.419444444444444</v>
      </c>
      <c r="H4116" s="3">
        <v>3.8011638888887589E-2</v>
      </c>
    </row>
    <row r="4117" spans="7:8" x14ac:dyDescent="0.3">
      <c r="G4117" s="15">
        <v>11.422222222222222</v>
      </c>
      <c r="H4117" s="3">
        <v>3.8012444444443148E-2</v>
      </c>
    </row>
    <row r="4118" spans="7:8" x14ac:dyDescent="0.3">
      <c r="G4118" s="15">
        <v>11.425000000000001</v>
      </c>
      <c r="H4118" s="3">
        <v>3.8013249999998708E-2</v>
      </c>
    </row>
    <row r="4119" spans="7:8" x14ac:dyDescent="0.3">
      <c r="G4119" s="15">
        <v>11.427777777777777</v>
      </c>
      <c r="H4119" s="3">
        <v>3.801405555555426E-2</v>
      </c>
    </row>
    <row r="4120" spans="7:8" x14ac:dyDescent="0.3">
      <c r="G4120" s="15">
        <v>11.430555555555555</v>
      </c>
      <c r="H4120" s="3">
        <v>3.8014861111109813E-2</v>
      </c>
    </row>
    <row r="4121" spans="7:8" x14ac:dyDescent="0.3">
      <c r="G4121" s="15">
        <v>11.433333333333334</v>
      </c>
      <c r="H4121" s="3">
        <v>3.8015666666665372E-2</v>
      </c>
    </row>
    <row r="4122" spans="7:8" x14ac:dyDescent="0.3">
      <c r="G4122" s="15">
        <v>11.436111111111112</v>
      </c>
      <c r="H4122" s="3">
        <v>3.8016472222220932E-2</v>
      </c>
    </row>
    <row r="4123" spans="7:8" x14ac:dyDescent="0.3">
      <c r="G4123" s="15">
        <v>11.438888888888888</v>
      </c>
      <c r="H4123" s="3">
        <v>3.8017277777776484E-2</v>
      </c>
    </row>
    <row r="4124" spans="7:8" x14ac:dyDescent="0.3">
      <c r="G4124" s="15">
        <v>11.441666666666666</v>
      </c>
      <c r="H4124" s="3">
        <v>3.8018083333332037E-2</v>
      </c>
    </row>
    <row r="4125" spans="7:8" x14ac:dyDescent="0.3">
      <c r="G4125" s="15">
        <v>11.444444444444445</v>
      </c>
      <c r="H4125" s="3">
        <v>3.8018888888887596E-2</v>
      </c>
    </row>
    <row r="4126" spans="7:8" x14ac:dyDescent="0.3">
      <c r="G4126" s="15">
        <v>11.447222222222223</v>
      </c>
      <c r="H4126" s="3">
        <v>3.8019694444443156E-2</v>
      </c>
    </row>
    <row r="4127" spans="7:8" x14ac:dyDescent="0.3">
      <c r="G4127" s="15">
        <v>11.45</v>
      </c>
      <c r="H4127" s="3">
        <v>3.8020499999998708E-2</v>
      </c>
    </row>
    <row r="4128" spans="7:8" x14ac:dyDescent="0.3">
      <c r="G4128" s="15">
        <v>11.452777777777778</v>
      </c>
      <c r="H4128" s="3">
        <v>3.8021305555554261E-2</v>
      </c>
    </row>
    <row r="4129" spans="7:8" x14ac:dyDescent="0.3">
      <c r="G4129" s="15">
        <v>11.455555555555556</v>
      </c>
      <c r="H4129" s="3">
        <v>3.802211111110982E-2</v>
      </c>
    </row>
    <row r="4130" spans="7:8" x14ac:dyDescent="0.3">
      <c r="G4130" s="15">
        <v>11.458333333333334</v>
      </c>
      <c r="H4130" s="3">
        <v>3.802291666666538E-2</v>
      </c>
    </row>
    <row r="4131" spans="7:8" x14ac:dyDescent="0.3">
      <c r="G4131" s="15">
        <v>11.46111111111111</v>
      </c>
      <c r="H4131" s="3">
        <v>3.8023722222220932E-2</v>
      </c>
    </row>
    <row r="4132" spans="7:8" x14ac:dyDescent="0.3">
      <c r="G4132" s="15">
        <v>11.463888888888889</v>
      </c>
      <c r="H4132" s="3">
        <v>3.8024527777776485E-2</v>
      </c>
    </row>
    <row r="4133" spans="7:8" x14ac:dyDescent="0.3">
      <c r="G4133" s="15">
        <v>11.466666666666667</v>
      </c>
      <c r="H4133" s="3">
        <v>3.8025333333332044E-2</v>
      </c>
    </row>
    <row r="4134" spans="7:8" x14ac:dyDescent="0.3">
      <c r="G4134" s="15">
        <v>11.469444444444445</v>
      </c>
      <c r="H4134" s="3">
        <v>3.8026138888887603E-2</v>
      </c>
    </row>
    <row r="4135" spans="7:8" x14ac:dyDescent="0.3">
      <c r="G4135" s="15">
        <v>11.472222222222221</v>
      </c>
      <c r="H4135" s="3">
        <v>3.8026944444443156E-2</v>
      </c>
    </row>
    <row r="4136" spans="7:8" x14ac:dyDescent="0.3">
      <c r="G4136" s="15">
        <v>11.475</v>
      </c>
      <c r="H4136" s="3">
        <v>3.8027749999998708E-2</v>
      </c>
    </row>
    <row r="4137" spans="7:8" x14ac:dyDescent="0.3">
      <c r="G4137" s="15">
        <v>11.477777777777778</v>
      </c>
      <c r="H4137" s="3">
        <v>3.8028555555554268E-2</v>
      </c>
    </row>
    <row r="4138" spans="7:8" x14ac:dyDescent="0.3">
      <c r="G4138" s="15">
        <v>11.480555555555556</v>
      </c>
      <c r="H4138" s="3">
        <v>3.8029361111109827E-2</v>
      </c>
    </row>
    <row r="4139" spans="7:8" x14ac:dyDescent="0.3">
      <c r="G4139" s="15">
        <v>11.483333333333333</v>
      </c>
      <c r="H4139" s="3">
        <v>3.803016666666538E-2</v>
      </c>
    </row>
    <row r="4140" spans="7:8" x14ac:dyDescent="0.3">
      <c r="G4140" s="15">
        <v>11.486111111111111</v>
      </c>
      <c r="H4140" s="3">
        <v>3.8030972222220932E-2</v>
      </c>
    </row>
    <row r="4141" spans="7:8" x14ac:dyDescent="0.3">
      <c r="G4141" s="15">
        <v>11.488888888888889</v>
      </c>
      <c r="H4141" s="3">
        <v>3.8031777777776492E-2</v>
      </c>
    </row>
    <row r="4142" spans="7:8" x14ac:dyDescent="0.3">
      <c r="G4142" s="15">
        <v>11.491666666666667</v>
      </c>
      <c r="H4142" s="3">
        <v>3.8032583333332051E-2</v>
      </c>
    </row>
    <row r="4143" spans="7:8" x14ac:dyDescent="0.3">
      <c r="G4143" s="15">
        <v>11.494444444444444</v>
      </c>
      <c r="H4143" s="3">
        <v>3.8033388888887604E-2</v>
      </c>
    </row>
    <row r="4144" spans="7:8" x14ac:dyDescent="0.3">
      <c r="G4144" s="15">
        <v>11.497222222222222</v>
      </c>
      <c r="H4144" s="3">
        <v>3.8034194444443156E-2</v>
      </c>
    </row>
    <row r="4145" spans="7:8" x14ac:dyDescent="0.3">
      <c r="G4145" s="15">
        <v>11.5</v>
      </c>
      <c r="H4145" s="3">
        <v>3.8034999999998716E-2</v>
      </c>
    </row>
    <row r="4146" spans="7:8" x14ac:dyDescent="0.3">
      <c r="G4146" s="15">
        <v>11.502777777777778</v>
      </c>
      <c r="H4146" s="3">
        <v>3.8035805555554275E-2</v>
      </c>
    </row>
    <row r="4147" spans="7:8" x14ac:dyDescent="0.3">
      <c r="G4147" s="15">
        <v>11.505555555555556</v>
      </c>
      <c r="H4147" s="3">
        <v>3.8036611111109828E-2</v>
      </c>
    </row>
    <row r="4148" spans="7:8" x14ac:dyDescent="0.3">
      <c r="G4148" s="15">
        <v>11.508333333333333</v>
      </c>
      <c r="H4148" s="3">
        <v>3.803741666666538E-2</v>
      </c>
    </row>
    <row r="4149" spans="7:8" x14ac:dyDescent="0.3">
      <c r="G4149" s="15">
        <v>11.511111111111111</v>
      </c>
      <c r="H4149" s="3">
        <v>3.803822222222094E-2</v>
      </c>
    </row>
    <row r="4150" spans="7:8" x14ac:dyDescent="0.3">
      <c r="G4150" s="15">
        <v>11.513888888888889</v>
      </c>
      <c r="H4150" s="3">
        <v>3.8039027777776499E-2</v>
      </c>
    </row>
    <row r="4151" spans="7:8" x14ac:dyDescent="0.3">
      <c r="G4151" s="15">
        <v>11.516666666666667</v>
      </c>
      <c r="H4151" s="3">
        <v>3.8039833333332052E-2</v>
      </c>
    </row>
    <row r="4152" spans="7:8" x14ac:dyDescent="0.3">
      <c r="G4152" s="15">
        <v>11.519444444444444</v>
      </c>
      <c r="H4152" s="3">
        <v>3.8040638888887604E-2</v>
      </c>
    </row>
    <row r="4153" spans="7:8" x14ac:dyDescent="0.3">
      <c r="G4153" s="15">
        <v>11.522222222222222</v>
      </c>
      <c r="H4153" s="3">
        <v>3.8041444444443163E-2</v>
      </c>
    </row>
    <row r="4154" spans="7:8" x14ac:dyDescent="0.3">
      <c r="G4154" s="15">
        <v>11.525</v>
      </c>
      <c r="H4154" s="3">
        <v>3.8042249999998723E-2</v>
      </c>
    </row>
    <row r="4155" spans="7:8" x14ac:dyDescent="0.3">
      <c r="G4155" s="15">
        <v>11.527777777777779</v>
      </c>
      <c r="H4155" s="3">
        <v>3.8043055555554275E-2</v>
      </c>
    </row>
    <row r="4156" spans="7:8" x14ac:dyDescent="0.3">
      <c r="G4156" s="15">
        <v>11.530555555555555</v>
      </c>
      <c r="H4156" s="3">
        <v>3.8043861111109828E-2</v>
      </c>
    </row>
    <row r="4157" spans="7:8" x14ac:dyDescent="0.3">
      <c r="G4157" s="15">
        <v>11.533333333333333</v>
      </c>
      <c r="H4157" s="3">
        <v>3.8044666666665387E-2</v>
      </c>
    </row>
    <row r="4158" spans="7:8" x14ac:dyDescent="0.3">
      <c r="G4158" s="15">
        <v>11.536111111111111</v>
      </c>
      <c r="H4158" s="3">
        <v>3.8045472222220947E-2</v>
      </c>
    </row>
    <row r="4159" spans="7:8" x14ac:dyDescent="0.3">
      <c r="G4159" s="15">
        <v>11.53888888888889</v>
      </c>
      <c r="H4159" s="3">
        <v>3.8046277777776499E-2</v>
      </c>
    </row>
    <row r="4160" spans="7:8" x14ac:dyDescent="0.3">
      <c r="G4160" s="15">
        <v>11.541666666666666</v>
      </c>
      <c r="H4160" s="3">
        <v>3.8047083333332052E-2</v>
      </c>
    </row>
    <row r="4161" spans="7:8" x14ac:dyDescent="0.3">
      <c r="G4161" s="15">
        <v>11.544444444444444</v>
      </c>
      <c r="H4161" s="3">
        <v>3.8047888888887611E-2</v>
      </c>
    </row>
    <row r="4162" spans="7:8" x14ac:dyDescent="0.3">
      <c r="G4162" s="15">
        <v>11.547222222222222</v>
      </c>
      <c r="H4162" s="3">
        <v>3.8048694444443171E-2</v>
      </c>
    </row>
    <row r="4163" spans="7:8" x14ac:dyDescent="0.3">
      <c r="G4163" s="15">
        <v>11.55</v>
      </c>
      <c r="H4163" s="3">
        <v>3.8049499999998723E-2</v>
      </c>
    </row>
    <row r="4164" spans="7:8" x14ac:dyDescent="0.3">
      <c r="G4164" s="15">
        <v>11.552777777777777</v>
      </c>
      <c r="H4164" s="3">
        <v>3.8050305555554276E-2</v>
      </c>
    </row>
    <row r="4165" spans="7:8" x14ac:dyDescent="0.3">
      <c r="G4165" s="15">
        <v>11.555555555555555</v>
      </c>
      <c r="H4165" s="3">
        <v>3.8051111111109835E-2</v>
      </c>
    </row>
    <row r="4166" spans="7:8" x14ac:dyDescent="0.3">
      <c r="G4166" s="15">
        <v>11.558333333333334</v>
      </c>
      <c r="H4166" s="3">
        <v>3.8051916666665395E-2</v>
      </c>
    </row>
    <row r="4167" spans="7:8" x14ac:dyDescent="0.3">
      <c r="G4167" s="15">
        <v>11.561111111111112</v>
      </c>
      <c r="H4167" s="3">
        <v>3.8052722222220947E-2</v>
      </c>
    </row>
    <row r="4168" spans="7:8" x14ac:dyDescent="0.3">
      <c r="G4168" s="15">
        <v>11.563888888888888</v>
      </c>
      <c r="H4168" s="3">
        <v>3.80535277777765E-2</v>
      </c>
    </row>
    <row r="4169" spans="7:8" x14ac:dyDescent="0.3">
      <c r="G4169" s="15">
        <v>11.566666666666666</v>
      </c>
      <c r="H4169" s="3">
        <v>3.8054333333332059E-2</v>
      </c>
    </row>
    <row r="4170" spans="7:8" x14ac:dyDescent="0.3">
      <c r="G4170" s="15">
        <v>11.569444444444445</v>
      </c>
      <c r="H4170" s="3">
        <v>3.8055138888887619E-2</v>
      </c>
    </row>
    <row r="4171" spans="7:8" x14ac:dyDescent="0.3">
      <c r="G4171" s="15">
        <v>11.572222222222223</v>
      </c>
      <c r="H4171" s="3">
        <v>3.8055944444443171E-2</v>
      </c>
    </row>
    <row r="4172" spans="7:8" x14ac:dyDescent="0.3">
      <c r="G4172" s="15">
        <v>11.574999999999999</v>
      </c>
      <c r="H4172" s="3">
        <v>3.8056749999998724E-2</v>
      </c>
    </row>
    <row r="4173" spans="7:8" x14ac:dyDescent="0.3">
      <c r="G4173" s="15">
        <v>11.577777777777778</v>
      </c>
      <c r="H4173" s="3">
        <v>3.8057555555554283E-2</v>
      </c>
    </row>
    <row r="4174" spans="7:8" x14ac:dyDescent="0.3">
      <c r="G4174" s="15">
        <v>11.580555555555556</v>
      </c>
      <c r="H4174" s="3">
        <v>3.8058361111109842E-2</v>
      </c>
    </row>
    <row r="4175" spans="7:8" x14ac:dyDescent="0.3">
      <c r="G4175" s="15">
        <v>11.583333333333334</v>
      </c>
      <c r="H4175" s="3">
        <v>3.8059166666665395E-2</v>
      </c>
    </row>
    <row r="4176" spans="7:8" x14ac:dyDescent="0.3">
      <c r="G4176" s="15">
        <v>11.58611111111111</v>
      </c>
      <c r="H4176" s="3">
        <v>3.8059972222220947E-2</v>
      </c>
    </row>
    <row r="4177" spans="7:8" x14ac:dyDescent="0.3">
      <c r="G4177" s="15">
        <v>11.588888888888889</v>
      </c>
      <c r="H4177" s="3">
        <v>3.8060777777776507E-2</v>
      </c>
    </row>
    <row r="4178" spans="7:8" x14ac:dyDescent="0.3">
      <c r="G4178" s="15">
        <v>11.591666666666667</v>
      </c>
      <c r="H4178" s="3">
        <v>3.8061583333332066E-2</v>
      </c>
    </row>
    <row r="4179" spans="7:8" x14ac:dyDescent="0.3">
      <c r="G4179" s="15">
        <v>11.594444444444445</v>
      </c>
      <c r="H4179" s="3">
        <v>3.8062388888887619E-2</v>
      </c>
    </row>
    <row r="4180" spans="7:8" x14ac:dyDescent="0.3">
      <c r="G4180" s="15">
        <v>11.597222222222221</v>
      </c>
      <c r="H4180" s="3">
        <v>3.8063194444443171E-2</v>
      </c>
    </row>
    <row r="4181" spans="7:8" x14ac:dyDescent="0.3">
      <c r="G4181" s="15">
        <v>11.6</v>
      </c>
      <c r="H4181" s="3">
        <v>3.8063999999998731E-2</v>
      </c>
    </row>
    <row r="4182" spans="7:8" x14ac:dyDescent="0.3">
      <c r="G4182" s="15">
        <v>11.602777777777778</v>
      </c>
      <c r="H4182" s="3">
        <v>3.806480555555429E-2</v>
      </c>
    </row>
    <row r="4183" spans="7:8" x14ac:dyDescent="0.3">
      <c r="G4183" s="15">
        <v>11.605555555555556</v>
      </c>
      <c r="H4183" s="3">
        <v>3.8065611111109843E-2</v>
      </c>
    </row>
    <row r="4184" spans="7:8" x14ac:dyDescent="0.3">
      <c r="G4184" s="15">
        <v>11.608333333333333</v>
      </c>
      <c r="H4184" s="3">
        <v>3.8066416666665395E-2</v>
      </c>
    </row>
    <row r="4185" spans="7:8" x14ac:dyDescent="0.3">
      <c r="G4185" s="15">
        <v>11.611111111111111</v>
      </c>
      <c r="H4185" s="3">
        <v>3.8067222222220955E-2</v>
      </c>
    </row>
    <row r="4186" spans="7:8" x14ac:dyDescent="0.3">
      <c r="G4186" s="15">
        <v>11.613888888888889</v>
      </c>
      <c r="H4186" s="3">
        <v>3.8068027777776514E-2</v>
      </c>
    </row>
    <row r="4187" spans="7:8" x14ac:dyDescent="0.3">
      <c r="G4187" s="15">
        <v>11.616666666666667</v>
      </c>
      <c r="H4187" s="3">
        <v>3.8068833333332067E-2</v>
      </c>
    </row>
    <row r="4188" spans="7:8" x14ac:dyDescent="0.3">
      <c r="G4188" s="15">
        <v>11.619444444444444</v>
      </c>
      <c r="H4188" s="3">
        <v>3.8069638888887619E-2</v>
      </c>
    </row>
    <row r="4189" spans="7:8" x14ac:dyDescent="0.3">
      <c r="G4189" s="15">
        <v>11.622222222222222</v>
      </c>
      <c r="H4189" s="3">
        <v>3.8070444444443179E-2</v>
      </c>
    </row>
    <row r="4190" spans="7:8" x14ac:dyDescent="0.3">
      <c r="G4190" s="15">
        <v>11.625</v>
      </c>
      <c r="H4190" s="3">
        <v>3.8071249999998738E-2</v>
      </c>
    </row>
    <row r="4191" spans="7:8" x14ac:dyDescent="0.3">
      <c r="G4191" s="15">
        <v>11.627777777777778</v>
      </c>
      <c r="H4191" s="3">
        <v>3.8072055555554291E-2</v>
      </c>
    </row>
    <row r="4192" spans="7:8" x14ac:dyDescent="0.3">
      <c r="G4192" s="15">
        <v>11.630555555555556</v>
      </c>
      <c r="H4192" s="3">
        <v>3.8072861111109843E-2</v>
      </c>
    </row>
    <row r="4193" spans="7:8" x14ac:dyDescent="0.3">
      <c r="G4193" s="15">
        <v>11.633333333333333</v>
      </c>
      <c r="H4193" s="3">
        <v>3.8073666666665403E-2</v>
      </c>
    </row>
    <row r="4194" spans="7:8" x14ac:dyDescent="0.3">
      <c r="G4194" s="15">
        <v>11.636111111111111</v>
      </c>
      <c r="H4194" s="3">
        <v>3.8074472222220962E-2</v>
      </c>
    </row>
    <row r="4195" spans="7:8" x14ac:dyDescent="0.3">
      <c r="G4195" s="15">
        <v>11.638888888888889</v>
      </c>
      <c r="H4195" s="3">
        <v>3.8075277777776514E-2</v>
      </c>
    </row>
    <row r="4196" spans="7:8" x14ac:dyDescent="0.3">
      <c r="G4196" s="15">
        <v>11.641666666666667</v>
      </c>
      <c r="H4196" s="3">
        <v>3.8076083333332067E-2</v>
      </c>
    </row>
    <row r="4197" spans="7:8" x14ac:dyDescent="0.3">
      <c r="G4197" s="15">
        <v>11.644444444444444</v>
      </c>
      <c r="H4197" s="3">
        <v>3.8076888888887626E-2</v>
      </c>
    </row>
    <row r="4198" spans="7:8" x14ac:dyDescent="0.3">
      <c r="G4198" s="15">
        <v>11.647222222222222</v>
      </c>
      <c r="H4198" s="3">
        <v>3.8077694444443186E-2</v>
      </c>
    </row>
    <row r="4199" spans="7:8" x14ac:dyDescent="0.3">
      <c r="G4199" s="15">
        <v>11.65</v>
      </c>
      <c r="H4199" s="3">
        <v>3.8078499999998738E-2</v>
      </c>
    </row>
    <row r="4200" spans="7:8" x14ac:dyDescent="0.3">
      <c r="G4200" s="15">
        <v>11.652777777777779</v>
      </c>
      <c r="H4200" s="3">
        <v>3.8079305555554291E-2</v>
      </c>
    </row>
    <row r="4201" spans="7:8" x14ac:dyDescent="0.3">
      <c r="G4201" s="15">
        <v>11.655555555555555</v>
      </c>
      <c r="H4201" s="3">
        <v>3.808011111110985E-2</v>
      </c>
    </row>
    <row r="4202" spans="7:8" x14ac:dyDescent="0.3">
      <c r="G4202" s="15">
        <v>11.658333333333333</v>
      </c>
      <c r="H4202" s="3">
        <v>3.808091666666541E-2</v>
      </c>
    </row>
    <row r="4203" spans="7:8" x14ac:dyDescent="0.3">
      <c r="G4203" s="15">
        <v>11.661111111111111</v>
      </c>
      <c r="H4203" s="3">
        <v>3.8081722222220962E-2</v>
      </c>
    </row>
    <row r="4204" spans="7:8" x14ac:dyDescent="0.3">
      <c r="G4204" s="15">
        <v>11.66388888888889</v>
      </c>
      <c r="H4204" s="3">
        <v>3.8082527777776515E-2</v>
      </c>
    </row>
    <row r="4205" spans="7:8" x14ac:dyDescent="0.3">
      <c r="G4205" s="15">
        <v>11.666666666666666</v>
      </c>
      <c r="H4205" s="3">
        <v>3.8083333333332074E-2</v>
      </c>
    </row>
    <row r="4206" spans="7:8" x14ac:dyDescent="0.3">
      <c r="G4206" s="15">
        <v>11.669444444444444</v>
      </c>
      <c r="H4206" s="3">
        <v>3.8084138888887634E-2</v>
      </c>
    </row>
    <row r="4207" spans="7:8" x14ac:dyDescent="0.3">
      <c r="G4207" s="15">
        <v>11.672222222222222</v>
      </c>
      <c r="H4207" s="3">
        <v>3.8084944444443186E-2</v>
      </c>
    </row>
    <row r="4208" spans="7:8" x14ac:dyDescent="0.3">
      <c r="G4208" s="15">
        <v>11.675000000000001</v>
      </c>
      <c r="H4208" s="3">
        <v>3.8085749999998739E-2</v>
      </c>
    </row>
    <row r="4209" spans="7:8" x14ac:dyDescent="0.3">
      <c r="G4209" s="15">
        <v>11.677777777777777</v>
      </c>
      <c r="H4209" s="3">
        <v>3.8086555555554298E-2</v>
      </c>
    </row>
    <row r="4210" spans="7:8" x14ac:dyDescent="0.3">
      <c r="G4210" s="15">
        <v>11.680555555555555</v>
      </c>
      <c r="H4210" s="3">
        <v>3.8087361111109858E-2</v>
      </c>
    </row>
    <row r="4211" spans="7:8" x14ac:dyDescent="0.3">
      <c r="G4211" s="15">
        <v>11.683333333333334</v>
      </c>
      <c r="H4211" s="3">
        <v>3.808816666666541E-2</v>
      </c>
    </row>
    <row r="4212" spans="7:8" x14ac:dyDescent="0.3">
      <c r="G4212" s="15">
        <v>11.686111111111112</v>
      </c>
      <c r="H4212" s="3">
        <v>3.8088972222220963E-2</v>
      </c>
    </row>
    <row r="4213" spans="7:8" x14ac:dyDescent="0.3">
      <c r="G4213" s="15">
        <v>11.688888888888888</v>
      </c>
      <c r="H4213" s="3">
        <v>3.8089777777776522E-2</v>
      </c>
    </row>
    <row r="4214" spans="7:8" x14ac:dyDescent="0.3">
      <c r="G4214" s="15">
        <v>11.691666666666666</v>
      </c>
      <c r="H4214" s="3">
        <v>3.8090583333332081E-2</v>
      </c>
    </row>
    <row r="4215" spans="7:8" x14ac:dyDescent="0.3">
      <c r="G4215" s="15">
        <v>11.694444444444445</v>
      </c>
      <c r="H4215" s="3">
        <v>3.8091388888887634E-2</v>
      </c>
    </row>
    <row r="4216" spans="7:8" x14ac:dyDescent="0.3">
      <c r="G4216" s="15">
        <v>11.697222222222223</v>
      </c>
      <c r="H4216" s="3">
        <v>3.8092194444443186E-2</v>
      </c>
    </row>
    <row r="4217" spans="7:8" x14ac:dyDescent="0.3">
      <c r="G4217" s="15">
        <v>11.7</v>
      </c>
      <c r="H4217" s="3">
        <v>3.8092999999998746E-2</v>
      </c>
    </row>
    <row r="4218" spans="7:8" x14ac:dyDescent="0.3">
      <c r="G4218" s="15">
        <v>11.702777777777778</v>
      </c>
      <c r="H4218" s="3">
        <v>3.8093805555554305E-2</v>
      </c>
    </row>
    <row r="4219" spans="7:8" x14ac:dyDescent="0.3">
      <c r="G4219" s="15">
        <v>11.705555555555556</v>
      </c>
      <c r="H4219" s="3">
        <v>3.8094611111109858E-2</v>
      </c>
    </row>
    <row r="4220" spans="7:8" x14ac:dyDescent="0.3">
      <c r="G4220" s="15">
        <v>11.708333333333334</v>
      </c>
      <c r="H4220" s="3">
        <v>3.809541666666541E-2</v>
      </c>
    </row>
    <row r="4221" spans="7:8" x14ac:dyDescent="0.3">
      <c r="G4221" s="15">
        <v>11.71111111111111</v>
      </c>
      <c r="H4221" s="3">
        <v>3.809622222222097E-2</v>
      </c>
    </row>
    <row r="4222" spans="7:8" x14ac:dyDescent="0.3">
      <c r="G4222" s="15">
        <v>11.713888888888889</v>
      </c>
      <c r="H4222" s="3">
        <v>3.8097027777776529E-2</v>
      </c>
    </row>
    <row r="4223" spans="7:8" x14ac:dyDescent="0.3">
      <c r="G4223" s="15">
        <v>11.716666666666667</v>
      </c>
      <c r="H4223" s="3">
        <v>3.8097833333332082E-2</v>
      </c>
    </row>
    <row r="4224" spans="7:8" x14ac:dyDescent="0.3">
      <c r="G4224" s="15">
        <v>11.719444444444445</v>
      </c>
      <c r="H4224" s="3">
        <v>3.8098638888887634E-2</v>
      </c>
    </row>
    <row r="4225" spans="7:8" x14ac:dyDescent="0.3">
      <c r="G4225" s="15">
        <v>11.722222222222221</v>
      </c>
      <c r="H4225" s="3">
        <v>3.8099444444443194E-2</v>
      </c>
    </row>
    <row r="4226" spans="7:8" x14ac:dyDescent="0.3">
      <c r="G4226" s="15">
        <v>11.725</v>
      </c>
      <c r="H4226" s="3">
        <v>3.8100249999998753E-2</v>
      </c>
    </row>
    <row r="4227" spans="7:8" x14ac:dyDescent="0.3">
      <c r="G4227" s="15">
        <v>11.727777777777778</v>
      </c>
      <c r="H4227" s="3">
        <v>3.8101055555554306E-2</v>
      </c>
    </row>
    <row r="4228" spans="7:8" x14ac:dyDescent="0.3">
      <c r="G4228" s="15">
        <v>11.730555555555556</v>
      </c>
      <c r="H4228" s="3">
        <v>3.8101861111109858E-2</v>
      </c>
    </row>
    <row r="4229" spans="7:8" x14ac:dyDescent="0.3">
      <c r="G4229" s="15">
        <v>11.733333333333333</v>
      </c>
      <c r="H4229" s="3">
        <v>3.8102666666665418E-2</v>
      </c>
    </row>
    <row r="4230" spans="7:8" x14ac:dyDescent="0.3">
      <c r="G4230" s="15">
        <v>11.736111111111111</v>
      </c>
      <c r="H4230" s="3">
        <v>3.8103472222220977E-2</v>
      </c>
    </row>
    <row r="4231" spans="7:8" x14ac:dyDescent="0.3">
      <c r="G4231" s="15">
        <v>11.738888888888889</v>
      </c>
      <c r="H4231" s="3">
        <v>3.810427777777653E-2</v>
      </c>
    </row>
    <row r="4232" spans="7:8" x14ac:dyDescent="0.3">
      <c r="G4232" s="15">
        <v>11.741666666666667</v>
      </c>
      <c r="H4232" s="3">
        <v>3.8105083333332082E-2</v>
      </c>
    </row>
    <row r="4233" spans="7:8" x14ac:dyDescent="0.3">
      <c r="G4233" s="15">
        <v>11.744444444444444</v>
      </c>
      <c r="H4233" s="3">
        <v>3.8105888888887642E-2</v>
      </c>
    </row>
    <row r="4234" spans="7:8" x14ac:dyDescent="0.3">
      <c r="G4234" s="15">
        <v>11.747222222222222</v>
      </c>
      <c r="H4234" s="3">
        <v>3.8106694444443201E-2</v>
      </c>
    </row>
    <row r="4235" spans="7:8" x14ac:dyDescent="0.3">
      <c r="G4235" s="15">
        <v>11.75</v>
      </c>
      <c r="H4235" s="3">
        <v>3.8107499999998753E-2</v>
      </c>
    </row>
    <row r="4236" spans="7:8" x14ac:dyDescent="0.3">
      <c r="G4236" s="15">
        <v>11.752777777777778</v>
      </c>
      <c r="H4236" s="3">
        <v>3.8108305555554306E-2</v>
      </c>
    </row>
    <row r="4237" spans="7:8" x14ac:dyDescent="0.3">
      <c r="G4237" s="15">
        <v>11.755555555555556</v>
      </c>
      <c r="H4237" s="3">
        <v>3.8109111111109865E-2</v>
      </c>
    </row>
    <row r="4238" spans="7:8" x14ac:dyDescent="0.3">
      <c r="G4238" s="15">
        <v>11.758333333333333</v>
      </c>
      <c r="H4238" s="3">
        <v>3.8109916666665425E-2</v>
      </c>
    </row>
    <row r="4239" spans="7:8" x14ac:dyDescent="0.3">
      <c r="G4239" s="15">
        <v>11.761111111111111</v>
      </c>
      <c r="H4239" s="3">
        <v>3.8110722222220977E-2</v>
      </c>
    </row>
    <row r="4240" spans="7:8" x14ac:dyDescent="0.3">
      <c r="G4240" s="15">
        <v>11.763888888888889</v>
      </c>
      <c r="H4240" s="3">
        <v>3.811152777777653E-2</v>
      </c>
    </row>
    <row r="4241" spans="7:8" x14ac:dyDescent="0.3">
      <c r="G4241" s="15">
        <v>11.766666666666667</v>
      </c>
      <c r="H4241" s="3">
        <v>3.8112333333332089E-2</v>
      </c>
    </row>
    <row r="4242" spans="7:8" x14ac:dyDescent="0.3">
      <c r="G4242" s="15">
        <v>11.769444444444444</v>
      </c>
      <c r="H4242" s="3">
        <v>3.8113138888887649E-2</v>
      </c>
    </row>
    <row r="4243" spans="7:8" x14ac:dyDescent="0.3">
      <c r="G4243" s="15">
        <v>11.772222222222222</v>
      </c>
      <c r="H4243" s="3">
        <v>3.8113944444443201E-2</v>
      </c>
    </row>
    <row r="4244" spans="7:8" x14ac:dyDescent="0.3">
      <c r="G4244" s="15">
        <v>11.775</v>
      </c>
      <c r="H4244" s="3">
        <v>3.8114749999998754E-2</v>
      </c>
    </row>
    <row r="4245" spans="7:8" x14ac:dyDescent="0.3">
      <c r="G4245" s="15">
        <v>11.777777777777779</v>
      </c>
      <c r="H4245" s="3">
        <v>3.8115555555554313E-2</v>
      </c>
    </row>
    <row r="4246" spans="7:8" x14ac:dyDescent="0.3">
      <c r="G4246" s="15">
        <v>11.780555555555555</v>
      </c>
      <c r="H4246" s="3">
        <v>3.8116361111109873E-2</v>
      </c>
    </row>
    <row r="4247" spans="7:8" x14ac:dyDescent="0.3">
      <c r="G4247" s="15">
        <v>11.783333333333333</v>
      </c>
      <c r="H4247" s="3">
        <v>3.8117166666665425E-2</v>
      </c>
    </row>
    <row r="4248" spans="7:8" x14ac:dyDescent="0.3">
      <c r="G4248" s="15">
        <v>11.786111111111111</v>
      </c>
      <c r="H4248" s="3">
        <v>3.8117972222220978E-2</v>
      </c>
    </row>
    <row r="4249" spans="7:8" x14ac:dyDescent="0.3">
      <c r="G4249" s="15">
        <v>11.78888888888889</v>
      </c>
      <c r="H4249" s="3">
        <v>3.8118777777776537E-2</v>
      </c>
    </row>
    <row r="4250" spans="7:8" x14ac:dyDescent="0.3">
      <c r="G4250" s="15">
        <v>11.791666666666666</v>
      </c>
      <c r="H4250" s="3">
        <v>3.8119583333332097E-2</v>
      </c>
    </row>
    <row r="4251" spans="7:8" x14ac:dyDescent="0.3">
      <c r="G4251" s="15">
        <v>11.794444444444444</v>
      </c>
      <c r="H4251" s="3">
        <v>3.8120388888887649E-2</v>
      </c>
    </row>
    <row r="4252" spans="7:8" x14ac:dyDescent="0.3">
      <c r="G4252" s="15">
        <v>11.797222222222222</v>
      </c>
      <c r="H4252" s="3">
        <v>3.8121194444443202E-2</v>
      </c>
    </row>
    <row r="4253" spans="7:8" x14ac:dyDescent="0.3">
      <c r="G4253" s="15">
        <v>11.8</v>
      </c>
      <c r="H4253" s="3">
        <v>3.8121999999998761E-2</v>
      </c>
    </row>
    <row r="4254" spans="7:8" x14ac:dyDescent="0.3">
      <c r="G4254" s="15">
        <v>11.802777777777777</v>
      </c>
      <c r="H4254" s="3">
        <v>3.812280555555432E-2</v>
      </c>
    </row>
    <row r="4255" spans="7:8" x14ac:dyDescent="0.3">
      <c r="G4255" s="15">
        <v>11.805555555555555</v>
      </c>
      <c r="H4255" s="3">
        <v>3.8123611111109873E-2</v>
      </c>
    </row>
    <row r="4256" spans="7:8" x14ac:dyDescent="0.3">
      <c r="G4256" s="15">
        <v>11.808333333333334</v>
      </c>
      <c r="H4256" s="3">
        <v>3.8124416666665426E-2</v>
      </c>
    </row>
    <row r="4257" spans="7:8" x14ac:dyDescent="0.3">
      <c r="G4257" s="15">
        <v>11.811111111111112</v>
      </c>
      <c r="H4257" s="3">
        <v>3.8125222222220985E-2</v>
      </c>
    </row>
    <row r="4258" spans="7:8" x14ac:dyDescent="0.3">
      <c r="G4258" s="15">
        <v>11.813888888888888</v>
      </c>
      <c r="H4258" s="3">
        <v>3.8126027777776544E-2</v>
      </c>
    </row>
    <row r="4259" spans="7:8" x14ac:dyDescent="0.3">
      <c r="G4259" s="15">
        <v>11.816666666666666</v>
      </c>
      <c r="H4259" s="3">
        <v>3.8126833333332097E-2</v>
      </c>
    </row>
    <row r="4260" spans="7:8" x14ac:dyDescent="0.3">
      <c r="G4260" s="15">
        <v>11.819444444444445</v>
      </c>
      <c r="H4260" s="3">
        <v>3.8127638888887649E-2</v>
      </c>
    </row>
    <row r="4261" spans="7:8" x14ac:dyDescent="0.3">
      <c r="G4261" s="15">
        <v>11.822222222222223</v>
      </c>
      <c r="H4261" s="3">
        <v>3.8128444444443209E-2</v>
      </c>
    </row>
    <row r="4262" spans="7:8" x14ac:dyDescent="0.3">
      <c r="G4262" s="15">
        <v>11.824999999999999</v>
      </c>
      <c r="H4262" s="3">
        <v>3.8129249999998768E-2</v>
      </c>
    </row>
    <row r="4263" spans="7:8" x14ac:dyDescent="0.3">
      <c r="G4263" s="15">
        <v>11.827777777777778</v>
      </c>
      <c r="H4263" s="3">
        <v>3.8130055555554321E-2</v>
      </c>
    </row>
    <row r="4264" spans="7:8" x14ac:dyDescent="0.3">
      <c r="G4264" s="15">
        <v>11.830555555555556</v>
      </c>
      <c r="H4264" s="3">
        <v>3.8130861111109873E-2</v>
      </c>
    </row>
    <row r="4265" spans="7:8" x14ac:dyDescent="0.3">
      <c r="G4265" s="15">
        <v>11.833333333333334</v>
      </c>
      <c r="H4265" s="3">
        <v>3.8131666666665433E-2</v>
      </c>
    </row>
    <row r="4266" spans="7:8" x14ac:dyDescent="0.3">
      <c r="G4266" s="15">
        <v>11.83611111111111</v>
      </c>
      <c r="H4266" s="3">
        <v>3.8132472222220992E-2</v>
      </c>
    </row>
    <row r="4267" spans="7:8" x14ac:dyDescent="0.3">
      <c r="G4267" s="15">
        <v>11.838888888888889</v>
      </c>
      <c r="H4267" s="3">
        <v>3.8133277777776545E-2</v>
      </c>
    </row>
    <row r="4268" spans="7:8" x14ac:dyDescent="0.3">
      <c r="G4268" s="15">
        <v>11.841666666666667</v>
      </c>
      <c r="H4268" s="3">
        <v>3.8134083333332097E-2</v>
      </c>
    </row>
    <row r="4269" spans="7:8" x14ac:dyDescent="0.3">
      <c r="G4269" s="15">
        <v>11.844444444444445</v>
      </c>
      <c r="H4269" s="3">
        <v>3.8134888888887657E-2</v>
      </c>
    </row>
    <row r="4270" spans="7:8" x14ac:dyDescent="0.3">
      <c r="G4270" s="15">
        <v>11.847222222222221</v>
      </c>
      <c r="H4270" s="3">
        <v>3.8135694444443216E-2</v>
      </c>
    </row>
    <row r="4271" spans="7:8" x14ac:dyDescent="0.3">
      <c r="G4271" s="15">
        <v>11.85</v>
      </c>
      <c r="H4271" s="3">
        <v>3.8136499999998769E-2</v>
      </c>
    </row>
    <row r="4272" spans="7:8" x14ac:dyDescent="0.3">
      <c r="G4272" s="15">
        <v>11.852777777777778</v>
      </c>
      <c r="H4272" s="3">
        <v>3.8137305555554321E-2</v>
      </c>
    </row>
    <row r="4273" spans="7:8" x14ac:dyDescent="0.3">
      <c r="G4273" s="15">
        <v>11.855555555555556</v>
      </c>
      <c r="H4273" s="3">
        <v>3.8138111111109881E-2</v>
      </c>
    </row>
    <row r="4274" spans="7:8" x14ac:dyDescent="0.3">
      <c r="G4274" s="15">
        <v>11.858333333333333</v>
      </c>
      <c r="H4274" s="3">
        <v>3.813891666666544E-2</v>
      </c>
    </row>
    <row r="4275" spans="7:8" x14ac:dyDescent="0.3">
      <c r="G4275" s="15">
        <v>11.861111111111111</v>
      </c>
      <c r="H4275" s="3">
        <v>3.8139722222220993E-2</v>
      </c>
    </row>
    <row r="4276" spans="7:8" x14ac:dyDescent="0.3">
      <c r="G4276" s="15">
        <v>11.863888888888889</v>
      </c>
      <c r="H4276" s="3">
        <v>3.8140527777776545E-2</v>
      </c>
    </row>
    <row r="4277" spans="7:8" x14ac:dyDescent="0.3">
      <c r="G4277" s="15">
        <v>11.866666666666667</v>
      </c>
      <c r="H4277" s="3">
        <v>3.8141333333332104E-2</v>
      </c>
    </row>
    <row r="4278" spans="7:8" x14ac:dyDescent="0.3">
      <c r="G4278" s="15">
        <v>11.869444444444444</v>
      </c>
      <c r="H4278" s="3">
        <v>3.8142138888887664E-2</v>
      </c>
    </row>
    <row r="4279" spans="7:8" x14ac:dyDescent="0.3">
      <c r="G4279" s="15">
        <v>11.872222222222222</v>
      </c>
      <c r="H4279" s="3">
        <v>3.8142944444443216E-2</v>
      </c>
    </row>
    <row r="4280" spans="7:8" x14ac:dyDescent="0.3">
      <c r="G4280" s="15">
        <v>11.875</v>
      </c>
      <c r="H4280" s="3">
        <v>3.8143749999998769E-2</v>
      </c>
    </row>
    <row r="4281" spans="7:8" x14ac:dyDescent="0.3">
      <c r="G4281" s="15">
        <v>11.877777777777778</v>
      </c>
      <c r="H4281" s="3">
        <v>3.8144555555554328E-2</v>
      </c>
    </row>
    <row r="4282" spans="7:8" x14ac:dyDescent="0.3">
      <c r="G4282" s="15">
        <v>11.880555555555556</v>
      </c>
      <c r="H4282" s="3">
        <v>3.8145361111109888E-2</v>
      </c>
    </row>
    <row r="4283" spans="7:8" x14ac:dyDescent="0.3">
      <c r="G4283" s="15">
        <v>11.883333333333333</v>
      </c>
      <c r="H4283" s="3">
        <v>3.814616666666544E-2</v>
      </c>
    </row>
    <row r="4284" spans="7:8" x14ac:dyDescent="0.3">
      <c r="G4284" s="15">
        <v>11.886111111111111</v>
      </c>
      <c r="H4284" s="3">
        <v>3.8146972222220993E-2</v>
      </c>
    </row>
    <row r="4285" spans="7:8" x14ac:dyDescent="0.3">
      <c r="G4285" s="15">
        <v>11.888888888888889</v>
      </c>
      <c r="H4285" s="3">
        <v>3.8147777777776552E-2</v>
      </c>
    </row>
    <row r="4286" spans="7:8" x14ac:dyDescent="0.3">
      <c r="G4286" s="15">
        <v>11.891666666666667</v>
      </c>
      <c r="H4286" s="3">
        <v>3.8148583333332112E-2</v>
      </c>
    </row>
    <row r="4287" spans="7:8" x14ac:dyDescent="0.3">
      <c r="G4287" s="15">
        <v>11.894444444444444</v>
      </c>
      <c r="H4287" s="3">
        <v>3.8149388888887664E-2</v>
      </c>
    </row>
    <row r="4288" spans="7:8" x14ac:dyDescent="0.3">
      <c r="G4288" s="15">
        <v>11.897222222222222</v>
      </c>
      <c r="H4288" s="3">
        <v>3.8150194444443217E-2</v>
      </c>
    </row>
    <row r="4289" spans="7:8" x14ac:dyDescent="0.3">
      <c r="G4289" s="15">
        <v>11.9</v>
      </c>
      <c r="H4289" s="3">
        <v>3.8150999999998776E-2</v>
      </c>
    </row>
    <row r="4290" spans="7:8" x14ac:dyDescent="0.3">
      <c r="G4290" s="15">
        <v>11.902777777777779</v>
      </c>
      <c r="H4290" s="3">
        <v>3.8151805555554336E-2</v>
      </c>
    </row>
    <row r="4291" spans="7:8" x14ac:dyDescent="0.3">
      <c r="G4291" s="15">
        <v>11.905555555555555</v>
      </c>
      <c r="H4291" s="3">
        <v>3.8152611111109888E-2</v>
      </c>
    </row>
    <row r="4292" spans="7:8" x14ac:dyDescent="0.3">
      <c r="G4292" s="15">
        <v>11.908333333333333</v>
      </c>
      <c r="H4292" s="3">
        <v>3.8153416666665441E-2</v>
      </c>
    </row>
    <row r="4293" spans="7:8" x14ac:dyDescent="0.3">
      <c r="G4293" s="15">
        <v>11.911111111111111</v>
      </c>
      <c r="H4293" s="3">
        <v>3.8154222222221E-2</v>
      </c>
    </row>
    <row r="4294" spans="7:8" x14ac:dyDescent="0.3">
      <c r="G4294" s="15">
        <v>11.91388888888889</v>
      </c>
      <c r="H4294" s="3">
        <v>3.815502777777656E-2</v>
      </c>
    </row>
    <row r="4295" spans="7:8" x14ac:dyDescent="0.3">
      <c r="G4295" s="15">
        <v>11.916666666666666</v>
      </c>
      <c r="H4295" s="3">
        <v>3.8155833333332112E-2</v>
      </c>
    </row>
    <row r="4296" spans="7:8" x14ac:dyDescent="0.3">
      <c r="G4296" s="15">
        <v>11.919444444444444</v>
      </c>
      <c r="H4296" s="3">
        <v>3.8156638888887665E-2</v>
      </c>
    </row>
    <row r="4297" spans="7:8" x14ac:dyDescent="0.3">
      <c r="G4297" s="15">
        <v>11.922222222222222</v>
      </c>
      <c r="H4297" s="3">
        <v>3.8157444444443224E-2</v>
      </c>
    </row>
    <row r="4298" spans="7:8" x14ac:dyDescent="0.3">
      <c r="G4298" s="15">
        <v>11.925000000000001</v>
      </c>
      <c r="H4298" s="3">
        <v>3.8158249999998783E-2</v>
      </c>
    </row>
    <row r="4299" spans="7:8" x14ac:dyDescent="0.3">
      <c r="G4299" s="15">
        <v>11.927777777777777</v>
      </c>
      <c r="H4299" s="3">
        <v>3.8159055555554336E-2</v>
      </c>
    </row>
    <row r="4300" spans="7:8" x14ac:dyDescent="0.3">
      <c r="G4300" s="15">
        <v>11.930555555555555</v>
      </c>
      <c r="H4300" s="3">
        <v>3.8159861111109888E-2</v>
      </c>
    </row>
    <row r="4301" spans="7:8" x14ac:dyDescent="0.3">
      <c r="G4301" s="15">
        <v>11.933333333333334</v>
      </c>
      <c r="H4301" s="3">
        <v>3.8160666666665448E-2</v>
      </c>
    </row>
    <row r="4302" spans="7:8" x14ac:dyDescent="0.3">
      <c r="G4302" s="15">
        <v>11.936111111111112</v>
      </c>
      <c r="H4302" s="3">
        <v>3.8161472222221007E-2</v>
      </c>
    </row>
    <row r="4303" spans="7:8" x14ac:dyDescent="0.3">
      <c r="G4303" s="15">
        <v>11.938888888888888</v>
      </c>
      <c r="H4303" s="3">
        <v>3.816227777777656E-2</v>
      </c>
    </row>
    <row r="4304" spans="7:8" x14ac:dyDescent="0.3">
      <c r="G4304" s="15">
        <v>11.941666666666666</v>
      </c>
      <c r="H4304" s="3">
        <v>3.8163083333332112E-2</v>
      </c>
    </row>
    <row r="4305" spans="7:8" x14ac:dyDescent="0.3">
      <c r="G4305" s="15">
        <v>11.944444444444445</v>
      </c>
      <c r="H4305" s="3">
        <v>3.8163888888887672E-2</v>
      </c>
    </row>
    <row r="4306" spans="7:8" x14ac:dyDescent="0.3">
      <c r="G4306" s="15">
        <v>11.947222222222223</v>
      </c>
      <c r="H4306" s="3">
        <v>3.8164694444443231E-2</v>
      </c>
    </row>
    <row r="4307" spans="7:8" x14ac:dyDescent="0.3">
      <c r="G4307" s="15">
        <v>11.95</v>
      </c>
      <c r="H4307" s="3">
        <v>3.8165499999998784E-2</v>
      </c>
    </row>
    <row r="4308" spans="7:8" x14ac:dyDescent="0.3">
      <c r="G4308" s="15">
        <v>11.952777777777778</v>
      </c>
      <c r="H4308" s="3">
        <v>3.8166305555554336E-2</v>
      </c>
    </row>
    <row r="4309" spans="7:8" x14ac:dyDescent="0.3">
      <c r="G4309" s="15">
        <v>11.955555555555556</v>
      </c>
      <c r="H4309" s="3">
        <v>3.8167111111109896E-2</v>
      </c>
    </row>
    <row r="4310" spans="7:8" x14ac:dyDescent="0.3">
      <c r="G4310" s="15">
        <v>11.958333333333334</v>
      </c>
      <c r="H4310" s="3">
        <v>3.8167916666665455E-2</v>
      </c>
    </row>
    <row r="4311" spans="7:8" x14ac:dyDescent="0.3">
      <c r="G4311" s="15">
        <v>11.96111111111111</v>
      </c>
      <c r="H4311" s="3">
        <v>3.8168722222221008E-2</v>
      </c>
    </row>
    <row r="4312" spans="7:8" x14ac:dyDescent="0.3">
      <c r="G4312" s="15">
        <v>11.963888888888889</v>
      </c>
      <c r="H4312" s="3">
        <v>3.816952777777656E-2</v>
      </c>
    </row>
    <row r="4313" spans="7:8" x14ac:dyDescent="0.3">
      <c r="G4313" s="15">
        <v>11.966666666666667</v>
      </c>
      <c r="H4313" s="3">
        <v>3.817033333333212E-2</v>
      </c>
    </row>
    <row r="4314" spans="7:8" x14ac:dyDescent="0.3">
      <c r="G4314" s="15">
        <v>11.969444444444445</v>
      </c>
      <c r="H4314" s="3">
        <v>3.8171138888887679E-2</v>
      </c>
    </row>
    <row r="4315" spans="7:8" x14ac:dyDescent="0.3">
      <c r="G4315" s="15">
        <v>11.972222222222221</v>
      </c>
      <c r="H4315" s="3">
        <v>3.8171944444443232E-2</v>
      </c>
    </row>
    <row r="4316" spans="7:8" x14ac:dyDescent="0.3">
      <c r="G4316" s="15">
        <v>11.975</v>
      </c>
      <c r="H4316" s="3">
        <v>3.8172749999998784E-2</v>
      </c>
    </row>
    <row r="4317" spans="7:8" x14ac:dyDescent="0.3">
      <c r="G4317" s="15">
        <v>11.977777777777778</v>
      </c>
      <c r="H4317" s="3">
        <v>3.8173555555554343E-2</v>
      </c>
    </row>
    <row r="4318" spans="7:8" x14ac:dyDescent="0.3">
      <c r="G4318" s="15">
        <v>11.980555555555556</v>
      </c>
      <c r="H4318" s="3">
        <v>3.8174361111109903E-2</v>
      </c>
    </row>
    <row r="4319" spans="7:8" x14ac:dyDescent="0.3">
      <c r="G4319" s="15">
        <v>11.983333333333333</v>
      </c>
      <c r="H4319" s="3">
        <v>3.8175166666665455E-2</v>
      </c>
    </row>
    <row r="4320" spans="7:8" x14ac:dyDescent="0.3">
      <c r="G4320" s="15">
        <v>11.986111111111111</v>
      </c>
      <c r="H4320" s="3">
        <v>3.8175972222221008E-2</v>
      </c>
    </row>
    <row r="4321" spans="7:8" x14ac:dyDescent="0.3">
      <c r="G4321" s="15">
        <v>11.988888888888889</v>
      </c>
      <c r="H4321" s="3">
        <v>3.8176777777776567E-2</v>
      </c>
    </row>
    <row r="4322" spans="7:8" x14ac:dyDescent="0.3">
      <c r="G4322" s="15">
        <v>11.991666666666667</v>
      </c>
      <c r="H4322" s="3">
        <v>3.8177583333332127E-2</v>
      </c>
    </row>
    <row r="4323" spans="7:8" x14ac:dyDescent="0.3">
      <c r="G4323" s="15">
        <v>11.994444444444444</v>
      </c>
      <c r="H4323" s="3">
        <v>3.8178388888887679E-2</v>
      </c>
    </row>
    <row r="4324" spans="7:8" x14ac:dyDescent="0.3">
      <c r="G4324" s="15">
        <v>11.997222222222222</v>
      </c>
      <c r="H4324" s="3">
        <v>3.8179194444443232E-2</v>
      </c>
    </row>
    <row r="4325" spans="7:8" x14ac:dyDescent="0.3">
      <c r="G4325" s="15">
        <v>12</v>
      </c>
      <c r="H4325" s="3">
        <v>3.8179999999998791E-2</v>
      </c>
    </row>
    <row r="4326" spans="7:8" x14ac:dyDescent="0.3">
      <c r="G4326" s="15">
        <v>12.002777777777778</v>
      </c>
      <c r="H4326" s="3">
        <v>3.8180805555554351E-2</v>
      </c>
    </row>
    <row r="4327" spans="7:8" x14ac:dyDescent="0.3">
      <c r="G4327" s="15">
        <v>12.005555555555556</v>
      </c>
      <c r="H4327" s="3">
        <v>3.8181611111109903E-2</v>
      </c>
    </row>
    <row r="4328" spans="7:8" x14ac:dyDescent="0.3">
      <c r="G4328" s="15">
        <v>12.008333333333333</v>
      </c>
      <c r="H4328" s="3">
        <v>3.8182416666665456E-2</v>
      </c>
    </row>
    <row r="4329" spans="7:8" x14ac:dyDescent="0.3">
      <c r="G4329" s="15">
        <v>12.011111111111111</v>
      </c>
      <c r="H4329" s="3">
        <v>3.8183222222221015E-2</v>
      </c>
    </row>
    <row r="4330" spans="7:8" x14ac:dyDescent="0.3">
      <c r="G4330" s="15">
        <v>12.013888888888889</v>
      </c>
      <c r="H4330" s="3">
        <v>3.8184027777776575E-2</v>
      </c>
    </row>
    <row r="4331" spans="7:8" x14ac:dyDescent="0.3">
      <c r="G4331" s="15">
        <v>12.016666666666667</v>
      </c>
      <c r="H4331" s="3">
        <v>3.8184833333332127E-2</v>
      </c>
    </row>
    <row r="4332" spans="7:8" x14ac:dyDescent="0.3">
      <c r="G4332" s="15">
        <v>12.019444444444444</v>
      </c>
      <c r="H4332" s="3">
        <v>3.818563888888768E-2</v>
      </c>
    </row>
    <row r="4333" spans="7:8" x14ac:dyDescent="0.3">
      <c r="G4333" s="15">
        <v>12.022222222222222</v>
      </c>
      <c r="H4333" s="3">
        <v>3.8186444444443239E-2</v>
      </c>
    </row>
    <row r="4334" spans="7:8" x14ac:dyDescent="0.3">
      <c r="G4334" s="15">
        <v>12.025</v>
      </c>
      <c r="H4334" s="3">
        <v>3.8187249999998799E-2</v>
      </c>
    </row>
    <row r="4335" spans="7:8" x14ac:dyDescent="0.3">
      <c r="G4335" s="15">
        <v>12.027777777777779</v>
      </c>
      <c r="H4335" s="3">
        <v>3.8188055555554351E-2</v>
      </c>
    </row>
    <row r="4336" spans="7:8" x14ac:dyDescent="0.3">
      <c r="G4336" s="15">
        <v>12.030555555555555</v>
      </c>
      <c r="H4336" s="3">
        <v>3.8188861111109904E-2</v>
      </c>
    </row>
    <row r="4337" spans="7:8" x14ac:dyDescent="0.3">
      <c r="G4337" s="15">
        <v>12.033333333333333</v>
      </c>
      <c r="H4337" s="3">
        <v>3.8189666666665463E-2</v>
      </c>
    </row>
    <row r="4338" spans="7:8" x14ac:dyDescent="0.3">
      <c r="G4338" s="15">
        <v>12.036111111111111</v>
      </c>
      <c r="H4338" s="3">
        <v>3.8190472222221022E-2</v>
      </c>
    </row>
    <row r="4339" spans="7:8" x14ac:dyDescent="0.3">
      <c r="G4339" s="15">
        <v>12.03888888888889</v>
      </c>
      <c r="H4339" s="3">
        <v>3.8191277777776575E-2</v>
      </c>
    </row>
    <row r="4340" spans="7:8" x14ac:dyDescent="0.3">
      <c r="G4340" s="15">
        <v>12.041666666666666</v>
      </c>
      <c r="H4340" s="3">
        <v>3.8192083333332127E-2</v>
      </c>
    </row>
    <row r="4341" spans="7:8" x14ac:dyDescent="0.3">
      <c r="G4341" s="15">
        <v>12.044444444444444</v>
      </c>
      <c r="H4341" s="3">
        <v>3.8192888888887687E-2</v>
      </c>
    </row>
    <row r="4342" spans="7:8" x14ac:dyDescent="0.3">
      <c r="G4342" s="15">
        <v>12.047222222222222</v>
      </c>
      <c r="H4342" s="3">
        <v>3.8193694444443246E-2</v>
      </c>
    </row>
    <row r="4343" spans="7:8" x14ac:dyDescent="0.3">
      <c r="G4343" s="15">
        <v>12.05</v>
      </c>
      <c r="H4343" s="3">
        <v>3.8194499999998799E-2</v>
      </c>
    </row>
    <row r="4344" spans="7:8" x14ac:dyDescent="0.3">
      <c r="G4344" s="15">
        <v>12.052777777777777</v>
      </c>
      <c r="H4344" s="3">
        <v>3.8195305555554351E-2</v>
      </c>
    </row>
    <row r="4345" spans="7:8" x14ac:dyDescent="0.3">
      <c r="G4345" s="15">
        <v>12.055555555555555</v>
      </c>
      <c r="H4345" s="3">
        <v>3.8196111111109911E-2</v>
      </c>
    </row>
    <row r="4346" spans="7:8" x14ac:dyDescent="0.3">
      <c r="G4346" s="15">
        <v>12.058333333333334</v>
      </c>
      <c r="H4346" s="3">
        <v>3.819691666666547E-2</v>
      </c>
    </row>
    <row r="4347" spans="7:8" x14ac:dyDescent="0.3">
      <c r="G4347" s="15">
        <v>12.061111111111112</v>
      </c>
      <c r="H4347" s="3">
        <v>3.8197722222221023E-2</v>
      </c>
    </row>
    <row r="4348" spans="7:8" x14ac:dyDescent="0.3">
      <c r="G4348" s="15">
        <v>12.063888888888888</v>
      </c>
      <c r="H4348" s="3">
        <v>3.8198527777776575E-2</v>
      </c>
    </row>
    <row r="4349" spans="7:8" x14ac:dyDescent="0.3">
      <c r="G4349" s="15">
        <v>12.066666666666666</v>
      </c>
      <c r="H4349" s="3">
        <v>3.8199333333332135E-2</v>
      </c>
    </row>
    <row r="4350" spans="7:8" x14ac:dyDescent="0.3">
      <c r="G4350" s="15">
        <v>12.069444444444445</v>
      </c>
      <c r="H4350" s="3">
        <v>3.8200138888887694E-2</v>
      </c>
    </row>
    <row r="4351" spans="7:8" x14ac:dyDescent="0.3">
      <c r="G4351" s="15">
        <v>12.072222222222223</v>
      </c>
      <c r="H4351" s="3">
        <v>3.8200944444443247E-2</v>
      </c>
    </row>
    <row r="4352" spans="7:8" x14ac:dyDescent="0.3">
      <c r="G4352" s="15">
        <v>12.074999999999999</v>
      </c>
      <c r="H4352" s="3">
        <v>3.8201749999998799E-2</v>
      </c>
    </row>
    <row r="4353" spans="7:8" x14ac:dyDescent="0.3">
      <c r="G4353" s="15">
        <v>12.077777777777778</v>
      </c>
      <c r="H4353" s="3">
        <v>3.8202555555554359E-2</v>
      </c>
    </row>
    <row r="4354" spans="7:8" x14ac:dyDescent="0.3">
      <c r="G4354" s="15">
        <v>12.080555555555556</v>
      </c>
      <c r="H4354" s="3">
        <v>3.8203361111109918E-2</v>
      </c>
    </row>
    <row r="4355" spans="7:8" x14ac:dyDescent="0.3">
      <c r="G4355" s="15">
        <v>12.083333333333334</v>
      </c>
      <c r="H4355" s="3">
        <v>3.8204166666665471E-2</v>
      </c>
    </row>
    <row r="4356" spans="7:8" x14ac:dyDescent="0.3">
      <c r="G4356" s="15">
        <v>12.08611111111111</v>
      </c>
      <c r="H4356" s="3">
        <v>3.8204972222221023E-2</v>
      </c>
    </row>
    <row r="4357" spans="7:8" x14ac:dyDescent="0.3">
      <c r="G4357" s="15">
        <v>12.088888888888889</v>
      </c>
      <c r="H4357" s="3">
        <v>3.8205777777776583E-2</v>
      </c>
    </row>
    <row r="4358" spans="7:8" x14ac:dyDescent="0.3">
      <c r="G4358" s="15">
        <v>12.091666666666667</v>
      </c>
      <c r="H4358" s="3">
        <v>3.8206583333332142E-2</v>
      </c>
    </row>
    <row r="4359" spans="7:8" x14ac:dyDescent="0.3">
      <c r="G4359" s="15">
        <v>12.094444444444445</v>
      </c>
      <c r="H4359" s="3">
        <v>3.8207388888887694E-2</v>
      </c>
    </row>
    <row r="4360" spans="7:8" x14ac:dyDescent="0.3">
      <c r="G4360" s="15">
        <v>12.097222222222221</v>
      </c>
      <c r="H4360" s="3">
        <v>3.8208194444443247E-2</v>
      </c>
    </row>
    <row r="4361" spans="7:8" x14ac:dyDescent="0.3">
      <c r="G4361" s="15">
        <v>12.1</v>
      </c>
      <c r="H4361" s="3">
        <v>3.8208999999998806E-2</v>
      </c>
    </row>
    <row r="4362" spans="7:8" x14ac:dyDescent="0.3">
      <c r="G4362" s="15">
        <v>12.102777777777778</v>
      </c>
      <c r="H4362" s="3">
        <v>3.8209805555554366E-2</v>
      </c>
    </row>
    <row r="4363" spans="7:8" x14ac:dyDescent="0.3">
      <c r="G4363" s="15">
        <v>12.105555555555556</v>
      </c>
      <c r="H4363" s="3">
        <v>3.8210611111109918E-2</v>
      </c>
    </row>
    <row r="4364" spans="7:8" x14ac:dyDescent="0.3">
      <c r="G4364" s="15">
        <v>12.108333333333333</v>
      </c>
      <c r="H4364" s="3">
        <v>3.8211416666665471E-2</v>
      </c>
    </row>
    <row r="4365" spans="7:8" x14ac:dyDescent="0.3">
      <c r="G4365" s="15">
        <v>12.111111111111111</v>
      </c>
      <c r="H4365" s="3">
        <v>3.821222222222103E-2</v>
      </c>
    </row>
    <row r="4366" spans="7:8" x14ac:dyDescent="0.3">
      <c r="G4366" s="15">
        <v>12.113888888888889</v>
      </c>
      <c r="H4366" s="3">
        <v>3.821302777777659E-2</v>
      </c>
    </row>
    <row r="4367" spans="7:8" x14ac:dyDescent="0.3">
      <c r="G4367" s="15">
        <v>12.116666666666667</v>
      </c>
      <c r="H4367" s="3">
        <v>3.8213833333332142E-2</v>
      </c>
    </row>
    <row r="4368" spans="7:8" x14ac:dyDescent="0.3">
      <c r="G4368" s="15">
        <v>12.119444444444444</v>
      </c>
      <c r="H4368" s="3">
        <v>3.8214638888887695E-2</v>
      </c>
    </row>
    <row r="4369" spans="7:8" x14ac:dyDescent="0.3">
      <c r="G4369" s="15">
        <v>12.122222222222222</v>
      </c>
      <c r="H4369" s="3">
        <v>3.8215444444443254E-2</v>
      </c>
    </row>
    <row r="4370" spans="7:8" x14ac:dyDescent="0.3">
      <c r="G4370" s="15">
        <v>12.125</v>
      </c>
      <c r="H4370" s="3">
        <v>3.8216249999998814E-2</v>
      </c>
    </row>
    <row r="4371" spans="7:8" x14ac:dyDescent="0.3">
      <c r="G4371" s="15">
        <v>12.127777777777778</v>
      </c>
      <c r="H4371" s="3">
        <v>3.8217055555554366E-2</v>
      </c>
    </row>
    <row r="4372" spans="7:8" x14ac:dyDescent="0.3">
      <c r="G4372" s="15">
        <v>12.130555555555556</v>
      </c>
      <c r="H4372" s="3">
        <v>3.8217861111109919E-2</v>
      </c>
    </row>
    <row r="4373" spans="7:8" x14ac:dyDescent="0.3">
      <c r="G4373" s="15">
        <v>12.133333333333333</v>
      </c>
      <c r="H4373" s="3">
        <v>3.8218666666665478E-2</v>
      </c>
    </row>
    <row r="4374" spans="7:8" x14ac:dyDescent="0.3">
      <c r="G4374" s="15">
        <v>12.136111111111111</v>
      </c>
      <c r="H4374" s="3">
        <v>3.8219472222221038E-2</v>
      </c>
    </row>
    <row r="4375" spans="7:8" x14ac:dyDescent="0.3">
      <c r="G4375" s="15">
        <v>12.138888888888889</v>
      </c>
      <c r="H4375" s="3">
        <v>3.822027777777659E-2</v>
      </c>
    </row>
    <row r="4376" spans="7:8" x14ac:dyDescent="0.3">
      <c r="G4376" s="15">
        <v>12.141666666666667</v>
      </c>
      <c r="H4376" s="3">
        <v>3.8221083333332143E-2</v>
      </c>
    </row>
    <row r="4377" spans="7:8" x14ac:dyDescent="0.3">
      <c r="G4377" s="15">
        <v>12.144444444444444</v>
      </c>
      <c r="H4377" s="3">
        <v>3.8221888888887702E-2</v>
      </c>
    </row>
    <row r="4378" spans="7:8" x14ac:dyDescent="0.3">
      <c r="G4378" s="15">
        <v>12.147222222222222</v>
      </c>
      <c r="H4378" s="3">
        <v>3.8222694444443261E-2</v>
      </c>
    </row>
    <row r="4379" spans="7:8" x14ac:dyDescent="0.3">
      <c r="G4379" s="15">
        <v>12.15</v>
      </c>
      <c r="H4379" s="3">
        <v>3.8223499999998814E-2</v>
      </c>
    </row>
    <row r="4380" spans="7:8" x14ac:dyDescent="0.3">
      <c r="G4380" s="15">
        <v>12.152777777777779</v>
      </c>
      <c r="H4380" s="3">
        <v>3.8224305555554366E-2</v>
      </c>
    </row>
    <row r="4381" spans="7:8" x14ac:dyDescent="0.3">
      <c r="G4381" s="15">
        <v>12.155555555555555</v>
      </c>
      <c r="H4381" s="3">
        <v>3.8225111111109926E-2</v>
      </c>
    </row>
    <row r="4382" spans="7:8" x14ac:dyDescent="0.3">
      <c r="G4382" s="15">
        <v>12.158333333333333</v>
      </c>
      <c r="H4382" s="3">
        <v>3.8225916666665485E-2</v>
      </c>
    </row>
    <row r="4383" spans="7:8" x14ac:dyDescent="0.3">
      <c r="G4383" s="15">
        <v>12.161111111111111</v>
      </c>
      <c r="H4383" s="3">
        <v>3.8226722222221038E-2</v>
      </c>
    </row>
    <row r="4384" spans="7:8" x14ac:dyDescent="0.3">
      <c r="G4384" s="15">
        <v>12.16388888888889</v>
      </c>
      <c r="H4384" s="3">
        <v>3.822752777777659E-2</v>
      </c>
    </row>
    <row r="4385" spans="7:8" x14ac:dyDescent="0.3">
      <c r="G4385" s="15">
        <v>12.166666666666666</v>
      </c>
      <c r="H4385" s="3">
        <v>3.822833333333215E-2</v>
      </c>
    </row>
    <row r="4386" spans="7:8" x14ac:dyDescent="0.3">
      <c r="G4386" s="15">
        <v>12.169444444444444</v>
      </c>
      <c r="H4386" s="3">
        <v>3.8229138888887709E-2</v>
      </c>
    </row>
    <row r="4387" spans="7:8" x14ac:dyDescent="0.3">
      <c r="G4387" s="15">
        <v>12.172222222222222</v>
      </c>
      <c r="H4387" s="3">
        <v>3.8229944444443262E-2</v>
      </c>
    </row>
    <row r="4388" spans="7:8" x14ac:dyDescent="0.3">
      <c r="G4388" s="15">
        <v>12.175000000000001</v>
      </c>
      <c r="H4388" s="3">
        <v>3.8230749999998814E-2</v>
      </c>
    </row>
    <row r="4389" spans="7:8" x14ac:dyDescent="0.3">
      <c r="G4389" s="15">
        <v>12.177777777777777</v>
      </c>
      <c r="H4389" s="3">
        <v>3.8231555555554374E-2</v>
      </c>
    </row>
    <row r="4390" spans="7:8" x14ac:dyDescent="0.3">
      <c r="G4390" s="15">
        <v>12.180555555555555</v>
      </c>
      <c r="H4390" s="3">
        <v>3.8232361111109933E-2</v>
      </c>
    </row>
    <row r="4391" spans="7:8" x14ac:dyDescent="0.3">
      <c r="G4391" s="15">
        <v>12.183333333333334</v>
      </c>
      <c r="H4391" s="3">
        <v>3.8233166666665486E-2</v>
      </c>
    </row>
    <row r="4392" spans="7:8" x14ac:dyDescent="0.3">
      <c r="G4392" s="15">
        <v>12.186111111111112</v>
      </c>
      <c r="H4392" s="3">
        <v>3.8233972222221038E-2</v>
      </c>
    </row>
    <row r="4393" spans="7:8" x14ac:dyDescent="0.3">
      <c r="G4393" s="15">
        <v>12.188888888888888</v>
      </c>
      <c r="H4393" s="3">
        <v>3.8234777777776598E-2</v>
      </c>
    </row>
    <row r="4394" spans="7:8" x14ac:dyDescent="0.3">
      <c r="G4394" s="15">
        <v>12.191666666666666</v>
      </c>
      <c r="H4394" s="3">
        <v>3.8235583333332157E-2</v>
      </c>
    </row>
    <row r="4395" spans="7:8" x14ac:dyDescent="0.3">
      <c r="G4395" s="15">
        <v>12.194444444444445</v>
      </c>
      <c r="H4395" s="3">
        <v>3.823638888888771E-2</v>
      </c>
    </row>
    <row r="4396" spans="7:8" x14ac:dyDescent="0.3">
      <c r="G4396" s="15">
        <v>12.197222222222223</v>
      </c>
      <c r="H4396" s="3">
        <v>3.8237194444443262E-2</v>
      </c>
    </row>
    <row r="4397" spans="7:8" x14ac:dyDescent="0.3">
      <c r="G4397" s="15">
        <v>12.2</v>
      </c>
      <c r="H4397" s="3">
        <v>3.8237999999998822E-2</v>
      </c>
    </row>
    <row r="4398" spans="7:8" x14ac:dyDescent="0.3">
      <c r="G4398" s="15">
        <v>12.202777777777778</v>
      </c>
      <c r="H4398" s="3">
        <v>3.8238805555554381E-2</v>
      </c>
    </row>
    <row r="4399" spans="7:8" x14ac:dyDescent="0.3">
      <c r="G4399" s="15">
        <v>12.205555555555556</v>
      </c>
      <c r="H4399" s="3">
        <v>3.8239611111109933E-2</v>
      </c>
    </row>
    <row r="4400" spans="7:8" x14ac:dyDescent="0.3">
      <c r="G4400" s="15">
        <v>12.208333333333334</v>
      </c>
      <c r="H4400" s="3">
        <v>3.8240416666665486E-2</v>
      </c>
    </row>
    <row r="4401" spans="7:8" x14ac:dyDescent="0.3">
      <c r="G4401" s="15">
        <v>12.21111111111111</v>
      </c>
      <c r="H4401" s="3">
        <v>3.8241222222221045E-2</v>
      </c>
    </row>
    <row r="4402" spans="7:8" x14ac:dyDescent="0.3">
      <c r="G4402" s="15">
        <v>12.213888888888889</v>
      </c>
      <c r="H4402" s="3">
        <v>3.8242027777776605E-2</v>
      </c>
    </row>
    <row r="4403" spans="7:8" x14ac:dyDescent="0.3">
      <c r="G4403" s="15">
        <v>12.216666666666667</v>
      </c>
      <c r="H4403" s="3">
        <v>3.8242833333332157E-2</v>
      </c>
    </row>
    <row r="4404" spans="7:8" x14ac:dyDescent="0.3">
      <c r="G4404" s="15">
        <v>12.219444444444445</v>
      </c>
      <c r="H4404" s="3">
        <v>3.824363888888771E-2</v>
      </c>
    </row>
    <row r="4405" spans="7:8" x14ac:dyDescent="0.3">
      <c r="G4405" s="15">
        <v>12.222222222222221</v>
      </c>
      <c r="H4405" s="3">
        <v>3.8244444444443269E-2</v>
      </c>
    </row>
    <row r="4406" spans="7:8" x14ac:dyDescent="0.3">
      <c r="G4406" s="15">
        <v>12.225</v>
      </c>
      <c r="H4406" s="3">
        <v>3.8245249999998829E-2</v>
      </c>
    </row>
    <row r="4407" spans="7:8" x14ac:dyDescent="0.3">
      <c r="G4407" s="15">
        <v>12.227777777777778</v>
      </c>
      <c r="H4407" s="3">
        <v>3.8246055555554381E-2</v>
      </c>
    </row>
    <row r="4408" spans="7:8" x14ac:dyDescent="0.3">
      <c r="G4408" s="15">
        <v>12.230555555555556</v>
      </c>
      <c r="H4408" s="3">
        <v>3.8246861111109934E-2</v>
      </c>
    </row>
    <row r="4409" spans="7:8" x14ac:dyDescent="0.3">
      <c r="G4409" s="15">
        <v>12.233333333333333</v>
      </c>
      <c r="H4409" s="3">
        <v>3.8247666666665493E-2</v>
      </c>
    </row>
    <row r="4410" spans="7:8" x14ac:dyDescent="0.3">
      <c r="G4410" s="15">
        <v>12.236111111111111</v>
      </c>
      <c r="H4410" s="3">
        <v>3.8248472222221053E-2</v>
      </c>
    </row>
    <row r="4411" spans="7:8" x14ac:dyDescent="0.3">
      <c r="G4411" s="15">
        <v>12.238888888888889</v>
      </c>
      <c r="H4411" s="3">
        <v>3.8249277777776605E-2</v>
      </c>
    </row>
    <row r="4412" spans="7:8" x14ac:dyDescent="0.3">
      <c r="G4412" s="15">
        <v>12.241666666666667</v>
      </c>
      <c r="H4412" s="3">
        <v>3.8250083333332158E-2</v>
      </c>
    </row>
    <row r="4413" spans="7:8" x14ac:dyDescent="0.3">
      <c r="G4413" s="15">
        <v>12.244444444444444</v>
      </c>
      <c r="H4413" s="3">
        <v>3.8250888888887717E-2</v>
      </c>
    </row>
    <row r="4414" spans="7:8" x14ac:dyDescent="0.3">
      <c r="G4414" s="15">
        <v>12.247222222222222</v>
      </c>
      <c r="H4414" s="3">
        <v>3.8251694444443277E-2</v>
      </c>
    </row>
    <row r="4415" spans="7:8" x14ac:dyDescent="0.3">
      <c r="G4415" s="15">
        <v>12.25</v>
      </c>
      <c r="H4415" s="3">
        <v>3.8252499999998829E-2</v>
      </c>
    </row>
    <row r="4416" spans="7:8" x14ac:dyDescent="0.3">
      <c r="G4416" s="15">
        <v>12.252777777777778</v>
      </c>
      <c r="H4416" s="3">
        <v>3.8253305555554382E-2</v>
      </c>
    </row>
    <row r="4417" spans="7:8" x14ac:dyDescent="0.3">
      <c r="G4417" s="15">
        <v>12.255555555555556</v>
      </c>
      <c r="H4417" s="3">
        <v>3.8254111111109941E-2</v>
      </c>
    </row>
    <row r="4418" spans="7:8" x14ac:dyDescent="0.3">
      <c r="G4418" s="15">
        <v>12.258333333333333</v>
      </c>
      <c r="H4418" s="3">
        <v>3.8254916666665501E-2</v>
      </c>
    </row>
    <row r="4419" spans="7:8" x14ac:dyDescent="0.3">
      <c r="G4419" s="15">
        <v>12.261111111111111</v>
      </c>
      <c r="H4419" s="3">
        <v>3.8255722222221053E-2</v>
      </c>
    </row>
    <row r="4420" spans="7:8" x14ac:dyDescent="0.3">
      <c r="G4420" s="15">
        <v>12.263888888888889</v>
      </c>
      <c r="H4420" s="3">
        <v>3.8256527777776606E-2</v>
      </c>
    </row>
    <row r="4421" spans="7:8" x14ac:dyDescent="0.3">
      <c r="G4421" s="15">
        <v>12.266666666666667</v>
      </c>
      <c r="H4421" s="3">
        <v>3.8257333333332165E-2</v>
      </c>
    </row>
    <row r="4422" spans="7:8" x14ac:dyDescent="0.3">
      <c r="G4422" s="15">
        <v>12.269444444444444</v>
      </c>
      <c r="H4422" s="3">
        <v>3.8258138888887724E-2</v>
      </c>
    </row>
    <row r="4423" spans="7:8" x14ac:dyDescent="0.3">
      <c r="G4423" s="15">
        <v>12.272222222222222</v>
      </c>
      <c r="H4423" s="3">
        <v>3.8258944444443277E-2</v>
      </c>
    </row>
    <row r="4424" spans="7:8" x14ac:dyDescent="0.3">
      <c r="G4424" s="15">
        <v>12.275</v>
      </c>
      <c r="H4424" s="3">
        <v>3.8259749999998829E-2</v>
      </c>
    </row>
    <row r="4425" spans="7:8" x14ac:dyDescent="0.3">
      <c r="G4425" s="15">
        <v>12.277777777777779</v>
      </c>
      <c r="H4425" s="3">
        <v>3.8260555555554389E-2</v>
      </c>
    </row>
    <row r="4426" spans="7:8" x14ac:dyDescent="0.3">
      <c r="G4426" s="15">
        <v>12.280555555555555</v>
      </c>
      <c r="H4426" s="3">
        <v>3.8261361111109948E-2</v>
      </c>
    </row>
    <row r="4427" spans="7:8" x14ac:dyDescent="0.3">
      <c r="G4427" s="15">
        <v>12.283333333333333</v>
      </c>
      <c r="H4427" s="3">
        <v>3.8262166666665501E-2</v>
      </c>
    </row>
    <row r="4428" spans="7:8" x14ac:dyDescent="0.3">
      <c r="G4428" s="15">
        <v>12.286111111111111</v>
      </c>
      <c r="H4428" s="3">
        <v>3.8262972222221053E-2</v>
      </c>
    </row>
    <row r="4429" spans="7:8" x14ac:dyDescent="0.3">
      <c r="G4429" s="15">
        <v>12.28888888888889</v>
      </c>
      <c r="H4429" s="3">
        <v>3.8263777777776613E-2</v>
      </c>
    </row>
    <row r="4430" spans="7:8" x14ac:dyDescent="0.3">
      <c r="G4430" s="15">
        <v>12.291666666666666</v>
      </c>
      <c r="H4430" s="3">
        <v>3.8264583333332172E-2</v>
      </c>
    </row>
    <row r="4431" spans="7:8" x14ac:dyDescent="0.3">
      <c r="G4431" s="15">
        <v>12.294444444444444</v>
      </c>
      <c r="H4431" s="3">
        <v>3.8265388888887725E-2</v>
      </c>
    </row>
    <row r="4432" spans="7:8" x14ac:dyDescent="0.3">
      <c r="G4432" s="15">
        <v>12.297222222222222</v>
      </c>
      <c r="H4432" s="3">
        <v>3.8266194444443277E-2</v>
      </c>
    </row>
    <row r="4433" spans="7:8" x14ac:dyDescent="0.3">
      <c r="G4433" s="15">
        <v>12.3</v>
      </c>
      <c r="H4433" s="3">
        <v>3.8266999999998837E-2</v>
      </c>
    </row>
    <row r="4434" spans="7:8" x14ac:dyDescent="0.3">
      <c r="G4434" s="15">
        <v>12.302777777777777</v>
      </c>
      <c r="H4434" s="3">
        <v>3.8267805555554396E-2</v>
      </c>
    </row>
    <row r="4435" spans="7:8" x14ac:dyDescent="0.3">
      <c r="G4435" s="15">
        <v>12.305555555555555</v>
      </c>
      <c r="H4435" s="3">
        <v>3.8268611111109949E-2</v>
      </c>
    </row>
    <row r="4436" spans="7:8" x14ac:dyDescent="0.3">
      <c r="G4436" s="15">
        <v>12.308333333333334</v>
      </c>
      <c r="H4436" s="3">
        <v>3.8269416666665501E-2</v>
      </c>
    </row>
    <row r="4437" spans="7:8" x14ac:dyDescent="0.3">
      <c r="G4437" s="15">
        <v>12.311111111111112</v>
      </c>
      <c r="H4437" s="3">
        <v>3.8270222222221061E-2</v>
      </c>
    </row>
    <row r="4438" spans="7:8" x14ac:dyDescent="0.3">
      <c r="G4438" s="15">
        <v>12.313888888888888</v>
      </c>
      <c r="H4438" s="3">
        <v>3.827102777777662E-2</v>
      </c>
    </row>
    <row r="4439" spans="7:8" x14ac:dyDescent="0.3">
      <c r="G4439" s="15">
        <v>12.316666666666666</v>
      </c>
      <c r="H4439" s="3">
        <v>3.8271833333332173E-2</v>
      </c>
    </row>
    <row r="4440" spans="7:8" x14ac:dyDescent="0.3">
      <c r="G4440" s="15">
        <v>12.319444444444445</v>
      </c>
      <c r="H4440" s="3">
        <v>3.8272638888887725E-2</v>
      </c>
    </row>
    <row r="4441" spans="7:8" x14ac:dyDescent="0.3">
      <c r="G4441" s="15">
        <v>12.322222222222223</v>
      </c>
      <c r="H4441" s="3">
        <v>3.8273444444443284E-2</v>
      </c>
    </row>
    <row r="4442" spans="7:8" x14ac:dyDescent="0.3">
      <c r="G4442" s="15">
        <v>12.324999999999999</v>
      </c>
      <c r="H4442" s="3">
        <v>3.8274249999998844E-2</v>
      </c>
    </row>
    <row r="4443" spans="7:8" x14ac:dyDescent="0.3">
      <c r="G4443" s="15">
        <v>12.327777777777778</v>
      </c>
      <c r="H4443" s="3">
        <v>3.8275055555554396E-2</v>
      </c>
    </row>
    <row r="4444" spans="7:8" x14ac:dyDescent="0.3">
      <c r="G4444" s="15">
        <v>12.330555555555556</v>
      </c>
      <c r="H4444" s="3">
        <v>3.8275861111109949E-2</v>
      </c>
    </row>
    <row r="4445" spans="7:8" x14ac:dyDescent="0.3">
      <c r="G4445" s="15">
        <v>12.333333333333334</v>
      </c>
      <c r="H4445" s="3">
        <v>3.8276666666665508E-2</v>
      </c>
    </row>
    <row r="4446" spans="7:8" x14ac:dyDescent="0.3">
      <c r="G4446" s="15">
        <v>12.33611111111111</v>
      </c>
      <c r="H4446" s="3">
        <v>3.8277472222221068E-2</v>
      </c>
    </row>
    <row r="4447" spans="7:8" x14ac:dyDescent="0.3">
      <c r="G4447" s="15">
        <v>12.338888888888889</v>
      </c>
      <c r="H4447" s="3">
        <v>3.827827777777662E-2</v>
      </c>
    </row>
    <row r="4448" spans="7:8" x14ac:dyDescent="0.3">
      <c r="G4448" s="15">
        <v>12.341666666666667</v>
      </c>
      <c r="H4448" s="3">
        <v>3.8279083333332173E-2</v>
      </c>
    </row>
    <row r="4449" spans="7:8" x14ac:dyDescent="0.3">
      <c r="G4449" s="15">
        <v>12.344444444444445</v>
      </c>
      <c r="H4449" s="3">
        <v>3.8279888888887732E-2</v>
      </c>
    </row>
    <row r="4450" spans="7:8" x14ac:dyDescent="0.3">
      <c r="G4450" s="15">
        <v>12.347222222222221</v>
      </c>
      <c r="H4450" s="3">
        <v>3.8280694444443292E-2</v>
      </c>
    </row>
    <row r="4451" spans="7:8" x14ac:dyDescent="0.3">
      <c r="G4451" s="15">
        <v>12.35</v>
      </c>
      <c r="H4451" s="3">
        <v>3.8281499999998844E-2</v>
      </c>
    </row>
    <row r="4452" spans="7:8" x14ac:dyDescent="0.3">
      <c r="G4452" s="15">
        <v>12.352777777777778</v>
      </c>
      <c r="H4452" s="3">
        <v>3.8282305555554397E-2</v>
      </c>
    </row>
    <row r="4453" spans="7:8" x14ac:dyDescent="0.3">
      <c r="G4453" s="15">
        <v>12.355555555555556</v>
      </c>
      <c r="H4453" s="3">
        <v>3.8283111111109956E-2</v>
      </c>
    </row>
    <row r="4454" spans="7:8" x14ac:dyDescent="0.3">
      <c r="G4454" s="15">
        <v>12.358333333333333</v>
      </c>
      <c r="H4454" s="3">
        <v>3.8283916666665516E-2</v>
      </c>
    </row>
    <row r="4455" spans="7:8" x14ac:dyDescent="0.3">
      <c r="G4455" s="15">
        <v>12.361111111111111</v>
      </c>
      <c r="H4455" s="3">
        <v>3.8284722222221068E-2</v>
      </c>
    </row>
    <row r="4456" spans="7:8" x14ac:dyDescent="0.3">
      <c r="G4456" s="15">
        <v>12.363888888888889</v>
      </c>
      <c r="H4456" s="3">
        <v>3.8285527777776621E-2</v>
      </c>
    </row>
    <row r="4457" spans="7:8" x14ac:dyDescent="0.3">
      <c r="G4457" s="15">
        <v>12.366666666666667</v>
      </c>
      <c r="H4457" s="3">
        <v>3.828633333333218E-2</v>
      </c>
    </row>
    <row r="4458" spans="7:8" x14ac:dyDescent="0.3">
      <c r="G4458" s="15">
        <v>12.369444444444444</v>
      </c>
      <c r="H4458" s="3">
        <v>3.828713888888774E-2</v>
      </c>
    </row>
    <row r="4459" spans="7:8" x14ac:dyDescent="0.3">
      <c r="G4459" s="15">
        <v>12.372222222222222</v>
      </c>
      <c r="H4459" s="3">
        <v>3.8287944444443292E-2</v>
      </c>
    </row>
    <row r="4460" spans="7:8" x14ac:dyDescent="0.3">
      <c r="G4460" s="15">
        <v>12.375</v>
      </c>
      <c r="H4460" s="3">
        <v>3.8288749999998845E-2</v>
      </c>
    </row>
    <row r="4461" spans="7:8" x14ac:dyDescent="0.3">
      <c r="G4461" s="15">
        <v>12.377777777777778</v>
      </c>
      <c r="H4461" s="3">
        <v>3.8289555555554404E-2</v>
      </c>
    </row>
    <row r="4462" spans="7:8" x14ac:dyDescent="0.3">
      <c r="G4462" s="15">
        <v>12.380555555555556</v>
      </c>
      <c r="H4462" s="3">
        <v>3.8290361111109963E-2</v>
      </c>
    </row>
    <row r="4463" spans="7:8" x14ac:dyDescent="0.3">
      <c r="G4463" s="15">
        <v>12.383333333333333</v>
      </c>
      <c r="H4463" s="3">
        <v>3.8291166666665516E-2</v>
      </c>
    </row>
    <row r="4464" spans="7:8" x14ac:dyDescent="0.3">
      <c r="G4464" s="15">
        <v>12.386111111111111</v>
      </c>
      <c r="H4464" s="3">
        <v>3.8291972222221068E-2</v>
      </c>
    </row>
    <row r="4465" spans="7:8" x14ac:dyDescent="0.3">
      <c r="G4465" s="15">
        <v>12.388888888888889</v>
      </c>
      <c r="H4465" s="3">
        <v>3.8292777777776628E-2</v>
      </c>
    </row>
    <row r="4466" spans="7:8" x14ac:dyDescent="0.3">
      <c r="G4466" s="15">
        <v>12.391666666666667</v>
      </c>
      <c r="H4466" s="3">
        <v>3.8293583333332187E-2</v>
      </c>
    </row>
    <row r="4467" spans="7:8" x14ac:dyDescent="0.3">
      <c r="G4467" s="15">
        <v>12.394444444444444</v>
      </c>
      <c r="H4467" s="3">
        <v>3.829438888888774E-2</v>
      </c>
    </row>
    <row r="4468" spans="7:8" x14ac:dyDescent="0.3">
      <c r="G4468" s="15">
        <v>12.397222222222222</v>
      </c>
      <c r="H4468" s="3">
        <v>3.8295194444443292E-2</v>
      </c>
    </row>
    <row r="4469" spans="7:8" x14ac:dyDescent="0.3">
      <c r="G4469" s="15">
        <v>12.4</v>
      </c>
      <c r="H4469" s="3">
        <v>3.8295999999998852E-2</v>
      </c>
    </row>
    <row r="4470" spans="7:8" x14ac:dyDescent="0.3">
      <c r="G4470" s="15">
        <v>12.402777777777779</v>
      </c>
      <c r="H4470" s="3">
        <v>3.8296805555554411E-2</v>
      </c>
    </row>
    <row r="4471" spans="7:8" x14ac:dyDescent="0.3">
      <c r="G4471" s="15">
        <v>12.405555555555555</v>
      </c>
      <c r="H4471" s="3">
        <v>3.8297611111109964E-2</v>
      </c>
    </row>
    <row r="4472" spans="7:8" x14ac:dyDescent="0.3">
      <c r="G4472" s="15">
        <v>12.408333333333333</v>
      </c>
      <c r="H4472" s="3">
        <v>3.8298416666665516E-2</v>
      </c>
    </row>
    <row r="4473" spans="7:8" x14ac:dyDescent="0.3">
      <c r="G4473" s="15">
        <v>12.411111111111111</v>
      </c>
      <c r="H4473" s="3">
        <v>3.8299222222221076E-2</v>
      </c>
    </row>
    <row r="4474" spans="7:8" x14ac:dyDescent="0.3">
      <c r="G4474" s="15">
        <v>12.41388888888889</v>
      </c>
      <c r="H4474" s="3">
        <v>3.8300027777776635E-2</v>
      </c>
    </row>
    <row r="4475" spans="7:8" x14ac:dyDescent="0.3">
      <c r="G4475" s="15">
        <v>12.416666666666666</v>
      </c>
      <c r="H4475" s="3">
        <v>3.8300833333332188E-2</v>
      </c>
    </row>
    <row r="4476" spans="7:8" x14ac:dyDescent="0.3">
      <c r="G4476" s="15">
        <v>12.419444444444444</v>
      </c>
      <c r="H4476" s="3">
        <v>3.830163888888774E-2</v>
      </c>
    </row>
    <row r="4477" spans="7:8" x14ac:dyDescent="0.3">
      <c r="G4477" s="15">
        <v>12.422222222222222</v>
      </c>
      <c r="H4477" s="3">
        <v>3.83024444444433E-2</v>
      </c>
    </row>
    <row r="4478" spans="7:8" x14ac:dyDescent="0.3">
      <c r="G4478" s="15">
        <v>12.425000000000001</v>
      </c>
      <c r="H4478" s="3">
        <v>3.8303249999998859E-2</v>
      </c>
    </row>
    <row r="4479" spans="7:8" x14ac:dyDescent="0.3">
      <c r="G4479" s="15">
        <v>12.427777777777777</v>
      </c>
      <c r="H4479" s="3">
        <v>3.8304055555554412E-2</v>
      </c>
    </row>
    <row r="4480" spans="7:8" x14ac:dyDescent="0.3">
      <c r="G4480" s="15">
        <v>12.430555555555555</v>
      </c>
      <c r="H4480" s="3">
        <v>3.8304861111109964E-2</v>
      </c>
    </row>
    <row r="4481" spans="7:8" x14ac:dyDescent="0.3">
      <c r="G4481" s="15">
        <v>12.433333333333334</v>
      </c>
      <c r="H4481" s="3">
        <v>3.8305666666665524E-2</v>
      </c>
    </row>
    <row r="4482" spans="7:8" x14ac:dyDescent="0.3">
      <c r="G4482" s="15">
        <v>12.436111111111112</v>
      </c>
      <c r="H4482" s="3">
        <v>3.8306472222221083E-2</v>
      </c>
    </row>
    <row r="4483" spans="7:8" x14ac:dyDescent="0.3">
      <c r="G4483" s="15">
        <v>12.438888888888888</v>
      </c>
      <c r="H4483" s="3">
        <v>3.8307277777776635E-2</v>
      </c>
    </row>
    <row r="4484" spans="7:8" x14ac:dyDescent="0.3">
      <c r="G4484" s="15">
        <v>12.441666666666666</v>
      </c>
      <c r="H4484" s="3">
        <v>3.8308083333332188E-2</v>
      </c>
    </row>
    <row r="4485" spans="7:8" x14ac:dyDescent="0.3">
      <c r="G4485" s="15">
        <v>12.444444444444445</v>
      </c>
      <c r="H4485" s="3">
        <v>3.8308888888887747E-2</v>
      </c>
    </row>
    <row r="4486" spans="7:8" x14ac:dyDescent="0.3">
      <c r="G4486" s="15">
        <v>12.447222222222223</v>
      </c>
      <c r="H4486" s="3">
        <v>3.8309694444443307E-2</v>
      </c>
    </row>
    <row r="4487" spans="7:8" x14ac:dyDescent="0.3">
      <c r="G4487" s="15">
        <v>12.45</v>
      </c>
      <c r="H4487" s="3">
        <v>3.8310499999998859E-2</v>
      </c>
    </row>
    <row r="4488" spans="7:8" x14ac:dyDescent="0.3">
      <c r="G4488" s="15">
        <v>12.452777777777778</v>
      </c>
      <c r="H4488" s="3">
        <v>3.8311305555554412E-2</v>
      </c>
    </row>
    <row r="4489" spans="7:8" x14ac:dyDescent="0.3">
      <c r="G4489" s="15">
        <v>12.455555555555556</v>
      </c>
      <c r="H4489" s="3">
        <v>3.8312111111109971E-2</v>
      </c>
    </row>
    <row r="4490" spans="7:8" x14ac:dyDescent="0.3">
      <c r="G4490" s="15">
        <v>12.458333333333334</v>
      </c>
      <c r="H4490" s="3">
        <v>3.8312916666665531E-2</v>
      </c>
    </row>
    <row r="4491" spans="7:8" x14ac:dyDescent="0.3">
      <c r="G4491" s="15">
        <v>12.46111111111111</v>
      </c>
      <c r="H4491" s="3">
        <v>3.8313722222221083E-2</v>
      </c>
    </row>
    <row r="4492" spans="7:8" x14ac:dyDescent="0.3">
      <c r="G4492" s="15">
        <v>12.463888888888889</v>
      </c>
      <c r="H4492" s="3">
        <v>3.8314527777776636E-2</v>
      </c>
    </row>
    <row r="4493" spans="7:8" x14ac:dyDescent="0.3">
      <c r="G4493" s="15">
        <v>12.466666666666667</v>
      </c>
      <c r="H4493" s="3">
        <v>3.8315333333332195E-2</v>
      </c>
    </row>
    <row r="4494" spans="7:8" x14ac:dyDescent="0.3">
      <c r="G4494" s="15">
        <v>12.469444444444445</v>
      </c>
      <c r="H4494" s="3">
        <v>3.8316138888887755E-2</v>
      </c>
    </row>
    <row r="4495" spans="7:8" x14ac:dyDescent="0.3">
      <c r="G4495" s="15">
        <v>12.472222222222221</v>
      </c>
      <c r="H4495" s="3">
        <v>3.8316944444443307E-2</v>
      </c>
    </row>
    <row r="4496" spans="7:8" x14ac:dyDescent="0.3">
      <c r="G4496" s="15">
        <v>12.475</v>
      </c>
      <c r="H4496" s="3">
        <v>3.831774999999886E-2</v>
      </c>
    </row>
    <row r="4497" spans="7:8" x14ac:dyDescent="0.3">
      <c r="G4497" s="15">
        <v>12.477777777777778</v>
      </c>
      <c r="H4497" s="3">
        <v>3.8318555555554419E-2</v>
      </c>
    </row>
    <row r="4498" spans="7:8" x14ac:dyDescent="0.3">
      <c r="G4498" s="15">
        <v>12.480555555555556</v>
      </c>
      <c r="H4498" s="3">
        <v>3.8319361111109979E-2</v>
      </c>
    </row>
    <row r="4499" spans="7:8" x14ac:dyDescent="0.3">
      <c r="G4499" s="15">
        <v>12.483333333333333</v>
      </c>
      <c r="H4499" s="3">
        <v>3.8320166666665531E-2</v>
      </c>
    </row>
    <row r="4500" spans="7:8" x14ac:dyDescent="0.3">
      <c r="G4500" s="15">
        <v>12.486111111111111</v>
      </c>
      <c r="H4500" s="3">
        <v>3.8320972222221084E-2</v>
      </c>
    </row>
    <row r="4501" spans="7:8" x14ac:dyDescent="0.3">
      <c r="G4501" s="15">
        <v>12.488888888888889</v>
      </c>
      <c r="H4501" s="3">
        <v>3.8321777777776643E-2</v>
      </c>
    </row>
    <row r="4502" spans="7:8" x14ac:dyDescent="0.3">
      <c r="G4502" s="15">
        <v>12.491666666666667</v>
      </c>
      <c r="H4502" s="3">
        <v>3.8322583333332202E-2</v>
      </c>
    </row>
    <row r="4503" spans="7:8" x14ac:dyDescent="0.3">
      <c r="G4503" s="15">
        <v>12.494444444444444</v>
      </c>
      <c r="H4503" s="3">
        <v>3.8323388888887755E-2</v>
      </c>
    </row>
    <row r="4504" spans="7:8" x14ac:dyDescent="0.3">
      <c r="G4504" s="15">
        <v>12.497222222222222</v>
      </c>
      <c r="H4504" s="3">
        <v>3.8324194444443307E-2</v>
      </c>
    </row>
    <row r="4505" spans="7:8" x14ac:dyDescent="0.3">
      <c r="G4505" s="15">
        <v>12.5</v>
      </c>
      <c r="H4505" s="3">
        <v>3.8324999999998867E-2</v>
      </c>
    </row>
    <row r="4506" spans="7:8" x14ac:dyDescent="0.3">
      <c r="G4506" s="15">
        <v>12.502777777777778</v>
      </c>
      <c r="H4506" s="3">
        <v>3.8325805555554426E-2</v>
      </c>
    </row>
    <row r="4507" spans="7:8" x14ac:dyDescent="0.3">
      <c r="G4507" s="15">
        <v>12.505555555555556</v>
      </c>
      <c r="H4507" s="3">
        <v>3.8326611111109979E-2</v>
      </c>
    </row>
    <row r="4508" spans="7:8" x14ac:dyDescent="0.3">
      <c r="G4508" s="15">
        <v>12.508333333333333</v>
      </c>
      <c r="H4508" s="3">
        <v>3.8327416666665531E-2</v>
      </c>
    </row>
    <row r="4509" spans="7:8" x14ac:dyDescent="0.3">
      <c r="G4509" s="15">
        <v>12.511111111111111</v>
      </c>
      <c r="H4509" s="3">
        <v>3.8328222222221091E-2</v>
      </c>
    </row>
    <row r="4510" spans="7:8" x14ac:dyDescent="0.3">
      <c r="G4510" s="15">
        <v>12.513888888888889</v>
      </c>
      <c r="H4510" s="3">
        <v>3.832902777777665E-2</v>
      </c>
    </row>
    <row r="4511" spans="7:8" x14ac:dyDescent="0.3">
      <c r="G4511" s="15">
        <v>12.516666666666667</v>
      </c>
      <c r="H4511" s="3">
        <v>3.8329833333332203E-2</v>
      </c>
    </row>
    <row r="4512" spans="7:8" x14ac:dyDescent="0.3">
      <c r="G4512" s="15">
        <v>12.519444444444444</v>
      </c>
      <c r="H4512" s="3">
        <v>3.8330638888887755E-2</v>
      </c>
    </row>
    <row r="4513" spans="7:8" x14ac:dyDescent="0.3">
      <c r="G4513" s="15">
        <v>12.522222222222222</v>
      </c>
      <c r="H4513" s="3">
        <v>3.8331444444443315E-2</v>
      </c>
    </row>
    <row r="4514" spans="7:8" x14ac:dyDescent="0.3">
      <c r="G4514" s="15">
        <v>12.525</v>
      </c>
      <c r="H4514" s="3">
        <v>3.8332249999998874E-2</v>
      </c>
    </row>
    <row r="4515" spans="7:8" x14ac:dyDescent="0.3">
      <c r="G4515" s="15">
        <v>12.527777777777779</v>
      </c>
      <c r="H4515" s="3">
        <v>3.8333055555554427E-2</v>
      </c>
    </row>
    <row r="4516" spans="7:8" x14ac:dyDescent="0.3">
      <c r="G4516" s="15">
        <v>12.530555555555555</v>
      </c>
      <c r="H4516" s="3">
        <v>3.8333861111109979E-2</v>
      </c>
    </row>
    <row r="4517" spans="7:8" x14ac:dyDescent="0.3">
      <c r="G4517" s="15">
        <v>12.533333333333333</v>
      </c>
      <c r="H4517" s="3">
        <v>3.8334666666665539E-2</v>
      </c>
    </row>
    <row r="4518" spans="7:8" x14ac:dyDescent="0.3">
      <c r="G4518" s="15">
        <v>12.536111111111111</v>
      </c>
      <c r="H4518" s="3">
        <v>3.8335472222221098E-2</v>
      </c>
    </row>
    <row r="4519" spans="7:8" x14ac:dyDescent="0.3">
      <c r="G4519" s="15">
        <v>12.53888888888889</v>
      </c>
      <c r="H4519" s="3">
        <v>3.8336277777776651E-2</v>
      </c>
    </row>
    <row r="4520" spans="7:8" x14ac:dyDescent="0.3">
      <c r="G4520" s="15">
        <v>12.541666666666666</v>
      </c>
      <c r="H4520" s="3">
        <v>3.8337083333332203E-2</v>
      </c>
    </row>
    <row r="4521" spans="7:8" x14ac:dyDescent="0.3">
      <c r="G4521" s="15">
        <v>12.544444444444444</v>
      </c>
      <c r="H4521" s="3">
        <v>3.8337888888887763E-2</v>
      </c>
    </row>
    <row r="4522" spans="7:8" x14ac:dyDescent="0.3">
      <c r="G4522" s="15">
        <v>12.547222222222222</v>
      </c>
      <c r="H4522" s="3">
        <v>3.8338694444443322E-2</v>
      </c>
    </row>
    <row r="4523" spans="7:8" x14ac:dyDescent="0.3">
      <c r="G4523" s="15">
        <v>12.55</v>
      </c>
      <c r="H4523" s="3">
        <v>3.8339499999998874E-2</v>
      </c>
    </row>
    <row r="4524" spans="7:8" x14ac:dyDescent="0.3">
      <c r="G4524" s="15">
        <v>12.552777777777777</v>
      </c>
      <c r="H4524" s="3">
        <v>3.8340305555554427E-2</v>
      </c>
    </row>
    <row r="4525" spans="7:8" x14ac:dyDescent="0.3">
      <c r="G4525" s="15">
        <v>12.555555555555555</v>
      </c>
      <c r="H4525" s="3">
        <v>3.8341111111109986E-2</v>
      </c>
    </row>
    <row r="4526" spans="7:8" x14ac:dyDescent="0.3">
      <c r="G4526" s="15">
        <v>12.558333333333334</v>
      </c>
      <c r="H4526" s="3">
        <v>3.8341916666665546E-2</v>
      </c>
    </row>
    <row r="4527" spans="7:8" x14ac:dyDescent="0.3">
      <c r="G4527" s="15">
        <v>12.561111111111112</v>
      </c>
      <c r="H4527" s="3">
        <v>3.8342722222221098E-2</v>
      </c>
    </row>
    <row r="4528" spans="7:8" x14ac:dyDescent="0.3">
      <c r="G4528" s="15">
        <v>12.563888888888888</v>
      </c>
      <c r="H4528" s="3">
        <v>3.8343527777776651E-2</v>
      </c>
    </row>
    <row r="4529" spans="7:8" x14ac:dyDescent="0.3">
      <c r="G4529" s="15">
        <v>12.566666666666666</v>
      </c>
      <c r="H4529" s="3">
        <v>3.834433333333221E-2</v>
      </c>
    </row>
    <row r="4530" spans="7:8" x14ac:dyDescent="0.3">
      <c r="G4530" s="15">
        <v>12.569444444444445</v>
      </c>
      <c r="H4530" s="3">
        <v>3.834513888888777E-2</v>
      </c>
    </row>
    <row r="4531" spans="7:8" x14ac:dyDescent="0.3">
      <c r="G4531" s="15">
        <v>12.572222222222223</v>
      </c>
      <c r="H4531" s="3">
        <v>3.8345944444443322E-2</v>
      </c>
    </row>
    <row r="4532" spans="7:8" x14ac:dyDescent="0.3">
      <c r="G4532" s="15">
        <v>12.574999999999999</v>
      </c>
      <c r="H4532" s="3">
        <v>3.8346749999998875E-2</v>
      </c>
    </row>
    <row r="4533" spans="7:8" x14ac:dyDescent="0.3">
      <c r="G4533" s="15">
        <v>12.577777777777778</v>
      </c>
      <c r="H4533" s="3">
        <v>3.8347555555554434E-2</v>
      </c>
    </row>
    <row r="4534" spans="7:8" x14ac:dyDescent="0.3">
      <c r="G4534" s="15">
        <v>12.580555555555556</v>
      </c>
      <c r="H4534" s="3">
        <v>3.8348361111109994E-2</v>
      </c>
    </row>
    <row r="4535" spans="7:8" x14ac:dyDescent="0.3">
      <c r="G4535" s="15">
        <v>12.583333333333334</v>
      </c>
      <c r="H4535" s="3">
        <v>3.8349166666665546E-2</v>
      </c>
    </row>
    <row r="4536" spans="7:8" x14ac:dyDescent="0.3">
      <c r="G4536" s="15">
        <v>12.58611111111111</v>
      </c>
      <c r="H4536" s="3">
        <v>3.8349972222221099E-2</v>
      </c>
    </row>
    <row r="4537" spans="7:8" x14ac:dyDescent="0.3">
      <c r="G4537" s="15">
        <v>12.588888888888889</v>
      </c>
      <c r="H4537" s="3">
        <v>3.8350777777776658E-2</v>
      </c>
    </row>
    <row r="4538" spans="7:8" x14ac:dyDescent="0.3">
      <c r="G4538" s="15">
        <v>12.591666666666667</v>
      </c>
      <c r="H4538" s="3">
        <v>3.8351583333332218E-2</v>
      </c>
    </row>
    <row r="4539" spans="7:8" x14ac:dyDescent="0.3">
      <c r="G4539" s="15">
        <v>12.594444444444445</v>
      </c>
      <c r="H4539" s="3">
        <v>3.835238888888777E-2</v>
      </c>
    </row>
    <row r="4540" spans="7:8" x14ac:dyDescent="0.3">
      <c r="G4540" s="15">
        <v>12.597222222222221</v>
      </c>
      <c r="H4540" s="3">
        <v>3.8353194444443323E-2</v>
      </c>
    </row>
    <row r="4541" spans="7:8" x14ac:dyDescent="0.3">
      <c r="G4541" s="15">
        <v>12.6</v>
      </c>
      <c r="H4541" s="3">
        <v>3.8353999999998882E-2</v>
      </c>
    </row>
    <row r="4542" spans="7:8" x14ac:dyDescent="0.3">
      <c r="G4542" s="15">
        <v>12.602777777777778</v>
      </c>
      <c r="H4542" s="3">
        <v>3.8354805555554441E-2</v>
      </c>
    </row>
    <row r="4543" spans="7:8" x14ac:dyDescent="0.3">
      <c r="G4543" s="15">
        <v>12.605555555555556</v>
      </c>
      <c r="H4543" s="3">
        <v>3.8355611111109994E-2</v>
      </c>
    </row>
    <row r="4544" spans="7:8" x14ac:dyDescent="0.3">
      <c r="G4544" s="15">
        <v>12.608333333333333</v>
      </c>
      <c r="H4544" s="3">
        <v>3.8356416666665546E-2</v>
      </c>
    </row>
    <row r="4545" spans="7:8" x14ac:dyDescent="0.3">
      <c r="G4545" s="15">
        <v>12.611111111111111</v>
      </c>
      <c r="H4545" s="3">
        <v>3.8357222222221106E-2</v>
      </c>
    </row>
    <row r="4546" spans="7:8" x14ac:dyDescent="0.3">
      <c r="G4546" s="15">
        <v>12.613888888888889</v>
      </c>
      <c r="H4546" s="3">
        <v>3.8358027777776665E-2</v>
      </c>
    </row>
    <row r="4547" spans="7:8" x14ac:dyDescent="0.3">
      <c r="G4547" s="15">
        <v>12.616666666666667</v>
      </c>
      <c r="H4547" s="3">
        <v>3.8358833333332218E-2</v>
      </c>
    </row>
    <row r="4548" spans="7:8" x14ac:dyDescent="0.3">
      <c r="G4548" s="15">
        <v>12.619444444444444</v>
      </c>
      <c r="H4548" s="3">
        <v>3.835963888888777E-2</v>
      </c>
    </row>
    <row r="4549" spans="7:8" x14ac:dyDescent="0.3">
      <c r="G4549" s="15">
        <v>12.622222222222222</v>
      </c>
      <c r="H4549" s="3">
        <v>3.836044444444333E-2</v>
      </c>
    </row>
    <row r="4550" spans="7:8" x14ac:dyDescent="0.3">
      <c r="G4550" s="15">
        <v>12.625</v>
      </c>
      <c r="H4550" s="3">
        <v>3.8361249999998889E-2</v>
      </c>
    </row>
    <row r="4551" spans="7:8" x14ac:dyDescent="0.3">
      <c r="G4551" s="15">
        <v>12.627777777777778</v>
      </c>
      <c r="H4551" s="3">
        <v>3.8362055555554442E-2</v>
      </c>
    </row>
    <row r="4552" spans="7:8" x14ac:dyDescent="0.3">
      <c r="G4552" s="15">
        <v>12.630555555555556</v>
      </c>
      <c r="H4552" s="3">
        <v>3.8362861111109994E-2</v>
      </c>
    </row>
    <row r="4553" spans="7:8" x14ac:dyDescent="0.3">
      <c r="G4553" s="15">
        <v>12.633333333333333</v>
      </c>
      <c r="H4553" s="3">
        <v>3.8363666666665554E-2</v>
      </c>
    </row>
    <row r="4554" spans="7:8" x14ac:dyDescent="0.3">
      <c r="G4554" s="15">
        <v>12.636111111111111</v>
      </c>
      <c r="H4554" s="3">
        <v>3.8364472222221113E-2</v>
      </c>
    </row>
    <row r="4555" spans="7:8" x14ac:dyDescent="0.3">
      <c r="G4555" s="15">
        <v>12.638888888888889</v>
      </c>
      <c r="H4555" s="3">
        <v>3.8365277777776666E-2</v>
      </c>
    </row>
    <row r="4556" spans="7:8" x14ac:dyDescent="0.3">
      <c r="G4556" s="15">
        <v>12.641666666666667</v>
      </c>
      <c r="H4556" s="3">
        <v>3.8366083333332218E-2</v>
      </c>
    </row>
    <row r="4557" spans="7:8" x14ac:dyDescent="0.3">
      <c r="G4557" s="15">
        <v>12.644444444444444</v>
      </c>
      <c r="H4557" s="3">
        <v>3.8366888888887778E-2</v>
      </c>
    </row>
    <row r="4558" spans="7:8" x14ac:dyDescent="0.3">
      <c r="G4558" s="15">
        <v>12.647222222222222</v>
      </c>
      <c r="H4558" s="3">
        <v>3.8367694444443337E-2</v>
      </c>
    </row>
    <row r="4559" spans="7:8" x14ac:dyDescent="0.3">
      <c r="G4559" s="15">
        <v>12.65</v>
      </c>
      <c r="H4559" s="3">
        <v>3.836849999999889E-2</v>
      </c>
    </row>
    <row r="4560" spans="7:8" x14ac:dyDescent="0.3">
      <c r="G4560" s="15">
        <v>12.652777777777779</v>
      </c>
      <c r="H4560" s="3">
        <v>3.8369305555554442E-2</v>
      </c>
    </row>
    <row r="4561" spans="7:8" x14ac:dyDescent="0.3">
      <c r="G4561" s="15">
        <v>12.655555555555555</v>
      </c>
      <c r="H4561" s="3">
        <v>3.8370111111110002E-2</v>
      </c>
    </row>
    <row r="4562" spans="7:8" x14ac:dyDescent="0.3">
      <c r="G4562" s="15">
        <v>12.658333333333333</v>
      </c>
      <c r="H4562" s="3">
        <v>3.8370916666665561E-2</v>
      </c>
    </row>
    <row r="4563" spans="7:8" x14ac:dyDescent="0.3">
      <c r="G4563" s="15">
        <v>12.661111111111111</v>
      </c>
      <c r="H4563" s="3">
        <v>3.8371722222221114E-2</v>
      </c>
    </row>
    <row r="4564" spans="7:8" x14ac:dyDescent="0.3">
      <c r="G4564" s="15">
        <v>12.66388888888889</v>
      </c>
      <c r="H4564" s="3">
        <v>3.8372527777776666E-2</v>
      </c>
    </row>
    <row r="4565" spans="7:8" x14ac:dyDescent="0.3">
      <c r="G4565" s="15">
        <v>12.666666666666666</v>
      </c>
      <c r="H4565" s="3">
        <v>3.8373333333332225E-2</v>
      </c>
    </row>
    <row r="4566" spans="7:8" x14ac:dyDescent="0.3">
      <c r="G4566" s="15">
        <v>12.669444444444444</v>
      </c>
      <c r="H4566" s="3">
        <v>3.8374138888887785E-2</v>
      </c>
    </row>
    <row r="4567" spans="7:8" x14ac:dyDescent="0.3">
      <c r="G4567" s="15">
        <v>12.672222222222222</v>
      </c>
      <c r="H4567" s="3">
        <v>3.8374944444443337E-2</v>
      </c>
    </row>
    <row r="4568" spans="7:8" x14ac:dyDescent="0.3">
      <c r="G4568" s="15">
        <v>12.675000000000001</v>
      </c>
      <c r="H4568" s="3">
        <v>3.837574999999889E-2</v>
      </c>
    </row>
    <row r="4569" spans="7:8" x14ac:dyDescent="0.3">
      <c r="G4569" s="15">
        <v>12.677777777777777</v>
      </c>
      <c r="H4569" s="3">
        <v>3.8376555555554449E-2</v>
      </c>
    </row>
    <row r="4570" spans="7:8" x14ac:dyDescent="0.3">
      <c r="G4570" s="15">
        <v>12.680555555555555</v>
      </c>
      <c r="H4570" s="3">
        <v>3.8377361111110009E-2</v>
      </c>
    </row>
    <row r="4571" spans="7:8" x14ac:dyDescent="0.3">
      <c r="G4571" s="15">
        <v>12.683333333333334</v>
      </c>
      <c r="H4571" s="3">
        <v>3.8378166666665561E-2</v>
      </c>
    </row>
    <row r="4572" spans="7:8" x14ac:dyDescent="0.3">
      <c r="G4572" s="15">
        <v>12.686111111111112</v>
      </c>
      <c r="H4572" s="3">
        <v>3.8378972222221114E-2</v>
      </c>
    </row>
    <row r="4573" spans="7:8" x14ac:dyDescent="0.3">
      <c r="G4573" s="15">
        <v>12.688888888888888</v>
      </c>
      <c r="H4573" s="3">
        <v>3.8379777777776673E-2</v>
      </c>
    </row>
    <row r="4574" spans="7:8" x14ac:dyDescent="0.3">
      <c r="G4574" s="15">
        <v>12.691666666666666</v>
      </c>
      <c r="H4574" s="3">
        <v>3.8380583333332233E-2</v>
      </c>
    </row>
    <row r="4575" spans="7:8" x14ac:dyDescent="0.3">
      <c r="G4575" s="15">
        <v>12.694444444444445</v>
      </c>
      <c r="H4575" s="3">
        <v>3.8381388888887785E-2</v>
      </c>
    </row>
    <row r="4576" spans="7:8" x14ac:dyDescent="0.3">
      <c r="G4576" s="15">
        <v>12.697222222222223</v>
      </c>
      <c r="H4576" s="3">
        <v>3.8382194444443338E-2</v>
      </c>
    </row>
    <row r="4577" spans="7:8" x14ac:dyDescent="0.3">
      <c r="G4577" s="15">
        <v>12.7</v>
      </c>
      <c r="H4577" s="3">
        <v>3.8382999999998897E-2</v>
      </c>
    </row>
    <row r="4578" spans="7:8" x14ac:dyDescent="0.3">
      <c r="G4578" s="15">
        <v>12.702777777777778</v>
      </c>
      <c r="H4578" s="3">
        <v>3.8383805555554457E-2</v>
      </c>
    </row>
    <row r="4579" spans="7:8" x14ac:dyDescent="0.3">
      <c r="G4579" s="15">
        <v>12.705555555555556</v>
      </c>
      <c r="H4579" s="3">
        <v>3.8384611111110009E-2</v>
      </c>
    </row>
    <row r="4580" spans="7:8" x14ac:dyDescent="0.3">
      <c r="G4580" s="15">
        <v>12.708333333333334</v>
      </c>
      <c r="H4580" s="3">
        <v>3.8385416666665562E-2</v>
      </c>
    </row>
    <row r="4581" spans="7:8" x14ac:dyDescent="0.3">
      <c r="G4581" s="15">
        <v>12.71111111111111</v>
      </c>
      <c r="H4581" s="3">
        <v>3.8386222222221121E-2</v>
      </c>
    </row>
    <row r="4582" spans="7:8" x14ac:dyDescent="0.3">
      <c r="G4582" s="15">
        <v>12.713888888888889</v>
      </c>
      <c r="H4582" s="3">
        <v>3.8387027777776681E-2</v>
      </c>
    </row>
    <row r="4583" spans="7:8" x14ac:dyDescent="0.3">
      <c r="G4583" s="15">
        <v>12.716666666666667</v>
      </c>
      <c r="H4583" s="3">
        <v>3.8387833333332233E-2</v>
      </c>
    </row>
    <row r="4584" spans="7:8" x14ac:dyDescent="0.3">
      <c r="G4584" s="15">
        <v>12.719444444444445</v>
      </c>
      <c r="H4584" s="3">
        <v>3.8388638888887786E-2</v>
      </c>
    </row>
    <row r="4585" spans="7:8" x14ac:dyDescent="0.3">
      <c r="G4585" s="15">
        <v>12.722222222222221</v>
      </c>
      <c r="H4585" s="3">
        <v>3.8389444444443345E-2</v>
      </c>
    </row>
    <row r="4586" spans="7:8" x14ac:dyDescent="0.3">
      <c r="G4586" s="15">
        <v>12.725</v>
      </c>
      <c r="H4586" s="3">
        <v>3.8390249999998904E-2</v>
      </c>
    </row>
    <row r="4587" spans="7:8" x14ac:dyDescent="0.3">
      <c r="G4587" s="15">
        <v>12.727777777777778</v>
      </c>
      <c r="H4587" s="3">
        <v>3.8391055555554457E-2</v>
      </c>
    </row>
    <row r="4588" spans="7:8" x14ac:dyDescent="0.3">
      <c r="G4588" s="15">
        <v>12.730555555555556</v>
      </c>
      <c r="H4588" s="3">
        <v>3.8391861111110009E-2</v>
      </c>
    </row>
    <row r="4589" spans="7:8" x14ac:dyDescent="0.3">
      <c r="G4589" s="15">
        <v>12.733333333333333</v>
      </c>
      <c r="H4589" s="3">
        <v>3.8392666666665569E-2</v>
      </c>
    </row>
    <row r="4590" spans="7:8" x14ac:dyDescent="0.3">
      <c r="G4590" s="15">
        <v>12.736111111111111</v>
      </c>
      <c r="H4590" s="3">
        <v>3.8393472222221128E-2</v>
      </c>
    </row>
    <row r="4591" spans="7:8" x14ac:dyDescent="0.3">
      <c r="G4591" s="15">
        <v>12.738888888888889</v>
      </c>
      <c r="H4591" s="3">
        <v>3.8394277777776681E-2</v>
      </c>
    </row>
    <row r="4592" spans="7:8" x14ac:dyDescent="0.3">
      <c r="G4592" s="15">
        <v>12.741666666666667</v>
      </c>
      <c r="H4592" s="3">
        <v>3.8395083333332233E-2</v>
      </c>
    </row>
    <row r="4593" spans="7:8" x14ac:dyDescent="0.3">
      <c r="G4593" s="15">
        <v>12.744444444444444</v>
      </c>
      <c r="H4593" s="3">
        <v>3.8395888888887793E-2</v>
      </c>
    </row>
    <row r="4594" spans="7:8" x14ac:dyDescent="0.3">
      <c r="G4594" s="15">
        <v>12.747222222222222</v>
      </c>
      <c r="H4594" s="3">
        <v>3.8396694444443352E-2</v>
      </c>
    </row>
    <row r="4595" spans="7:8" x14ac:dyDescent="0.3">
      <c r="G4595" s="15">
        <v>12.75</v>
      </c>
      <c r="H4595" s="3">
        <v>3.8397499999998905E-2</v>
      </c>
    </row>
    <row r="4596" spans="7:8" x14ac:dyDescent="0.3">
      <c r="G4596" s="15">
        <v>12.752777777777778</v>
      </c>
      <c r="H4596" s="3">
        <v>3.8398305555554457E-2</v>
      </c>
    </row>
    <row r="4597" spans="7:8" x14ac:dyDescent="0.3">
      <c r="G4597" s="15">
        <v>12.755555555555556</v>
      </c>
      <c r="H4597" s="3">
        <v>3.8399111111110017E-2</v>
      </c>
    </row>
    <row r="4598" spans="7:8" x14ac:dyDescent="0.3">
      <c r="G4598" s="15">
        <v>12.758333333333333</v>
      </c>
      <c r="H4598" s="3">
        <v>3.8399916666665576E-2</v>
      </c>
    </row>
    <row r="4599" spans="7:8" x14ac:dyDescent="0.3">
      <c r="G4599" s="15">
        <v>12.761111111111111</v>
      </c>
      <c r="H4599" s="3">
        <v>3.8400722222221129E-2</v>
      </c>
    </row>
    <row r="4600" spans="7:8" x14ac:dyDescent="0.3">
      <c r="G4600" s="15">
        <v>12.763888888888889</v>
      </c>
      <c r="H4600" s="3">
        <v>3.8401527777776681E-2</v>
      </c>
    </row>
    <row r="4601" spans="7:8" x14ac:dyDescent="0.3">
      <c r="G4601" s="15">
        <v>12.766666666666667</v>
      </c>
      <c r="H4601" s="3">
        <v>3.8402333333332241E-2</v>
      </c>
    </row>
    <row r="4602" spans="7:8" x14ac:dyDescent="0.3">
      <c r="G4602" s="15">
        <v>12.769444444444444</v>
      </c>
      <c r="H4602" s="3">
        <v>3.84031388888878E-2</v>
      </c>
    </row>
    <row r="4603" spans="7:8" x14ac:dyDescent="0.3">
      <c r="G4603" s="15">
        <v>12.772222222222222</v>
      </c>
      <c r="H4603" s="3">
        <v>3.8403944444443353E-2</v>
      </c>
    </row>
    <row r="4604" spans="7:8" x14ac:dyDescent="0.3">
      <c r="G4604" s="15">
        <v>12.775</v>
      </c>
      <c r="H4604" s="3">
        <v>3.8404749999998905E-2</v>
      </c>
    </row>
    <row r="4605" spans="7:8" x14ac:dyDescent="0.3">
      <c r="G4605" s="15">
        <v>12.777777777777779</v>
      </c>
      <c r="H4605" s="3">
        <v>3.8405555555554464E-2</v>
      </c>
    </row>
    <row r="4606" spans="7:8" x14ac:dyDescent="0.3">
      <c r="G4606" s="15">
        <v>12.780555555555555</v>
      </c>
      <c r="H4606" s="3">
        <v>3.8406361111110024E-2</v>
      </c>
    </row>
    <row r="4607" spans="7:8" x14ac:dyDescent="0.3">
      <c r="G4607" s="15">
        <v>12.783333333333333</v>
      </c>
      <c r="H4607" s="3">
        <v>3.8407166666665576E-2</v>
      </c>
    </row>
    <row r="4608" spans="7:8" x14ac:dyDescent="0.3">
      <c r="G4608" s="15">
        <v>12.786111111111111</v>
      </c>
      <c r="H4608" s="3">
        <v>3.8407972222221129E-2</v>
      </c>
    </row>
    <row r="4609" spans="7:8" x14ac:dyDescent="0.3">
      <c r="G4609" s="15">
        <v>12.78888888888889</v>
      </c>
      <c r="H4609" s="3">
        <v>3.8408777777776688E-2</v>
      </c>
    </row>
    <row r="4610" spans="7:8" x14ac:dyDescent="0.3">
      <c r="G4610" s="15">
        <v>12.791666666666666</v>
      </c>
      <c r="H4610" s="3">
        <v>3.8409583333332248E-2</v>
      </c>
    </row>
    <row r="4611" spans="7:8" x14ac:dyDescent="0.3">
      <c r="G4611" s="15">
        <v>12.794444444444444</v>
      </c>
      <c r="H4611" s="3">
        <v>3.84103888888878E-2</v>
      </c>
    </row>
    <row r="4612" spans="7:8" x14ac:dyDescent="0.3">
      <c r="G4612" s="15">
        <v>12.797222222222222</v>
      </c>
      <c r="H4612" s="3">
        <v>3.8411194444443353E-2</v>
      </c>
    </row>
    <row r="4613" spans="7:8" x14ac:dyDescent="0.3">
      <c r="G4613" s="15">
        <v>12.8</v>
      </c>
      <c r="H4613" s="3">
        <v>3.8411999999998912E-2</v>
      </c>
    </row>
    <row r="4614" spans="7:8" x14ac:dyDescent="0.3">
      <c r="G4614" s="15">
        <v>12.802777777777777</v>
      </c>
      <c r="H4614" s="3">
        <v>3.8412805555554472E-2</v>
      </c>
    </row>
    <row r="4615" spans="7:8" x14ac:dyDescent="0.3">
      <c r="G4615" s="15">
        <v>12.805555555555555</v>
      </c>
      <c r="H4615" s="3">
        <v>3.8413611111110024E-2</v>
      </c>
    </row>
    <row r="4616" spans="7:8" x14ac:dyDescent="0.3">
      <c r="G4616" s="15">
        <v>12.808333333333334</v>
      </c>
      <c r="H4616" s="3">
        <v>3.8414416666665577E-2</v>
      </c>
    </row>
    <row r="4617" spans="7:8" x14ac:dyDescent="0.3">
      <c r="G4617" s="15">
        <v>12.811111111111112</v>
      </c>
      <c r="H4617" s="3">
        <v>3.8415222222221136E-2</v>
      </c>
    </row>
    <row r="4618" spans="7:8" x14ac:dyDescent="0.3">
      <c r="G4618" s="15">
        <v>12.813888888888888</v>
      </c>
      <c r="H4618" s="3">
        <v>3.8416027777776696E-2</v>
      </c>
    </row>
    <row r="4619" spans="7:8" x14ac:dyDescent="0.3">
      <c r="G4619" s="15">
        <v>12.816666666666666</v>
      </c>
      <c r="H4619" s="3">
        <v>3.8416833333332248E-2</v>
      </c>
    </row>
    <row r="4620" spans="7:8" x14ac:dyDescent="0.3">
      <c r="G4620" s="15">
        <v>12.819444444444445</v>
      </c>
      <c r="H4620" s="3">
        <v>3.8417638888887801E-2</v>
      </c>
    </row>
    <row r="4621" spans="7:8" x14ac:dyDescent="0.3">
      <c r="G4621" s="15">
        <v>12.822222222222223</v>
      </c>
      <c r="H4621" s="3">
        <v>3.841844444444336E-2</v>
      </c>
    </row>
    <row r="4622" spans="7:8" x14ac:dyDescent="0.3">
      <c r="G4622" s="15">
        <v>12.824999999999999</v>
      </c>
      <c r="H4622" s="3">
        <v>3.841924999999892E-2</v>
      </c>
    </row>
    <row r="4623" spans="7:8" x14ac:dyDescent="0.3">
      <c r="G4623" s="15">
        <v>12.827777777777778</v>
      </c>
      <c r="H4623" s="3">
        <v>3.8420055555554472E-2</v>
      </c>
    </row>
    <row r="4624" spans="7:8" x14ac:dyDescent="0.3">
      <c r="G4624" s="15">
        <v>12.830555555555556</v>
      </c>
      <c r="H4624" s="3">
        <v>3.8420861111110025E-2</v>
      </c>
    </row>
    <row r="4625" spans="7:8" x14ac:dyDescent="0.3">
      <c r="G4625" s="15">
        <v>12.833333333333334</v>
      </c>
      <c r="H4625" s="3">
        <v>3.8421666666665584E-2</v>
      </c>
    </row>
    <row r="4626" spans="7:8" x14ac:dyDescent="0.3">
      <c r="G4626" s="15">
        <v>12.83611111111111</v>
      </c>
      <c r="H4626" s="3">
        <v>3.8422472222221143E-2</v>
      </c>
    </row>
    <row r="4627" spans="7:8" x14ac:dyDescent="0.3">
      <c r="G4627" s="15">
        <v>12.838888888888889</v>
      </c>
      <c r="H4627" s="3">
        <v>3.8423277777776696E-2</v>
      </c>
    </row>
    <row r="4628" spans="7:8" x14ac:dyDescent="0.3">
      <c r="G4628" s="15">
        <v>12.841666666666667</v>
      </c>
      <c r="H4628" s="3">
        <v>3.8424083333332248E-2</v>
      </c>
    </row>
    <row r="4629" spans="7:8" x14ac:dyDescent="0.3">
      <c r="G4629" s="15">
        <v>12.844444444444445</v>
      </c>
      <c r="H4629" s="3">
        <v>3.8424888888887808E-2</v>
      </c>
    </row>
    <row r="4630" spans="7:8" x14ac:dyDescent="0.3">
      <c r="G4630" s="15">
        <v>12.847222222222221</v>
      </c>
      <c r="H4630" s="3">
        <v>3.8425694444443367E-2</v>
      </c>
    </row>
    <row r="4631" spans="7:8" x14ac:dyDescent="0.3">
      <c r="G4631" s="15">
        <v>12.85</v>
      </c>
      <c r="H4631" s="3">
        <v>3.842649999999892E-2</v>
      </c>
    </row>
    <row r="4632" spans="7:8" x14ac:dyDescent="0.3">
      <c r="G4632" s="15">
        <v>12.852777777777778</v>
      </c>
      <c r="H4632" s="3">
        <v>3.8427305555554472E-2</v>
      </c>
    </row>
    <row r="4633" spans="7:8" x14ac:dyDescent="0.3">
      <c r="G4633" s="15">
        <v>12.855555555555556</v>
      </c>
      <c r="H4633" s="3">
        <v>3.8428111111110032E-2</v>
      </c>
    </row>
    <row r="4634" spans="7:8" x14ac:dyDescent="0.3">
      <c r="G4634" s="15">
        <v>12.858333333333333</v>
      </c>
      <c r="H4634" s="3">
        <v>3.8428916666665591E-2</v>
      </c>
    </row>
    <row r="4635" spans="7:8" x14ac:dyDescent="0.3">
      <c r="G4635" s="15">
        <v>12.861111111111111</v>
      </c>
      <c r="H4635" s="3">
        <v>3.8429722222221144E-2</v>
      </c>
    </row>
    <row r="4636" spans="7:8" x14ac:dyDescent="0.3">
      <c r="G4636" s="15">
        <v>12.863888888888889</v>
      </c>
      <c r="H4636" s="3">
        <v>3.8430527777776696E-2</v>
      </c>
    </row>
    <row r="4637" spans="7:8" x14ac:dyDescent="0.3">
      <c r="G4637" s="15">
        <v>12.866666666666667</v>
      </c>
      <c r="H4637" s="3">
        <v>3.8431333333332256E-2</v>
      </c>
    </row>
    <row r="4638" spans="7:8" x14ac:dyDescent="0.3">
      <c r="G4638" s="15">
        <v>12.869444444444444</v>
      </c>
      <c r="H4638" s="3">
        <v>3.8432138888887815E-2</v>
      </c>
    </row>
    <row r="4639" spans="7:8" x14ac:dyDescent="0.3">
      <c r="G4639" s="15">
        <v>12.872222222222222</v>
      </c>
      <c r="H4639" s="3">
        <v>3.8432944444443368E-2</v>
      </c>
    </row>
    <row r="4640" spans="7:8" x14ac:dyDescent="0.3">
      <c r="G4640" s="15">
        <v>12.875</v>
      </c>
      <c r="H4640" s="3">
        <v>3.843374999999892E-2</v>
      </c>
    </row>
    <row r="4641" spans="7:8" x14ac:dyDescent="0.3">
      <c r="G4641" s="15">
        <v>12.877777777777778</v>
      </c>
      <c r="H4641" s="3">
        <v>3.843455555555448E-2</v>
      </c>
    </row>
    <row r="4642" spans="7:8" x14ac:dyDescent="0.3">
      <c r="G4642" s="15">
        <v>12.880555555555556</v>
      </c>
      <c r="H4642" s="3">
        <v>3.8435361111110039E-2</v>
      </c>
    </row>
    <row r="4643" spans="7:8" x14ac:dyDescent="0.3">
      <c r="G4643" s="15">
        <v>12.883333333333333</v>
      </c>
      <c r="H4643" s="3">
        <v>3.8436166666665592E-2</v>
      </c>
    </row>
    <row r="4644" spans="7:8" x14ac:dyDescent="0.3">
      <c r="G4644" s="15">
        <v>12.886111111111111</v>
      </c>
      <c r="H4644" s="3">
        <v>3.8436972222221144E-2</v>
      </c>
    </row>
    <row r="4645" spans="7:8" x14ac:dyDescent="0.3">
      <c r="G4645" s="15">
        <v>12.888888888888889</v>
      </c>
      <c r="H4645" s="3">
        <v>3.8437777777776704E-2</v>
      </c>
    </row>
    <row r="4646" spans="7:8" x14ac:dyDescent="0.3">
      <c r="G4646" s="15">
        <v>12.891666666666667</v>
      </c>
      <c r="H4646" s="3">
        <v>3.8438583333332263E-2</v>
      </c>
    </row>
    <row r="4647" spans="7:8" x14ac:dyDescent="0.3">
      <c r="G4647" s="15">
        <v>12.894444444444444</v>
      </c>
      <c r="H4647" s="3">
        <v>3.8439388888887815E-2</v>
      </c>
    </row>
    <row r="4648" spans="7:8" x14ac:dyDescent="0.3">
      <c r="G4648" s="15">
        <v>12.897222222222222</v>
      </c>
      <c r="H4648" s="3">
        <v>3.8440194444443368E-2</v>
      </c>
    </row>
    <row r="4649" spans="7:8" x14ac:dyDescent="0.3">
      <c r="G4649" s="15">
        <v>12.9</v>
      </c>
      <c r="H4649" s="3">
        <v>3.8440999999998927E-2</v>
      </c>
    </row>
    <row r="4650" spans="7:8" x14ac:dyDescent="0.3">
      <c r="G4650" s="15">
        <v>12.902777777777779</v>
      </c>
      <c r="H4650" s="3">
        <v>3.8441805555554487E-2</v>
      </c>
    </row>
    <row r="4651" spans="7:8" x14ac:dyDescent="0.3">
      <c r="G4651" s="15">
        <v>12.905555555555555</v>
      </c>
      <c r="H4651" s="3">
        <v>3.8442611111110039E-2</v>
      </c>
    </row>
    <row r="4652" spans="7:8" x14ac:dyDescent="0.3">
      <c r="G4652" s="15">
        <v>12.908333333333333</v>
      </c>
      <c r="H4652" s="3">
        <v>3.8443416666665592E-2</v>
      </c>
    </row>
    <row r="4653" spans="7:8" x14ac:dyDescent="0.3">
      <c r="G4653" s="15">
        <v>12.911111111111111</v>
      </c>
      <c r="H4653" s="3">
        <v>3.8444222222221151E-2</v>
      </c>
    </row>
    <row r="4654" spans="7:8" x14ac:dyDescent="0.3">
      <c r="G4654" s="15">
        <v>12.91388888888889</v>
      </c>
      <c r="H4654" s="3">
        <v>3.8445027777776711E-2</v>
      </c>
    </row>
    <row r="4655" spans="7:8" x14ac:dyDescent="0.3">
      <c r="G4655" s="15">
        <v>12.916666666666666</v>
      </c>
      <c r="H4655" s="3">
        <v>3.8445833333332263E-2</v>
      </c>
    </row>
    <row r="4656" spans="7:8" x14ac:dyDescent="0.3">
      <c r="G4656" s="15">
        <v>12.919444444444444</v>
      </c>
      <c r="H4656" s="3">
        <v>3.8446638888887816E-2</v>
      </c>
    </row>
    <row r="4657" spans="7:8" x14ac:dyDescent="0.3">
      <c r="G4657" s="15">
        <v>12.922222222222222</v>
      </c>
      <c r="H4657" s="3">
        <v>3.8447444444443375E-2</v>
      </c>
    </row>
    <row r="4658" spans="7:8" x14ac:dyDescent="0.3">
      <c r="G4658" s="15">
        <v>12.925000000000001</v>
      </c>
      <c r="H4658" s="3">
        <v>3.8448249999998935E-2</v>
      </c>
    </row>
    <row r="4659" spans="7:8" x14ac:dyDescent="0.3">
      <c r="G4659" s="15">
        <v>12.927777777777777</v>
      </c>
      <c r="H4659" s="3">
        <v>3.8449055555554487E-2</v>
      </c>
    </row>
    <row r="4660" spans="7:8" x14ac:dyDescent="0.3">
      <c r="G4660" s="15">
        <v>12.930555555555555</v>
      </c>
      <c r="H4660" s="3">
        <v>3.844986111111004E-2</v>
      </c>
    </row>
    <row r="4661" spans="7:8" x14ac:dyDescent="0.3">
      <c r="G4661" s="15">
        <v>12.933333333333334</v>
      </c>
      <c r="H4661" s="3">
        <v>3.8450666666665599E-2</v>
      </c>
    </row>
    <row r="4662" spans="7:8" x14ac:dyDescent="0.3">
      <c r="G4662" s="15">
        <v>12.936111111111112</v>
      </c>
      <c r="H4662" s="3">
        <v>3.8451472222221159E-2</v>
      </c>
    </row>
    <row r="4663" spans="7:8" x14ac:dyDescent="0.3">
      <c r="G4663" s="15">
        <v>12.938888888888888</v>
      </c>
      <c r="H4663" s="3">
        <v>3.8452277777776711E-2</v>
      </c>
    </row>
    <row r="4664" spans="7:8" x14ac:dyDescent="0.3">
      <c r="G4664" s="15">
        <v>12.941666666666666</v>
      </c>
      <c r="H4664" s="3">
        <v>3.8453083333332264E-2</v>
      </c>
    </row>
    <row r="4665" spans="7:8" x14ac:dyDescent="0.3">
      <c r="G4665" s="15">
        <v>12.944444444444445</v>
      </c>
      <c r="H4665" s="3">
        <v>3.8453888888887823E-2</v>
      </c>
    </row>
    <row r="4666" spans="7:8" x14ac:dyDescent="0.3">
      <c r="G4666" s="15">
        <v>12.947222222222223</v>
      </c>
      <c r="H4666" s="3">
        <v>3.8454694444443382E-2</v>
      </c>
    </row>
    <row r="4667" spans="7:8" x14ac:dyDescent="0.3">
      <c r="G4667" s="15">
        <v>12.95</v>
      </c>
      <c r="H4667" s="3">
        <v>3.8455499999998935E-2</v>
      </c>
    </row>
    <row r="4668" spans="7:8" x14ac:dyDescent="0.3">
      <c r="G4668" s="15">
        <v>12.952777777777778</v>
      </c>
      <c r="H4668" s="3">
        <v>3.8456305555554487E-2</v>
      </c>
    </row>
    <row r="4669" spans="7:8" x14ac:dyDescent="0.3">
      <c r="G4669" s="15">
        <v>12.955555555555556</v>
      </c>
      <c r="H4669" s="3">
        <v>3.8457111111110047E-2</v>
      </c>
    </row>
    <row r="4670" spans="7:8" x14ac:dyDescent="0.3">
      <c r="G4670" s="15">
        <v>12.958333333333334</v>
      </c>
      <c r="H4670" s="3">
        <v>3.8457916666665606E-2</v>
      </c>
    </row>
    <row r="4671" spans="7:8" x14ac:dyDescent="0.3">
      <c r="G4671" s="15">
        <v>12.96111111111111</v>
      </c>
      <c r="H4671" s="3">
        <v>3.8458722222221159E-2</v>
      </c>
    </row>
    <row r="4672" spans="7:8" x14ac:dyDescent="0.3">
      <c r="G4672" s="15">
        <v>12.963888888888889</v>
      </c>
      <c r="H4672" s="3">
        <v>3.8459527777776711E-2</v>
      </c>
    </row>
    <row r="4673" spans="7:8" x14ac:dyDescent="0.3">
      <c r="G4673" s="15">
        <v>12.966666666666667</v>
      </c>
      <c r="H4673" s="3">
        <v>3.8460333333332271E-2</v>
      </c>
    </row>
    <row r="4674" spans="7:8" x14ac:dyDescent="0.3">
      <c r="G4674" s="15">
        <v>12.969444444444445</v>
      </c>
      <c r="H4674" s="3">
        <v>3.846113888888783E-2</v>
      </c>
    </row>
    <row r="4675" spans="7:8" x14ac:dyDescent="0.3">
      <c r="G4675" s="15">
        <v>12.972222222222221</v>
      </c>
      <c r="H4675" s="3">
        <v>3.8461944444443383E-2</v>
      </c>
    </row>
    <row r="4676" spans="7:8" x14ac:dyDescent="0.3">
      <c r="G4676" s="15">
        <v>12.975</v>
      </c>
      <c r="H4676" s="3">
        <v>3.8462749999998935E-2</v>
      </c>
    </row>
    <row r="4677" spans="7:8" x14ac:dyDescent="0.3">
      <c r="G4677" s="15">
        <v>12.977777777777778</v>
      </c>
      <c r="H4677" s="3">
        <v>3.8463555555554495E-2</v>
      </c>
    </row>
    <row r="4678" spans="7:8" x14ac:dyDescent="0.3">
      <c r="G4678" s="15">
        <v>12.980555555555556</v>
      </c>
      <c r="H4678" s="3">
        <v>3.8464361111110054E-2</v>
      </c>
    </row>
    <row r="4679" spans="7:8" x14ac:dyDescent="0.3">
      <c r="G4679" s="15">
        <v>12.983333333333333</v>
      </c>
      <c r="H4679" s="3">
        <v>3.8465166666665607E-2</v>
      </c>
    </row>
    <row r="4680" spans="7:8" x14ac:dyDescent="0.3">
      <c r="G4680" s="15">
        <v>12.986111111111111</v>
      </c>
      <c r="H4680" s="3">
        <v>3.8465972222221159E-2</v>
      </c>
    </row>
    <row r="4681" spans="7:8" x14ac:dyDescent="0.3">
      <c r="G4681" s="15">
        <v>12.988888888888889</v>
      </c>
      <c r="H4681" s="3">
        <v>3.8466777777776719E-2</v>
      </c>
    </row>
    <row r="4682" spans="7:8" x14ac:dyDescent="0.3">
      <c r="G4682" s="15">
        <v>12.991666666666667</v>
      </c>
      <c r="H4682" s="3">
        <v>3.8467583333332278E-2</v>
      </c>
    </row>
    <row r="4683" spans="7:8" x14ac:dyDescent="0.3">
      <c r="G4683" s="15">
        <v>12.994444444444444</v>
      </c>
      <c r="H4683" s="3">
        <v>3.8468388888887831E-2</v>
      </c>
    </row>
    <row r="4684" spans="7:8" x14ac:dyDescent="0.3">
      <c r="G4684" s="15">
        <v>12.997222222222222</v>
      </c>
      <c r="H4684" s="3">
        <v>3.8469194444443383E-2</v>
      </c>
    </row>
    <row r="4685" spans="7:8" x14ac:dyDescent="0.3">
      <c r="G4685" s="15">
        <v>13</v>
      </c>
      <c r="H4685" s="3">
        <v>3.8469999999998943E-2</v>
      </c>
    </row>
    <row r="4686" spans="7:8" x14ac:dyDescent="0.3">
      <c r="G4686" s="15">
        <v>13.002777777777778</v>
      </c>
      <c r="H4686" s="3">
        <v>3.8470805555554502E-2</v>
      </c>
    </row>
    <row r="4687" spans="7:8" x14ac:dyDescent="0.3">
      <c r="G4687" s="15">
        <v>13.005555555555556</v>
      </c>
      <c r="H4687" s="3">
        <v>3.8471611111110054E-2</v>
      </c>
    </row>
    <row r="4688" spans="7:8" x14ac:dyDescent="0.3">
      <c r="G4688" s="15">
        <v>13.008333333333333</v>
      </c>
      <c r="H4688" s="3">
        <v>3.8472416666665607E-2</v>
      </c>
    </row>
    <row r="4689" spans="7:8" x14ac:dyDescent="0.3">
      <c r="G4689" s="15">
        <v>13.011111111111111</v>
      </c>
      <c r="H4689" s="3">
        <v>3.8473222222221166E-2</v>
      </c>
    </row>
    <row r="4690" spans="7:8" x14ac:dyDescent="0.3">
      <c r="G4690" s="15">
        <v>13.013888888888889</v>
      </c>
      <c r="H4690" s="3">
        <v>3.8474027777776726E-2</v>
      </c>
    </row>
    <row r="4691" spans="7:8" x14ac:dyDescent="0.3">
      <c r="G4691" s="15">
        <v>13.016666666666667</v>
      </c>
      <c r="H4691" s="3">
        <v>3.8474833333332278E-2</v>
      </c>
    </row>
    <row r="4692" spans="7:8" x14ac:dyDescent="0.3">
      <c r="G4692" s="15">
        <v>13.019444444444444</v>
      </c>
      <c r="H4692" s="3">
        <v>3.8475638888887831E-2</v>
      </c>
    </row>
    <row r="4693" spans="7:8" x14ac:dyDescent="0.3">
      <c r="G4693" s="15">
        <v>13.022222222222222</v>
      </c>
      <c r="H4693" s="3">
        <v>3.847644444444339E-2</v>
      </c>
    </row>
    <row r="4694" spans="7:8" x14ac:dyDescent="0.3">
      <c r="G4694" s="15">
        <v>13.025</v>
      </c>
      <c r="H4694" s="3">
        <v>3.847724999999895E-2</v>
      </c>
    </row>
    <row r="4695" spans="7:8" x14ac:dyDescent="0.3">
      <c r="G4695" s="15">
        <v>13.027777777777779</v>
      </c>
      <c r="H4695" s="3">
        <v>3.8478055555554502E-2</v>
      </c>
    </row>
    <row r="4696" spans="7:8" x14ac:dyDescent="0.3">
      <c r="G4696" s="15">
        <v>13.030555555555555</v>
      </c>
      <c r="H4696" s="3">
        <v>3.8478861111110055E-2</v>
      </c>
    </row>
    <row r="4697" spans="7:8" x14ac:dyDescent="0.3">
      <c r="G4697" s="15">
        <v>13.033333333333333</v>
      </c>
      <c r="H4697" s="3">
        <v>3.8479666666665614E-2</v>
      </c>
    </row>
    <row r="4698" spans="7:8" x14ac:dyDescent="0.3">
      <c r="G4698" s="15">
        <v>13.036111111111111</v>
      </c>
      <c r="H4698" s="3">
        <v>3.8480472222221174E-2</v>
      </c>
    </row>
    <row r="4699" spans="7:8" x14ac:dyDescent="0.3">
      <c r="G4699" s="15">
        <v>13.03888888888889</v>
      </c>
      <c r="H4699" s="3">
        <v>3.8481277777776726E-2</v>
      </c>
    </row>
    <row r="4700" spans="7:8" x14ac:dyDescent="0.3">
      <c r="G4700" s="15">
        <v>13.041666666666666</v>
      </c>
      <c r="H4700" s="3">
        <v>3.8482083333332279E-2</v>
      </c>
    </row>
    <row r="4701" spans="7:8" x14ac:dyDescent="0.3">
      <c r="G4701" s="15">
        <v>13.044444444444444</v>
      </c>
      <c r="H4701" s="3">
        <v>3.8482888888887838E-2</v>
      </c>
    </row>
    <row r="4702" spans="7:8" x14ac:dyDescent="0.3">
      <c r="G4702" s="15">
        <v>13.047222222222222</v>
      </c>
      <c r="H4702" s="3">
        <v>3.8483694444443398E-2</v>
      </c>
    </row>
    <row r="4703" spans="7:8" x14ac:dyDescent="0.3">
      <c r="G4703" s="15">
        <v>13.05</v>
      </c>
      <c r="H4703" s="3">
        <v>3.848449999999895E-2</v>
      </c>
    </row>
    <row r="4704" spans="7:8" x14ac:dyDescent="0.3">
      <c r="G4704" s="15">
        <v>13.052777777777777</v>
      </c>
      <c r="H4704" s="3">
        <v>3.8485305555554503E-2</v>
      </c>
    </row>
    <row r="4705" spans="7:8" x14ac:dyDescent="0.3">
      <c r="G4705" s="15">
        <v>13.055555555555555</v>
      </c>
      <c r="H4705" s="3">
        <v>3.8486111111110062E-2</v>
      </c>
    </row>
    <row r="4706" spans="7:8" x14ac:dyDescent="0.3">
      <c r="G4706" s="15">
        <v>13.058333333333334</v>
      </c>
      <c r="H4706" s="3">
        <v>3.8486916666665622E-2</v>
      </c>
    </row>
    <row r="4707" spans="7:8" x14ac:dyDescent="0.3">
      <c r="G4707" s="15">
        <v>13.061111111111112</v>
      </c>
      <c r="H4707" s="3">
        <v>3.8487722222221174E-2</v>
      </c>
    </row>
    <row r="4708" spans="7:8" x14ac:dyDescent="0.3">
      <c r="G4708" s="15">
        <v>13.063888888888888</v>
      </c>
      <c r="H4708" s="3">
        <v>3.8488527777776727E-2</v>
      </c>
    </row>
    <row r="4709" spans="7:8" x14ac:dyDescent="0.3">
      <c r="G4709" s="15">
        <v>13.066666666666666</v>
      </c>
      <c r="H4709" s="3">
        <v>3.8489333333332286E-2</v>
      </c>
    </row>
    <row r="4710" spans="7:8" x14ac:dyDescent="0.3">
      <c r="G4710" s="15">
        <v>13.069444444444445</v>
      </c>
      <c r="H4710" s="3">
        <v>3.8490138888887845E-2</v>
      </c>
    </row>
    <row r="4711" spans="7:8" x14ac:dyDescent="0.3">
      <c r="G4711" s="15">
        <v>13.072222222222223</v>
      </c>
      <c r="H4711" s="3">
        <v>3.8490944444443398E-2</v>
      </c>
    </row>
    <row r="4712" spans="7:8" x14ac:dyDescent="0.3">
      <c r="G4712" s="15">
        <v>13.074999999999999</v>
      </c>
      <c r="H4712" s="3">
        <v>3.849174999999895E-2</v>
      </c>
    </row>
    <row r="4713" spans="7:8" x14ac:dyDescent="0.3">
      <c r="G4713" s="15">
        <v>13.077777777777778</v>
      </c>
      <c r="H4713" s="3">
        <v>3.849255555555451E-2</v>
      </c>
    </row>
    <row r="4714" spans="7:8" x14ac:dyDescent="0.3">
      <c r="G4714" s="15">
        <v>13.080555555555556</v>
      </c>
      <c r="H4714" s="3">
        <v>3.8493361111110069E-2</v>
      </c>
    </row>
    <row r="4715" spans="7:8" x14ac:dyDescent="0.3">
      <c r="G4715" s="15">
        <v>13.083333333333334</v>
      </c>
      <c r="H4715" s="3">
        <v>3.8494166666665622E-2</v>
      </c>
    </row>
    <row r="4716" spans="7:8" x14ac:dyDescent="0.3">
      <c r="G4716" s="15">
        <v>13.08611111111111</v>
      </c>
      <c r="H4716" s="3">
        <v>3.8494972222221174E-2</v>
      </c>
    </row>
    <row r="4717" spans="7:8" x14ac:dyDescent="0.3">
      <c r="G4717" s="15">
        <v>13.088888888888889</v>
      </c>
      <c r="H4717" s="3">
        <v>3.8495777777776734E-2</v>
      </c>
    </row>
    <row r="4718" spans="7:8" x14ac:dyDescent="0.3">
      <c r="G4718" s="15">
        <v>13.091666666666667</v>
      </c>
      <c r="H4718" s="3">
        <v>3.8496583333332293E-2</v>
      </c>
    </row>
    <row r="4719" spans="7:8" x14ac:dyDescent="0.3">
      <c r="G4719" s="15">
        <v>13.094444444444445</v>
      </c>
      <c r="H4719" s="3">
        <v>3.8497388888887846E-2</v>
      </c>
    </row>
    <row r="4720" spans="7:8" x14ac:dyDescent="0.3">
      <c r="G4720" s="15">
        <v>13.097222222222221</v>
      </c>
      <c r="H4720" s="3">
        <v>3.8498194444443398E-2</v>
      </c>
    </row>
    <row r="4721" spans="7:8" x14ac:dyDescent="0.3">
      <c r="G4721" s="15">
        <v>13.1</v>
      </c>
      <c r="H4721" s="3">
        <v>3.8498999999998958E-2</v>
      </c>
    </row>
    <row r="4722" spans="7:8" x14ac:dyDescent="0.3">
      <c r="G4722" s="15">
        <v>13.102777777777778</v>
      </c>
      <c r="H4722" s="3">
        <v>3.8499805555554517E-2</v>
      </c>
    </row>
    <row r="4723" spans="7:8" x14ac:dyDescent="0.3">
      <c r="G4723" s="15">
        <v>13.105555555555556</v>
      </c>
      <c r="H4723" s="3">
        <v>3.850061111111007E-2</v>
      </c>
    </row>
    <row r="4724" spans="7:8" x14ac:dyDescent="0.3">
      <c r="G4724" s="15">
        <v>13.108333333333333</v>
      </c>
      <c r="H4724" s="3">
        <v>3.8501416666665622E-2</v>
      </c>
    </row>
    <row r="4725" spans="7:8" x14ac:dyDescent="0.3">
      <c r="G4725" s="15">
        <v>13.111111111111111</v>
      </c>
      <c r="H4725" s="3">
        <v>3.8502222222221182E-2</v>
      </c>
    </row>
    <row r="4726" spans="7:8" x14ac:dyDescent="0.3">
      <c r="G4726" s="15">
        <v>13.113888888888889</v>
      </c>
      <c r="H4726" s="3">
        <v>3.8503027777776741E-2</v>
      </c>
    </row>
    <row r="4727" spans="7:8" x14ac:dyDescent="0.3">
      <c r="G4727" s="15">
        <v>13.116666666666667</v>
      </c>
      <c r="H4727" s="3">
        <v>3.8503833333332294E-2</v>
      </c>
    </row>
    <row r="4728" spans="7:8" x14ac:dyDescent="0.3">
      <c r="G4728" s="15">
        <v>13.119444444444444</v>
      </c>
      <c r="H4728" s="3">
        <v>3.8504638888887846E-2</v>
      </c>
    </row>
    <row r="4729" spans="7:8" x14ac:dyDescent="0.3">
      <c r="G4729" s="15">
        <v>13.122222222222222</v>
      </c>
      <c r="H4729" s="3">
        <v>3.8505444444443405E-2</v>
      </c>
    </row>
    <row r="4730" spans="7:8" x14ac:dyDescent="0.3">
      <c r="G4730" s="15">
        <v>13.125</v>
      </c>
      <c r="H4730" s="3">
        <v>3.8506249999998965E-2</v>
      </c>
    </row>
    <row r="4731" spans="7:8" x14ac:dyDescent="0.3">
      <c r="G4731" s="15">
        <v>13.127777777777778</v>
      </c>
      <c r="H4731" s="3">
        <v>3.8507055555554517E-2</v>
      </c>
    </row>
    <row r="4732" spans="7:8" x14ac:dyDescent="0.3">
      <c r="G4732" s="15">
        <v>13.130555555555556</v>
      </c>
      <c r="H4732" s="3">
        <v>3.850786111111007E-2</v>
      </c>
    </row>
    <row r="4733" spans="7:8" x14ac:dyDescent="0.3">
      <c r="G4733" s="15">
        <v>13.133333333333333</v>
      </c>
      <c r="H4733" s="3">
        <v>3.8508666666665629E-2</v>
      </c>
    </row>
    <row r="4734" spans="7:8" x14ac:dyDescent="0.3">
      <c r="G4734" s="15">
        <v>13.136111111111111</v>
      </c>
      <c r="H4734" s="3">
        <v>3.8509472222221189E-2</v>
      </c>
    </row>
    <row r="4735" spans="7:8" x14ac:dyDescent="0.3">
      <c r="G4735" s="15">
        <v>13.138888888888889</v>
      </c>
      <c r="H4735" s="3">
        <v>3.8510277777776741E-2</v>
      </c>
    </row>
    <row r="4736" spans="7:8" x14ac:dyDescent="0.3">
      <c r="G4736" s="15">
        <v>13.141666666666667</v>
      </c>
      <c r="H4736" s="3">
        <v>3.8511083333332294E-2</v>
      </c>
    </row>
    <row r="4737" spans="7:8" x14ac:dyDescent="0.3">
      <c r="G4737" s="15">
        <v>13.144444444444444</v>
      </c>
      <c r="H4737" s="3">
        <v>3.8511888888887853E-2</v>
      </c>
    </row>
    <row r="4738" spans="7:8" x14ac:dyDescent="0.3">
      <c r="G4738" s="15">
        <v>13.147222222222222</v>
      </c>
      <c r="H4738" s="3">
        <v>3.8512694444443413E-2</v>
      </c>
    </row>
    <row r="4739" spans="7:8" x14ac:dyDescent="0.3">
      <c r="G4739" s="15">
        <v>13.15</v>
      </c>
      <c r="H4739" s="3">
        <v>3.8513499999998965E-2</v>
      </c>
    </row>
    <row r="4740" spans="7:8" x14ac:dyDescent="0.3">
      <c r="G4740" s="15">
        <v>13.152777777777779</v>
      </c>
      <c r="H4740" s="3">
        <v>3.8514305555554518E-2</v>
      </c>
    </row>
    <row r="4741" spans="7:8" x14ac:dyDescent="0.3">
      <c r="G4741" s="15">
        <v>13.155555555555555</v>
      </c>
      <c r="H4741" s="3">
        <v>3.8515111111110077E-2</v>
      </c>
    </row>
    <row r="4742" spans="7:8" x14ac:dyDescent="0.3">
      <c r="G4742" s="15">
        <v>13.158333333333333</v>
      </c>
      <c r="H4742" s="3">
        <v>3.8515916666665637E-2</v>
      </c>
    </row>
    <row r="4743" spans="7:8" x14ac:dyDescent="0.3">
      <c r="G4743" s="15">
        <v>13.161111111111111</v>
      </c>
      <c r="H4743" s="3">
        <v>3.8516722222221189E-2</v>
      </c>
    </row>
    <row r="4744" spans="7:8" x14ac:dyDescent="0.3">
      <c r="G4744" s="15">
        <v>13.16388888888889</v>
      </c>
      <c r="H4744" s="3">
        <v>3.8517527777776742E-2</v>
      </c>
    </row>
    <row r="4745" spans="7:8" x14ac:dyDescent="0.3">
      <c r="G4745" s="15">
        <v>13.166666666666666</v>
      </c>
      <c r="H4745" s="3">
        <v>3.8518333333332301E-2</v>
      </c>
    </row>
    <row r="4746" spans="7:8" x14ac:dyDescent="0.3">
      <c r="G4746" s="15">
        <v>13.169444444444444</v>
      </c>
      <c r="H4746" s="3">
        <v>3.8519138888887861E-2</v>
      </c>
    </row>
    <row r="4747" spans="7:8" x14ac:dyDescent="0.3">
      <c r="G4747" s="15">
        <v>13.172222222222222</v>
      </c>
      <c r="H4747" s="3">
        <v>3.8519944444443413E-2</v>
      </c>
    </row>
    <row r="4748" spans="7:8" x14ac:dyDescent="0.3">
      <c r="G4748" s="15">
        <v>13.175000000000001</v>
      </c>
      <c r="H4748" s="3">
        <v>3.8520749999998966E-2</v>
      </c>
    </row>
    <row r="4749" spans="7:8" x14ac:dyDescent="0.3">
      <c r="G4749" s="15">
        <v>13.177777777777777</v>
      </c>
      <c r="H4749" s="3">
        <v>3.8521555555554525E-2</v>
      </c>
    </row>
    <row r="4750" spans="7:8" x14ac:dyDescent="0.3">
      <c r="G4750" s="15">
        <v>13.180555555555555</v>
      </c>
      <c r="H4750" s="3">
        <v>3.8522361111110084E-2</v>
      </c>
    </row>
    <row r="4751" spans="7:8" x14ac:dyDescent="0.3">
      <c r="G4751" s="15">
        <v>13.183333333333334</v>
      </c>
      <c r="H4751" s="3">
        <v>3.8523166666665637E-2</v>
      </c>
    </row>
    <row r="4752" spans="7:8" x14ac:dyDescent="0.3">
      <c r="G4752" s="15">
        <v>13.186111111111112</v>
      </c>
      <c r="H4752" s="3">
        <v>3.8523972222221189E-2</v>
      </c>
    </row>
    <row r="4753" spans="7:8" x14ac:dyDescent="0.3">
      <c r="G4753" s="15">
        <v>13.188888888888888</v>
      </c>
      <c r="H4753" s="3">
        <v>3.8524777777776749E-2</v>
      </c>
    </row>
    <row r="4754" spans="7:8" x14ac:dyDescent="0.3">
      <c r="G4754" s="15">
        <v>13.191666666666666</v>
      </c>
      <c r="H4754" s="3">
        <v>3.8525583333332308E-2</v>
      </c>
    </row>
    <row r="4755" spans="7:8" x14ac:dyDescent="0.3">
      <c r="G4755" s="15">
        <v>13.194444444444445</v>
      </c>
      <c r="H4755" s="3">
        <v>3.8526388888887861E-2</v>
      </c>
    </row>
    <row r="4756" spans="7:8" x14ac:dyDescent="0.3">
      <c r="G4756" s="15">
        <v>13.197222222222223</v>
      </c>
      <c r="H4756" s="3">
        <v>3.8527194444443413E-2</v>
      </c>
    </row>
    <row r="4757" spans="7:8" x14ac:dyDescent="0.3">
      <c r="G4757" s="15">
        <v>13.2</v>
      </c>
      <c r="H4757" s="3">
        <v>3.8527999999998973E-2</v>
      </c>
    </row>
    <row r="4758" spans="7:8" x14ac:dyDescent="0.3">
      <c r="G4758" s="15">
        <v>13.202777777777778</v>
      </c>
      <c r="H4758" s="3">
        <v>3.8528805555554532E-2</v>
      </c>
    </row>
    <row r="4759" spans="7:8" x14ac:dyDescent="0.3">
      <c r="G4759" s="15">
        <v>13.205555555555556</v>
      </c>
      <c r="H4759" s="3">
        <v>3.8529611111110085E-2</v>
      </c>
    </row>
    <row r="4760" spans="7:8" x14ac:dyDescent="0.3">
      <c r="G4760" s="15">
        <v>13.208333333333334</v>
      </c>
      <c r="H4760" s="3">
        <v>3.8530416666665637E-2</v>
      </c>
    </row>
    <row r="4761" spans="7:8" x14ac:dyDescent="0.3">
      <c r="G4761" s="15">
        <v>13.21111111111111</v>
      </c>
      <c r="H4761" s="3">
        <v>3.8531222222221197E-2</v>
      </c>
    </row>
    <row r="4762" spans="7:8" x14ac:dyDescent="0.3">
      <c r="G4762" s="15">
        <v>13.213888888888889</v>
      </c>
      <c r="H4762" s="3">
        <v>3.8532027777776756E-2</v>
      </c>
    </row>
    <row r="4763" spans="7:8" x14ac:dyDescent="0.3">
      <c r="G4763" s="15">
        <v>13.216666666666667</v>
      </c>
      <c r="H4763" s="3">
        <v>3.8532833333332309E-2</v>
      </c>
    </row>
    <row r="4764" spans="7:8" x14ac:dyDescent="0.3">
      <c r="G4764" s="15">
        <v>13.219444444444445</v>
      </c>
      <c r="H4764" s="3">
        <v>3.8533638888887861E-2</v>
      </c>
    </row>
    <row r="4765" spans="7:8" x14ac:dyDescent="0.3">
      <c r="G4765" s="15">
        <v>13.222222222222221</v>
      </c>
      <c r="H4765" s="3">
        <v>3.8534444444443421E-2</v>
      </c>
    </row>
    <row r="4766" spans="7:8" x14ac:dyDescent="0.3">
      <c r="G4766" s="15">
        <v>13.225</v>
      </c>
      <c r="H4766" s="3">
        <v>3.853524999999898E-2</v>
      </c>
    </row>
    <row r="4767" spans="7:8" x14ac:dyDescent="0.3">
      <c r="G4767" s="15">
        <v>13.227777777777778</v>
      </c>
      <c r="H4767" s="3">
        <v>3.8536055555554533E-2</v>
      </c>
    </row>
    <row r="4768" spans="7:8" x14ac:dyDescent="0.3">
      <c r="G4768" s="15">
        <v>13.230555555555556</v>
      </c>
      <c r="H4768" s="3">
        <v>3.8536861111110085E-2</v>
      </c>
    </row>
    <row r="4769" spans="7:8" x14ac:dyDescent="0.3">
      <c r="G4769" s="15">
        <v>13.233333333333333</v>
      </c>
      <c r="H4769" s="3">
        <v>3.8537666666665644E-2</v>
      </c>
    </row>
    <row r="4770" spans="7:8" x14ac:dyDescent="0.3">
      <c r="G4770" s="15">
        <v>13.236111111111111</v>
      </c>
      <c r="H4770" s="3">
        <v>3.8538472222221204E-2</v>
      </c>
    </row>
    <row r="4771" spans="7:8" x14ac:dyDescent="0.3">
      <c r="G4771" s="15">
        <v>13.238888888888889</v>
      </c>
      <c r="H4771" s="3">
        <v>3.8539277777776756E-2</v>
      </c>
    </row>
    <row r="4772" spans="7:8" x14ac:dyDescent="0.3">
      <c r="G4772" s="15">
        <v>13.241666666666667</v>
      </c>
      <c r="H4772" s="3">
        <v>3.8540083333332309E-2</v>
      </c>
    </row>
    <row r="4773" spans="7:8" x14ac:dyDescent="0.3">
      <c r="G4773" s="15">
        <v>13.244444444444444</v>
      </c>
      <c r="H4773" s="3">
        <v>3.8540888888887868E-2</v>
      </c>
    </row>
    <row r="4774" spans="7:8" x14ac:dyDescent="0.3">
      <c r="G4774" s="15">
        <v>13.247222222222222</v>
      </c>
      <c r="H4774" s="3">
        <v>3.8541694444443428E-2</v>
      </c>
    </row>
    <row r="4775" spans="7:8" x14ac:dyDescent="0.3">
      <c r="G4775" s="15">
        <v>13.25</v>
      </c>
      <c r="H4775" s="3">
        <v>3.854249999999898E-2</v>
      </c>
    </row>
    <row r="4776" spans="7:8" x14ac:dyDescent="0.3">
      <c r="G4776" s="15">
        <v>13.252777777777778</v>
      </c>
      <c r="H4776" s="3">
        <v>3.8543305555554533E-2</v>
      </c>
    </row>
    <row r="4777" spans="7:8" x14ac:dyDescent="0.3">
      <c r="G4777" s="15">
        <v>13.255555555555556</v>
      </c>
      <c r="H4777" s="3">
        <v>3.8544111111110092E-2</v>
      </c>
    </row>
    <row r="4778" spans="7:8" x14ac:dyDescent="0.3">
      <c r="G4778" s="15">
        <v>13.258333333333333</v>
      </c>
      <c r="H4778" s="3">
        <v>3.8544916666665652E-2</v>
      </c>
    </row>
    <row r="4779" spans="7:8" x14ac:dyDescent="0.3">
      <c r="G4779" s="15">
        <v>13.261111111111111</v>
      </c>
      <c r="H4779" s="3">
        <v>3.8545722222221204E-2</v>
      </c>
    </row>
    <row r="4780" spans="7:8" x14ac:dyDescent="0.3">
      <c r="G4780" s="15">
        <v>13.263888888888889</v>
      </c>
      <c r="H4780" s="3">
        <v>3.8546527777776757E-2</v>
      </c>
    </row>
    <row r="4781" spans="7:8" x14ac:dyDescent="0.3">
      <c r="G4781" s="15">
        <v>13.266666666666667</v>
      </c>
      <c r="H4781" s="3">
        <v>3.8547333333332316E-2</v>
      </c>
    </row>
    <row r="4782" spans="7:8" x14ac:dyDescent="0.3">
      <c r="G4782" s="15">
        <v>13.269444444444444</v>
      </c>
      <c r="H4782" s="3">
        <v>3.8548138888887876E-2</v>
      </c>
    </row>
    <row r="4783" spans="7:8" x14ac:dyDescent="0.3">
      <c r="G4783" s="15">
        <v>13.272222222222222</v>
      </c>
      <c r="H4783" s="3">
        <v>3.8548944444443428E-2</v>
      </c>
    </row>
    <row r="4784" spans="7:8" x14ac:dyDescent="0.3">
      <c r="G4784" s="15">
        <v>13.275</v>
      </c>
      <c r="H4784" s="3">
        <v>3.8549749999998981E-2</v>
      </c>
    </row>
    <row r="4785" spans="7:8" x14ac:dyDescent="0.3">
      <c r="G4785" s="15">
        <v>13.277777777777779</v>
      </c>
      <c r="H4785" s="3">
        <v>3.855055555555454E-2</v>
      </c>
    </row>
    <row r="4786" spans="7:8" x14ac:dyDescent="0.3">
      <c r="G4786" s="15">
        <v>13.280555555555555</v>
      </c>
      <c r="H4786" s="3">
        <v>3.85513611111101E-2</v>
      </c>
    </row>
    <row r="4787" spans="7:8" x14ac:dyDescent="0.3">
      <c r="G4787" s="15">
        <v>13.283333333333333</v>
      </c>
      <c r="H4787" s="3">
        <v>3.8552166666665652E-2</v>
      </c>
    </row>
    <row r="4788" spans="7:8" x14ac:dyDescent="0.3">
      <c r="G4788" s="15">
        <v>13.286111111111111</v>
      </c>
      <c r="H4788" s="3">
        <v>3.8552972222221205E-2</v>
      </c>
    </row>
    <row r="4789" spans="7:8" x14ac:dyDescent="0.3">
      <c r="G4789" s="15">
        <v>13.28888888888889</v>
      </c>
      <c r="H4789" s="3">
        <v>3.8553777777776764E-2</v>
      </c>
    </row>
    <row r="4790" spans="7:8" x14ac:dyDescent="0.3">
      <c r="G4790" s="15">
        <v>13.291666666666666</v>
      </c>
      <c r="H4790" s="3">
        <v>3.8554583333332323E-2</v>
      </c>
    </row>
    <row r="4791" spans="7:8" x14ac:dyDescent="0.3">
      <c r="G4791" s="15">
        <v>13.294444444444444</v>
      </c>
      <c r="H4791" s="3">
        <v>3.8555388888887876E-2</v>
      </c>
    </row>
    <row r="4792" spans="7:8" x14ac:dyDescent="0.3">
      <c r="G4792" s="15">
        <v>13.297222222222222</v>
      </c>
      <c r="H4792" s="3">
        <v>3.8556194444443428E-2</v>
      </c>
    </row>
    <row r="4793" spans="7:8" x14ac:dyDescent="0.3">
      <c r="G4793" s="15">
        <v>13.3</v>
      </c>
      <c r="H4793" s="3">
        <v>3.8556999999998988E-2</v>
      </c>
    </row>
    <row r="4794" spans="7:8" x14ac:dyDescent="0.3">
      <c r="G4794" s="15">
        <v>13.302777777777777</v>
      </c>
      <c r="H4794" s="3">
        <v>3.8557805555554547E-2</v>
      </c>
    </row>
    <row r="4795" spans="7:8" x14ac:dyDescent="0.3">
      <c r="G4795" s="15">
        <v>13.305555555555555</v>
      </c>
      <c r="H4795" s="3">
        <v>3.85586111111101E-2</v>
      </c>
    </row>
    <row r="4796" spans="7:8" x14ac:dyDescent="0.3">
      <c r="G4796" s="15">
        <v>13.308333333333334</v>
      </c>
      <c r="H4796" s="3">
        <v>3.8559416666665652E-2</v>
      </c>
    </row>
    <row r="4797" spans="7:8" x14ac:dyDescent="0.3">
      <c r="G4797" s="15">
        <v>13.311111111111112</v>
      </c>
      <c r="H4797" s="3">
        <v>3.8560222222221212E-2</v>
      </c>
    </row>
    <row r="4798" spans="7:8" x14ac:dyDescent="0.3">
      <c r="G4798" s="15">
        <v>13.313888888888888</v>
      </c>
      <c r="H4798" s="3">
        <v>3.8561027777776771E-2</v>
      </c>
    </row>
    <row r="4799" spans="7:8" x14ac:dyDescent="0.3">
      <c r="G4799" s="15">
        <v>13.316666666666666</v>
      </c>
      <c r="H4799" s="3">
        <v>3.8561833333332324E-2</v>
      </c>
    </row>
    <row r="4800" spans="7:8" x14ac:dyDescent="0.3">
      <c r="G4800" s="15">
        <v>13.319444444444445</v>
      </c>
      <c r="H4800" s="3">
        <v>3.8562638888887876E-2</v>
      </c>
    </row>
    <row r="4801" spans="7:8" x14ac:dyDescent="0.3">
      <c r="G4801" s="15">
        <v>13.322222222222223</v>
      </c>
      <c r="H4801" s="3">
        <v>3.8563444444443436E-2</v>
      </c>
    </row>
    <row r="4802" spans="7:8" x14ac:dyDescent="0.3">
      <c r="G4802" s="15">
        <v>13.324999999999999</v>
      </c>
      <c r="H4802" s="3">
        <v>3.8564249999998995E-2</v>
      </c>
    </row>
    <row r="4803" spans="7:8" x14ac:dyDescent="0.3">
      <c r="G4803" s="15">
        <v>13.327777777777778</v>
      </c>
      <c r="H4803" s="3">
        <v>3.8565055555554548E-2</v>
      </c>
    </row>
    <row r="4804" spans="7:8" x14ac:dyDescent="0.3">
      <c r="G4804" s="15">
        <v>13.330555555555556</v>
      </c>
      <c r="H4804" s="3">
        <v>3.85658611111101E-2</v>
      </c>
    </row>
    <row r="4805" spans="7:8" x14ac:dyDescent="0.3">
      <c r="G4805" s="15">
        <v>13.333333333333334</v>
      </c>
      <c r="H4805" s="3">
        <v>3.856666666666566E-2</v>
      </c>
    </row>
    <row r="4806" spans="7:8" x14ac:dyDescent="0.3">
      <c r="G4806" s="15">
        <v>13.33611111111111</v>
      </c>
      <c r="H4806" s="3">
        <v>3.8567472222221219E-2</v>
      </c>
    </row>
    <row r="4807" spans="7:8" x14ac:dyDescent="0.3">
      <c r="G4807" s="15">
        <v>13.338888888888889</v>
      </c>
      <c r="H4807" s="3">
        <v>3.8568277777776772E-2</v>
      </c>
    </row>
    <row r="4808" spans="7:8" x14ac:dyDescent="0.3">
      <c r="G4808" s="15">
        <v>13.341666666666667</v>
      </c>
      <c r="H4808" s="3">
        <v>3.8569083333332324E-2</v>
      </c>
    </row>
    <row r="4809" spans="7:8" x14ac:dyDescent="0.3">
      <c r="G4809" s="15">
        <v>13.344444444444445</v>
      </c>
      <c r="H4809" s="3">
        <v>3.8569888888887884E-2</v>
      </c>
    </row>
    <row r="4810" spans="7:8" x14ac:dyDescent="0.3">
      <c r="G4810" s="15">
        <v>13.347222222222221</v>
      </c>
      <c r="H4810" s="3">
        <v>3.8570694444443443E-2</v>
      </c>
    </row>
    <row r="4811" spans="7:8" x14ac:dyDescent="0.3">
      <c r="G4811" s="15">
        <v>13.35</v>
      </c>
      <c r="H4811" s="3">
        <v>3.8571499999998995E-2</v>
      </c>
    </row>
    <row r="4812" spans="7:8" x14ac:dyDescent="0.3">
      <c r="G4812" s="15">
        <v>13.352777777777778</v>
      </c>
      <c r="H4812" s="3">
        <v>3.8572305555554548E-2</v>
      </c>
    </row>
    <row r="4813" spans="7:8" x14ac:dyDescent="0.3">
      <c r="G4813" s="15">
        <v>13.355555555555556</v>
      </c>
      <c r="H4813" s="3">
        <v>3.8573111111110107E-2</v>
      </c>
    </row>
    <row r="4814" spans="7:8" x14ac:dyDescent="0.3">
      <c r="G4814" s="15">
        <v>13.358333333333333</v>
      </c>
      <c r="H4814" s="3">
        <v>3.8573916666665667E-2</v>
      </c>
    </row>
    <row r="4815" spans="7:8" x14ac:dyDescent="0.3">
      <c r="G4815" s="15">
        <v>13.361111111111111</v>
      </c>
      <c r="H4815" s="3">
        <v>3.8574722222221219E-2</v>
      </c>
    </row>
    <row r="4816" spans="7:8" x14ac:dyDescent="0.3">
      <c r="G4816" s="15">
        <v>13.363888888888889</v>
      </c>
      <c r="H4816" s="3">
        <v>3.8575527777776772E-2</v>
      </c>
    </row>
    <row r="4817" spans="7:8" x14ac:dyDescent="0.3">
      <c r="G4817" s="15">
        <v>13.366666666666667</v>
      </c>
      <c r="H4817" s="3">
        <v>3.8576333333332331E-2</v>
      </c>
    </row>
    <row r="4818" spans="7:8" x14ac:dyDescent="0.3">
      <c r="G4818" s="15">
        <v>13.369444444444444</v>
      </c>
      <c r="H4818" s="3">
        <v>3.8577138888887891E-2</v>
      </c>
    </row>
    <row r="4819" spans="7:8" x14ac:dyDescent="0.3">
      <c r="G4819" s="15">
        <v>13.372222222222222</v>
      </c>
      <c r="H4819" s="3">
        <v>3.8577944444443443E-2</v>
      </c>
    </row>
    <row r="4820" spans="7:8" x14ac:dyDescent="0.3">
      <c r="G4820" s="15">
        <v>13.375</v>
      </c>
      <c r="H4820" s="3">
        <v>3.8578749999998996E-2</v>
      </c>
    </row>
    <row r="4821" spans="7:8" x14ac:dyDescent="0.3">
      <c r="G4821" s="15">
        <v>13.377777777777778</v>
      </c>
      <c r="H4821" s="3">
        <v>3.8579555555554555E-2</v>
      </c>
    </row>
    <row r="4822" spans="7:8" x14ac:dyDescent="0.3">
      <c r="G4822" s="15">
        <v>13.380555555555556</v>
      </c>
      <c r="H4822" s="3">
        <v>3.8580361111110115E-2</v>
      </c>
    </row>
    <row r="4823" spans="7:8" x14ac:dyDescent="0.3">
      <c r="G4823" s="15">
        <v>13.383333333333333</v>
      </c>
      <c r="H4823" s="3">
        <v>3.8581166666665667E-2</v>
      </c>
    </row>
    <row r="4824" spans="7:8" x14ac:dyDescent="0.3">
      <c r="G4824" s="15">
        <v>13.386111111111111</v>
      </c>
      <c r="H4824" s="3">
        <v>3.858197222222122E-2</v>
      </c>
    </row>
    <row r="4825" spans="7:8" x14ac:dyDescent="0.3">
      <c r="G4825" s="15">
        <v>13.388888888888889</v>
      </c>
      <c r="H4825" s="3">
        <v>3.8582777777776779E-2</v>
      </c>
    </row>
    <row r="4826" spans="7:8" x14ac:dyDescent="0.3">
      <c r="G4826" s="15">
        <v>13.391666666666667</v>
      </c>
      <c r="H4826" s="3">
        <v>3.8583583333332339E-2</v>
      </c>
    </row>
    <row r="4827" spans="7:8" x14ac:dyDescent="0.3">
      <c r="G4827" s="15">
        <v>13.394444444444444</v>
      </c>
      <c r="H4827" s="3">
        <v>3.8584388888887891E-2</v>
      </c>
    </row>
    <row r="4828" spans="7:8" x14ac:dyDescent="0.3">
      <c r="G4828" s="15">
        <v>13.397222222222222</v>
      </c>
      <c r="H4828" s="3">
        <v>3.8585194444443444E-2</v>
      </c>
    </row>
    <row r="4829" spans="7:8" x14ac:dyDescent="0.3">
      <c r="G4829" s="15">
        <v>13.4</v>
      </c>
      <c r="H4829" s="3">
        <v>3.8585999999999003E-2</v>
      </c>
    </row>
    <row r="4830" spans="7:8" x14ac:dyDescent="0.3">
      <c r="G4830" s="15">
        <v>13.402777777777779</v>
      </c>
      <c r="H4830" s="3">
        <v>3.8586805555554562E-2</v>
      </c>
    </row>
    <row r="4831" spans="7:8" x14ac:dyDescent="0.3">
      <c r="G4831" s="15">
        <v>13.405555555555555</v>
      </c>
      <c r="H4831" s="3">
        <v>3.8587611111110115E-2</v>
      </c>
    </row>
    <row r="4832" spans="7:8" x14ac:dyDescent="0.3">
      <c r="G4832" s="15">
        <v>13.408333333333333</v>
      </c>
      <c r="H4832" s="3">
        <v>3.8588416666665667E-2</v>
      </c>
    </row>
    <row r="4833" spans="7:8" x14ac:dyDescent="0.3">
      <c r="G4833" s="15">
        <v>13.411111111111111</v>
      </c>
      <c r="H4833" s="3">
        <v>3.8589222222221227E-2</v>
      </c>
    </row>
    <row r="4834" spans="7:8" x14ac:dyDescent="0.3">
      <c r="G4834" s="15">
        <v>13.41388888888889</v>
      </c>
      <c r="H4834" s="3">
        <v>3.8590027777776786E-2</v>
      </c>
    </row>
    <row r="4835" spans="7:8" x14ac:dyDescent="0.3">
      <c r="G4835" s="15">
        <v>13.416666666666666</v>
      </c>
      <c r="H4835" s="3">
        <v>3.8590833333332339E-2</v>
      </c>
    </row>
    <row r="4836" spans="7:8" x14ac:dyDescent="0.3">
      <c r="G4836" s="15">
        <v>13.419444444444444</v>
      </c>
      <c r="H4836" s="3">
        <v>3.8591638888887891E-2</v>
      </c>
    </row>
    <row r="4837" spans="7:8" x14ac:dyDescent="0.3">
      <c r="G4837" s="15">
        <v>13.422222222222222</v>
      </c>
      <c r="H4837" s="3">
        <v>3.8592444444443451E-2</v>
      </c>
    </row>
    <row r="4838" spans="7:8" x14ac:dyDescent="0.3">
      <c r="G4838" s="15">
        <v>13.425000000000001</v>
      </c>
      <c r="H4838" s="3">
        <v>3.859324999999901E-2</v>
      </c>
    </row>
    <row r="4839" spans="7:8" x14ac:dyDescent="0.3">
      <c r="G4839" s="15">
        <v>13.427777777777777</v>
      </c>
      <c r="H4839" s="3">
        <v>3.8594055555554563E-2</v>
      </c>
    </row>
    <row r="4840" spans="7:8" x14ac:dyDescent="0.3">
      <c r="G4840" s="15">
        <v>13.430555555555555</v>
      </c>
      <c r="H4840" s="3">
        <v>3.8594861111110115E-2</v>
      </c>
    </row>
    <row r="4841" spans="7:8" x14ac:dyDescent="0.3">
      <c r="G4841" s="15">
        <v>13.433333333333334</v>
      </c>
      <c r="H4841" s="3">
        <v>3.8595666666665675E-2</v>
      </c>
    </row>
    <row r="4842" spans="7:8" x14ac:dyDescent="0.3">
      <c r="G4842" s="15">
        <v>13.436111111111112</v>
      </c>
      <c r="H4842" s="3">
        <v>3.8596472222221234E-2</v>
      </c>
    </row>
    <row r="4843" spans="7:8" x14ac:dyDescent="0.3">
      <c r="G4843" s="15">
        <v>13.438888888888888</v>
      </c>
      <c r="H4843" s="3">
        <v>3.8597277777776787E-2</v>
      </c>
    </row>
    <row r="4844" spans="7:8" x14ac:dyDescent="0.3">
      <c r="G4844" s="15">
        <v>13.441666666666666</v>
      </c>
      <c r="H4844" s="3">
        <v>3.8598083333332339E-2</v>
      </c>
    </row>
    <row r="4845" spans="7:8" x14ac:dyDescent="0.3">
      <c r="G4845" s="15">
        <v>13.444444444444445</v>
      </c>
      <c r="H4845" s="3">
        <v>3.8598888888887899E-2</v>
      </c>
    </row>
    <row r="4846" spans="7:8" x14ac:dyDescent="0.3">
      <c r="G4846" s="15">
        <v>13.447222222222223</v>
      </c>
      <c r="H4846" s="3">
        <v>3.8599694444443458E-2</v>
      </c>
    </row>
    <row r="4847" spans="7:8" x14ac:dyDescent="0.3">
      <c r="G4847" s="15">
        <v>13.45</v>
      </c>
      <c r="H4847" s="3">
        <v>3.8600499999999011E-2</v>
      </c>
    </row>
    <row r="4848" spans="7:8" x14ac:dyDescent="0.3">
      <c r="G4848" s="15">
        <v>13.452777777777778</v>
      </c>
      <c r="H4848" s="3">
        <v>3.8601305555554563E-2</v>
      </c>
    </row>
    <row r="4849" spans="7:8" x14ac:dyDescent="0.3">
      <c r="G4849" s="15">
        <v>13.455555555555556</v>
      </c>
      <c r="H4849" s="3">
        <v>3.8602111111110123E-2</v>
      </c>
    </row>
    <row r="4850" spans="7:8" x14ac:dyDescent="0.3">
      <c r="G4850" s="15">
        <v>13.458333333333334</v>
      </c>
      <c r="H4850" s="3">
        <v>3.8602916666665682E-2</v>
      </c>
    </row>
    <row r="4851" spans="7:8" x14ac:dyDescent="0.3">
      <c r="G4851" s="15">
        <v>13.46111111111111</v>
      </c>
      <c r="H4851" s="3">
        <v>3.8603722222221235E-2</v>
      </c>
    </row>
    <row r="4852" spans="7:8" x14ac:dyDescent="0.3">
      <c r="G4852" s="15">
        <v>13.463888888888889</v>
      </c>
      <c r="H4852" s="3">
        <v>3.8604527777776787E-2</v>
      </c>
    </row>
    <row r="4853" spans="7:8" x14ac:dyDescent="0.3">
      <c r="G4853" s="15">
        <v>13.466666666666667</v>
      </c>
      <c r="H4853" s="3">
        <v>3.8605333333332346E-2</v>
      </c>
    </row>
    <row r="4854" spans="7:8" x14ac:dyDescent="0.3">
      <c r="G4854" s="15">
        <v>13.469444444444445</v>
      </c>
      <c r="H4854" s="3">
        <v>3.8606138888887906E-2</v>
      </c>
    </row>
    <row r="4855" spans="7:8" x14ac:dyDescent="0.3">
      <c r="G4855" s="15">
        <v>13.472222222222221</v>
      </c>
      <c r="H4855" s="3">
        <v>3.8606944444443458E-2</v>
      </c>
    </row>
    <row r="4856" spans="7:8" x14ac:dyDescent="0.3">
      <c r="G4856" s="15">
        <v>13.475</v>
      </c>
      <c r="H4856" s="3">
        <v>3.8607749999999011E-2</v>
      </c>
    </row>
    <row r="4857" spans="7:8" x14ac:dyDescent="0.3">
      <c r="G4857" s="15">
        <v>13.477777777777778</v>
      </c>
      <c r="H4857" s="3">
        <v>3.860855555555457E-2</v>
      </c>
    </row>
    <row r="4858" spans="7:8" x14ac:dyDescent="0.3">
      <c r="G4858" s="15">
        <v>13.480555555555556</v>
      </c>
      <c r="H4858" s="3">
        <v>3.860936111111013E-2</v>
      </c>
    </row>
    <row r="4859" spans="7:8" x14ac:dyDescent="0.3">
      <c r="G4859" s="15">
        <v>13.483333333333333</v>
      </c>
      <c r="H4859" s="3">
        <v>3.8610166666665682E-2</v>
      </c>
    </row>
    <row r="4860" spans="7:8" x14ac:dyDescent="0.3">
      <c r="G4860" s="15">
        <v>13.486111111111111</v>
      </c>
      <c r="H4860" s="3">
        <v>3.8610972222221235E-2</v>
      </c>
    </row>
    <row r="4861" spans="7:8" x14ac:dyDescent="0.3">
      <c r="G4861" s="15">
        <v>13.488888888888889</v>
      </c>
      <c r="H4861" s="3">
        <v>3.8611777777776794E-2</v>
      </c>
    </row>
    <row r="4862" spans="7:8" x14ac:dyDescent="0.3">
      <c r="G4862" s="15">
        <v>13.491666666666667</v>
      </c>
      <c r="H4862" s="3">
        <v>3.8612583333332354E-2</v>
      </c>
    </row>
    <row r="4863" spans="7:8" x14ac:dyDescent="0.3">
      <c r="G4863" s="15">
        <v>13.494444444444444</v>
      </c>
      <c r="H4863" s="3">
        <v>3.8613388888887906E-2</v>
      </c>
    </row>
    <row r="4864" spans="7:8" x14ac:dyDescent="0.3">
      <c r="G4864" s="15">
        <v>13.497222222222222</v>
      </c>
      <c r="H4864" s="3">
        <v>3.8614194444443459E-2</v>
      </c>
    </row>
    <row r="4865" spans="7:8" x14ac:dyDescent="0.3">
      <c r="G4865" s="15">
        <v>13.5</v>
      </c>
      <c r="H4865" s="3">
        <v>3.8614999999999018E-2</v>
      </c>
    </row>
    <row r="4866" spans="7:8" x14ac:dyDescent="0.3">
      <c r="G4866" s="15">
        <v>13.502777777777778</v>
      </c>
      <c r="H4866" s="3">
        <v>3.8615805555554578E-2</v>
      </c>
    </row>
    <row r="4867" spans="7:8" x14ac:dyDescent="0.3">
      <c r="G4867" s="15">
        <v>13.505555555555556</v>
      </c>
      <c r="H4867" s="3">
        <v>3.861661111111013E-2</v>
      </c>
    </row>
    <row r="4868" spans="7:8" x14ac:dyDescent="0.3">
      <c r="G4868" s="15">
        <v>13.508333333333333</v>
      </c>
      <c r="H4868" s="3">
        <v>3.8617416666665683E-2</v>
      </c>
    </row>
    <row r="4869" spans="7:8" x14ac:dyDescent="0.3">
      <c r="G4869" s="15">
        <v>13.511111111111111</v>
      </c>
      <c r="H4869" s="3">
        <v>3.8618222222221242E-2</v>
      </c>
    </row>
    <row r="4870" spans="7:8" x14ac:dyDescent="0.3">
      <c r="G4870" s="15">
        <v>13.513888888888889</v>
      </c>
      <c r="H4870" s="3">
        <v>3.8619027777776802E-2</v>
      </c>
    </row>
    <row r="4871" spans="7:8" x14ac:dyDescent="0.3">
      <c r="G4871" s="15">
        <v>13.516666666666667</v>
      </c>
      <c r="H4871" s="3">
        <v>3.8619833333332354E-2</v>
      </c>
    </row>
    <row r="4872" spans="7:8" x14ac:dyDescent="0.3">
      <c r="G4872" s="15">
        <v>13.519444444444444</v>
      </c>
      <c r="H4872" s="3">
        <v>3.8620638888887907E-2</v>
      </c>
    </row>
    <row r="4873" spans="7:8" x14ac:dyDescent="0.3">
      <c r="G4873" s="15">
        <v>13.522222222222222</v>
      </c>
      <c r="H4873" s="3">
        <v>3.8621444444443466E-2</v>
      </c>
    </row>
    <row r="4874" spans="7:8" x14ac:dyDescent="0.3">
      <c r="G4874" s="15">
        <v>13.525</v>
      </c>
      <c r="H4874" s="3">
        <v>3.8622249999999025E-2</v>
      </c>
    </row>
    <row r="4875" spans="7:8" x14ac:dyDescent="0.3">
      <c r="G4875" s="15">
        <v>13.527777777777779</v>
      </c>
      <c r="H4875" s="3">
        <v>3.8623055555554578E-2</v>
      </c>
    </row>
    <row r="4876" spans="7:8" x14ac:dyDescent="0.3">
      <c r="G4876" s="15">
        <v>13.530555555555555</v>
      </c>
      <c r="H4876" s="3">
        <v>3.862386111111013E-2</v>
      </c>
    </row>
    <row r="4877" spans="7:8" x14ac:dyDescent="0.3">
      <c r="G4877" s="15">
        <v>13.533333333333333</v>
      </c>
      <c r="H4877" s="3">
        <v>3.862466666666569E-2</v>
      </c>
    </row>
    <row r="4878" spans="7:8" x14ac:dyDescent="0.3">
      <c r="G4878" s="15">
        <v>13.536111111111111</v>
      </c>
      <c r="H4878" s="3">
        <v>3.8625472222221249E-2</v>
      </c>
    </row>
    <row r="4879" spans="7:8" x14ac:dyDescent="0.3">
      <c r="G4879" s="15">
        <v>13.53888888888889</v>
      </c>
      <c r="H4879" s="3">
        <v>3.8626277777776802E-2</v>
      </c>
    </row>
    <row r="4880" spans="7:8" x14ac:dyDescent="0.3">
      <c r="G4880" s="15">
        <v>13.541666666666666</v>
      </c>
      <c r="H4880" s="3">
        <v>3.8627083333332354E-2</v>
      </c>
    </row>
    <row r="4881" spans="7:8" x14ac:dyDescent="0.3">
      <c r="G4881" s="15">
        <v>13.544444444444444</v>
      </c>
      <c r="H4881" s="3">
        <v>3.8627888888887914E-2</v>
      </c>
    </row>
    <row r="4882" spans="7:8" x14ac:dyDescent="0.3">
      <c r="G4882" s="15">
        <v>13.547222222222222</v>
      </c>
      <c r="H4882" s="3">
        <v>3.8628694444443473E-2</v>
      </c>
    </row>
    <row r="4883" spans="7:8" x14ac:dyDescent="0.3">
      <c r="G4883" s="15">
        <v>13.55</v>
      </c>
      <c r="H4883" s="3">
        <v>3.8629499999999026E-2</v>
      </c>
    </row>
    <row r="4884" spans="7:8" x14ac:dyDescent="0.3">
      <c r="G4884" s="15">
        <v>13.552777777777777</v>
      </c>
      <c r="H4884" s="3">
        <v>3.8630305555554578E-2</v>
      </c>
    </row>
    <row r="4885" spans="7:8" x14ac:dyDescent="0.3">
      <c r="G4885" s="15">
        <v>13.555555555555555</v>
      </c>
      <c r="H4885" s="3">
        <v>3.8631111111110138E-2</v>
      </c>
    </row>
    <row r="4886" spans="7:8" x14ac:dyDescent="0.3">
      <c r="G4886" s="15">
        <v>13.558333333333334</v>
      </c>
      <c r="H4886" s="3">
        <v>3.8631916666665697E-2</v>
      </c>
    </row>
    <row r="4887" spans="7:8" x14ac:dyDescent="0.3">
      <c r="G4887" s="15">
        <v>13.561111111111112</v>
      </c>
      <c r="H4887" s="3">
        <v>3.863272222222125E-2</v>
      </c>
    </row>
    <row r="4888" spans="7:8" x14ac:dyDescent="0.3">
      <c r="G4888" s="15">
        <v>13.563888888888888</v>
      </c>
      <c r="H4888" s="3">
        <v>3.8633527777776802E-2</v>
      </c>
    </row>
    <row r="4889" spans="7:8" x14ac:dyDescent="0.3">
      <c r="G4889" s="15">
        <v>13.566666666666666</v>
      </c>
      <c r="H4889" s="3">
        <v>3.8634333333332362E-2</v>
      </c>
    </row>
    <row r="4890" spans="7:8" x14ac:dyDescent="0.3">
      <c r="G4890" s="15">
        <v>13.569444444444445</v>
      </c>
      <c r="H4890" s="3">
        <v>3.8635138888887921E-2</v>
      </c>
    </row>
    <row r="4891" spans="7:8" x14ac:dyDescent="0.3">
      <c r="G4891" s="15">
        <v>13.572222222222223</v>
      </c>
      <c r="H4891" s="3">
        <v>3.8635944444443474E-2</v>
      </c>
    </row>
    <row r="4892" spans="7:8" x14ac:dyDescent="0.3">
      <c r="G4892" s="15">
        <v>13.574999999999999</v>
      </c>
      <c r="H4892" s="3">
        <v>3.8636749999999026E-2</v>
      </c>
    </row>
    <row r="4893" spans="7:8" x14ac:dyDescent="0.3">
      <c r="G4893" s="15">
        <v>13.577777777777778</v>
      </c>
      <c r="H4893" s="3">
        <v>3.8637555555554585E-2</v>
      </c>
    </row>
    <row r="4894" spans="7:8" x14ac:dyDescent="0.3">
      <c r="G4894" s="15">
        <v>13.580555555555556</v>
      </c>
      <c r="H4894" s="3">
        <v>3.8638361111110145E-2</v>
      </c>
    </row>
    <row r="4895" spans="7:8" x14ac:dyDescent="0.3">
      <c r="G4895" s="15">
        <v>13.583333333333334</v>
      </c>
      <c r="H4895" s="3">
        <v>3.8639166666665697E-2</v>
      </c>
    </row>
    <row r="4896" spans="7:8" x14ac:dyDescent="0.3">
      <c r="G4896" s="15">
        <v>13.58611111111111</v>
      </c>
      <c r="H4896" s="3">
        <v>3.863997222222125E-2</v>
      </c>
    </row>
    <row r="4897" spans="7:8" x14ac:dyDescent="0.3">
      <c r="G4897" s="15">
        <v>13.588888888888889</v>
      </c>
      <c r="H4897" s="3">
        <v>3.8640777777776809E-2</v>
      </c>
    </row>
    <row r="4898" spans="7:8" x14ac:dyDescent="0.3">
      <c r="G4898" s="15">
        <v>13.591666666666667</v>
      </c>
      <c r="H4898" s="3">
        <v>3.8641583333332369E-2</v>
      </c>
    </row>
    <row r="4899" spans="7:8" x14ac:dyDescent="0.3">
      <c r="G4899" s="15">
        <v>13.594444444444445</v>
      </c>
      <c r="H4899" s="3">
        <v>3.8642388888887921E-2</v>
      </c>
    </row>
    <row r="4900" spans="7:8" x14ac:dyDescent="0.3">
      <c r="G4900" s="15">
        <v>13.597222222222221</v>
      </c>
      <c r="H4900" s="3">
        <v>3.8643194444443474E-2</v>
      </c>
    </row>
    <row r="4901" spans="7:8" x14ac:dyDescent="0.3">
      <c r="G4901" s="15">
        <v>13.6</v>
      </c>
      <c r="H4901" s="3">
        <v>3.8643999999999033E-2</v>
      </c>
    </row>
    <row r="4902" spans="7:8" x14ac:dyDescent="0.3">
      <c r="G4902" s="15">
        <v>13.602777777777778</v>
      </c>
      <c r="H4902" s="3">
        <v>3.8644805555554593E-2</v>
      </c>
    </row>
    <row r="4903" spans="7:8" x14ac:dyDescent="0.3">
      <c r="G4903" s="15">
        <v>13.605555555555556</v>
      </c>
      <c r="H4903" s="3">
        <v>3.8645611111110145E-2</v>
      </c>
    </row>
    <row r="4904" spans="7:8" x14ac:dyDescent="0.3">
      <c r="G4904" s="15">
        <v>13.608333333333333</v>
      </c>
      <c r="H4904" s="3">
        <v>3.8646416666665698E-2</v>
      </c>
    </row>
    <row r="4905" spans="7:8" x14ac:dyDescent="0.3">
      <c r="G4905" s="15">
        <v>13.611111111111111</v>
      </c>
      <c r="H4905" s="3">
        <v>3.8647222222221257E-2</v>
      </c>
    </row>
    <row r="4906" spans="7:8" x14ac:dyDescent="0.3">
      <c r="G4906" s="15">
        <v>13.613888888888889</v>
      </c>
      <c r="H4906" s="3">
        <v>3.8648027777776817E-2</v>
      </c>
    </row>
    <row r="4907" spans="7:8" x14ac:dyDescent="0.3">
      <c r="G4907" s="15">
        <v>13.616666666666667</v>
      </c>
      <c r="H4907" s="3">
        <v>3.8648833333332369E-2</v>
      </c>
    </row>
    <row r="4908" spans="7:8" x14ac:dyDescent="0.3">
      <c r="G4908" s="15">
        <v>13.619444444444444</v>
      </c>
      <c r="H4908" s="3">
        <v>3.8649638888887922E-2</v>
      </c>
    </row>
    <row r="4909" spans="7:8" x14ac:dyDescent="0.3">
      <c r="G4909" s="15">
        <v>13.622222222222222</v>
      </c>
      <c r="H4909" s="3">
        <v>3.8650444444443481E-2</v>
      </c>
    </row>
    <row r="4910" spans="7:8" x14ac:dyDescent="0.3">
      <c r="G4910" s="15">
        <v>13.625</v>
      </c>
      <c r="H4910" s="3">
        <v>3.8651249999999041E-2</v>
      </c>
    </row>
    <row r="4911" spans="7:8" x14ac:dyDescent="0.3">
      <c r="G4911" s="15">
        <v>13.627777777777778</v>
      </c>
      <c r="H4911" s="3">
        <v>3.8652055555554593E-2</v>
      </c>
    </row>
    <row r="4912" spans="7:8" x14ac:dyDescent="0.3">
      <c r="G4912" s="15">
        <v>13.630555555555556</v>
      </c>
      <c r="H4912" s="3">
        <v>3.8652861111110146E-2</v>
      </c>
    </row>
    <row r="4913" spans="7:8" x14ac:dyDescent="0.3">
      <c r="G4913" s="15">
        <v>13.633333333333333</v>
      </c>
      <c r="H4913" s="3">
        <v>3.8653666666665705E-2</v>
      </c>
    </row>
    <row r="4914" spans="7:8" x14ac:dyDescent="0.3">
      <c r="G4914" s="15">
        <v>13.636111111111111</v>
      </c>
      <c r="H4914" s="3">
        <v>3.8654472222221264E-2</v>
      </c>
    </row>
    <row r="4915" spans="7:8" x14ac:dyDescent="0.3">
      <c r="G4915" s="15">
        <v>13.638888888888889</v>
      </c>
      <c r="H4915" s="3">
        <v>3.8655277777776817E-2</v>
      </c>
    </row>
    <row r="4916" spans="7:8" x14ac:dyDescent="0.3">
      <c r="G4916" s="15">
        <v>13.641666666666667</v>
      </c>
      <c r="H4916" s="3">
        <v>3.8656083333332369E-2</v>
      </c>
    </row>
    <row r="4917" spans="7:8" x14ac:dyDescent="0.3">
      <c r="G4917" s="15">
        <v>13.644444444444444</v>
      </c>
      <c r="H4917" s="3">
        <v>3.8656888888887929E-2</v>
      </c>
    </row>
    <row r="4918" spans="7:8" x14ac:dyDescent="0.3">
      <c r="G4918" s="15">
        <v>13.647222222222222</v>
      </c>
      <c r="H4918" s="3">
        <v>3.8657694444443488E-2</v>
      </c>
    </row>
    <row r="4919" spans="7:8" x14ac:dyDescent="0.3">
      <c r="G4919" s="15">
        <v>13.65</v>
      </c>
      <c r="H4919" s="3">
        <v>3.8658499999999041E-2</v>
      </c>
    </row>
    <row r="4920" spans="7:8" x14ac:dyDescent="0.3">
      <c r="G4920" s="15">
        <v>13.652777777777779</v>
      </c>
      <c r="H4920" s="3">
        <v>3.8659305555554593E-2</v>
      </c>
    </row>
    <row r="4921" spans="7:8" x14ac:dyDescent="0.3">
      <c r="G4921" s="15">
        <v>13.655555555555555</v>
      </c>
      <c r="H4921" s="3">
        <v>3.8660111111110153E-2</v>
      </c>
    </row>
    <row r="4922" spans="7:8" x14ac:dyDescent="0.3">
      <c r="G4922" s="15">
        <v>13.658333333333333</v>
      </c>
      <c r="H4922" s="3">
        <v>3.8660916666665712E-2</v>
      </c>
    </row>
    <row r="4923" spans="7:8" x14ac:dyDescent="0.3">
      <c r="G4923" s="15">
        <v>13.661111111111111</v>
      </c>
      <c r="H4923" s="3">
        <v>3.8661722222221265E-2</v>
      </c>
    </row>
    <row r="4924" spans="7:8" x14ac:dyDescent="0.3">
      <c r="G4924" s="15">
        <v>13.66388888888889</v>
      </c>
      <c r="H4924" s="3">
        <v>3.8662527777776817E-2</v>
      </c>
    </row>
    <row r="4925" spans="7:8" x14ac:dyDescent="0.3">
      <c r="G4925" s="15">
        <v>13.666666666666666</v>
      </c>
      <c r="H4925" s="3">
        <v>3.8663333333332377E-2</v>
      </c>
    </row>
    <row r="4926" spans="7:8" x14ac:dyDescent="0.3">
      <c r="G4926" s="15">
        <v>13.669444444444444</v>
      </c>
      <c r="H4926" s="3">
        <v>3.8664138888887936E-2</v>
      </c>
    </row>
    <row r="4927" spans="7:8" x14ac:dyDescent="0.3">
      <c r="G4927" s="15">
        <v>13.672222222222222</v>
      </c>
      <c r="H4927" s="3">
        <v>3.8664944444443489E-2</v>
      </c>
    </row>
    <row r="4928" spans="7:8" x14ac:dyDescent="0.3">
      <c r="G4928" s="15">
        <v>13.675000000000001</v>
      </c>
      <c r="H4928" s="3">
        <v>3.8665749999999041E-2</v>
      </c>
    </row>
    <row r="4929" spans="7:8" x14ac:dyDescent="0.3">
      <c r="G4929" s="15">
        <v>13.677777777777777</v>
      </c>
      <c r="H4929" s="3">
        <v>3.8666555555554601E-2</v>
      </c>
    </row>
    <row r="4930" spans="7:8" x14ac:dyDescent="0.3">
      <c r="G4930" s="15">
        <v>13.680555555555555</v>
      </c>
      <c r="H4930" s="3">
        <v>3.866736111111016E-2</v>
      </c>
    </row>
    <row r="4931" spans="7:8" x14ac:dyDescent="0.3">
      <c r="G4931" s="15">
        <v>13.683333333333334</v>
      </c>
      <c r="H4931" s="3">
        <v>3.8668166666665713E-2</v>
      </c>
    </row>
    <row r="4932" spans="7:8" x14ac:dyDescent="0.3">
      <c r="G4932" s="15">
        <v>13.686111111111112</v>
      </c>
      <c r="H4932" s="3">
        <v>3.8668972222221265E-2</v>
      </c>
    </row>
    <row r="4933" spans="7:8" x14ac:dyDescent="0.3">
      <c r="G4933" s="15">
        <v>13.688888888888888</v>
      </c>
      <c r="H4933" s="3">
        <v>3.8669777777776825E-2</v>
      </c>
    </row>
    <row r="4934" spans="7:8" x14ac:dyDescent="0.3">
      <c r="G4934" s="15">
        <v>13.691666666666666</v>
      </c>
      <c r="H4934" s="3">
        <v>3.8670583333332384E-2</v>
      </c>
    </row>
    <row r="4935" spans="7:8" x14ac:dyDescent="0.3">
      <c r="G4935" s="15">
        <v>13.694444444444445</v>
      </c>
      <c r="H4935" s="3">
        <v>3.8671388888887936E-2</v>
      </c>
    </row>
    <row r="4936" spans="7:8" x14ac:dyDescent="0.3">
      <c r="G4936" s="15">
        <v>13.697222222222223</v>
      </c>
      <c r="H4936" s="3">
        <v>3.8672194444443489E-2</v>
      </c>
    </row>
    <row r="4937" spans="7:8" x14ac:dyDescent="0.3">
      <c r="G4937" s="15">
        <v>13.7</v>
      </c>
      <c r="H4937" s="3">
        <v>3.8672999999999048E-2</v>
      </c>
    </row>
    <row r="4938" spans="7:8" x14ac:dyDescent="0.3">
      <c r="G4938" s="15">
        <v>13.702777777777778</v>
      </c>
      <c r="H4938" s="3">
        <v>3.8673805555554608E-2</v>
      </c>
    </row>
    <row r="4939" spans="7:8" x14ac:dyDescent="0.3">
      <c r="G4939" s="15">
        <v>13.705555555555556</v>
      </c>
      <c r="H4939" s="3">
        <v>3.867461111111016E-2</v>
      </c>
    </row>
    <row r="4940" spans="7:8" x14ac:dyDescent="0.3">
      <c r="G4940" s="15">
        <v>13.708333333333334</v>
      </c>
      <c r="H4940" s="3">
        <v>3.8675416666665713E-2</v>
      </c>
    </row>
    <row r="4941" spans="7:8" x14ac:dyDescent="0.3">
      <c r="G4941" s="15">
        <v>13.71111111111111</v>
      </c>
      <c r="H4941" s="3">
        <v>3.8676222222221272E-2</v>
      </c>
    </row>
    <row r="4942" spans="7:8" x14ac:dyDescent="0.3">
      <c r="G4942" s="15">
        <v>13.713888888888889</v>
      </c>
      <c r="H4942" s="3">
        <v>3.8677027777776832E-2</v>
      </c>
    </row>
    <row r="4943" spans="7:8" x14ac:dyDescent="0.3">
      <c r="G4943" s="15">
        <v>13.716666666666667</v>
      </c>
      <c r="H4943" s="3">
        <v>3.8677833333332384E-2</v>
      </c>
    </row>
    <row r="4944" spans="7:8" x14ac:dyDescent="0.3">
      <c r="G4944" s="15">
        <v>13.719444444444445</v>
      </c>
      <c r="H4944" s="3">
        <v>3.8678638888887937E-2</v>
      </c>
    </row>
    <row r="4945" spans="7:8" x14ac:dyDescent="0.3">
      <c r="G4945" s="15">
        <v>13.722222222222221</v>
      </c>
      <c r="H4945" s="3">
        <v>3.8679444444443496E-2</v>
      </c>
    </row>
    <row r="4946" spans="7:8" x14ac:dyDescent="0.3">
      <c r="G4946" s="15">
        <v>13.725</v>
      </c>
      <c r="H4946" s="3">
        <v>3.8680249999999056E-2</v>
      </c>
    </row>
    <row r="4947" spans="7:8" x14ac:dyDescent="0.3">
      <c r="G4947" s="15">
        <v>13.727777777777778</v>
      </c>
      <c r="H4947" s="3">
        <v>3.8681055555554608E-2</v>
      </c>
    </row>
    <row r="4948" spans="7:8" x14ac:dyDescent="0.3">
      <c r="G4948" s="15">
        <v>13.730555555555556</v>
      </c>
      <c r="H4948" s="3">
        <v>3.8681861111110161E-2</v>
      </c>
    </row>
    <row r="4949" spans="7:8" x14ac:dyDescent="0.3">
      <c r="G4949" s="15">
        <v>13.733333333333333</v>
      </c>
      <c r="H4949" s="3">
        <v>3.868266666666572E-2</v>
      </c>
    </row>
    <row r="4950" spans="7:8" x14ac:dyDescent="0.3">
      <c r="G4950" s="15">
        <v>13.736111111111111</v>
      </c>
      <c r="H4950" s="3">
        <v>3.868347222222128E-2</v>
      </c>
    </row>
    <row r="4951" spans="7:8" x14ac:dyDescent="0.3">
      <c r="G4951" s="15">
        <v>13.738888888888889</v>
      </c>
      <c r="H4951" s="3">
        <v>3.8684277777776832E-2</v>
      </c>
    </row>
    <row r="4952" spans="7:8" x14ac:dyDescent="0.3">
      <c r="G4952" s="15">
        <v>13.741666666666667</v>
      </c>
      <c r="H4952" s="3">
        <v>3.8685083333332385E-2</v>
      </c>
    </row>
    <row r="4953" spans="7:8" x14ac:dyDescent="0.3">
      <c r="G4953" s="15">
        <v>13.744444444444444</v>
      </c>
      <c r="H4953" s="3">
        <v>3.8685888888887944E-2</v>
      </c>
    </row>
    <row r="4954" spans="7:8" x14ac:dyDescent="0.3">
      <c r="G4954" s="15">
        <v>13.747222222222222</v>
      </c>
      <c r="H4954" s="3">
        <v>3.8686694444443503E-2</v>
      </c>
    </row>
    <row r="4955" spans="7:8" x14ac:dyDescent="0.3">
      <c r="G4955" s="15">
        <v>13.75</v>
      </c>
      <c r="H4955" s="3">
        <v>3.8687499999999056E-2</v>
      </c>
    </row>
    <row r="4956" spans="7:8" x14ac:dyDescent="0.3">
      <c r="G4956" s="15">
        <v>13.752777777777778</v>
      </c>
      <c r="H4956" s="3">
        <v>3.8688305555554608E-2</v>
      </c>
    </row>
    <row r="4957" spans="7:8" x14ac:dyDescent="0.3">
      <c r="G4957" s="15">
        <v>13.755555555555556</v>
      </c>
      <c r="H4957" s="3">
        <v>3.8689111111110168E-2</v>
      </c>
    </row>
    <row r="4958" spans="7:8" x14ac:dyDescent="0.3">
      <c r="G4958" s="15">
        <v>13.758333333333333</v>
      </c>
      <c r="H4958" s="3">
        <v>3.8689916666665727E-2</v>
      </c>
    </row>
    <row r="4959" spans="7:8" x14ac:dyDescent="0.3">
      <c r="G4959" s="15">
        <v>13.761111111111111</v>
      </c>
      <c r="H4959" s="3">
        <v>3.869072222222128E-2</v>
      </c>
    </row>
    <row r="4960" spans="7:8" x14ac:dyDescent="0.3">
      <c r="G4960" s="15">
        <v>13.763888888888889</v>
      </c>
      <c r="H4960" s="3">
        <v>3.8691527777776832E-2</v>
      </c>
    </row>
    <row r="4961" spans="7:8" x14ac:dyDescent="0.3">
      <c r="G4961" s="15">
        <v>13.766666666666667</v>
      </c>
      <c r="H4961" s="3">
        <v>3.8692333333332392E-2</v>
      </c>
    </row>
    <row r="4962" spans="7:8" x14ac:dyDescent="0.3">
      <c r="G4962" s="15">
        <v>13.769444444444444</v>
      </c>
      <c r="H4962" s="3">
        <v>3.8693138888887951E-2</v>
      </c>
    </row>
    <row r="4963" spans="7:8" x14ac:dyDescent="0.3">
      <c r="G4963" s="15">
        <v>13.772222222222222</v>
      </c>
      <c r="H4963" s="3">
        <v>3.8693944444443504E-2</v>
      </c>
    </row>
    <row r="4964" spans="7:8" x14ac:dyDescent="0.3">
      <c r="G4964" s="15">
        <v>13.775</v>
      </c>
      <c r="H4964" s="3">
        <v>3.8694749999999056E-2</v>
      </c>
    </row>
    <row r="4965" spans="7:8" x14ac:dyDescent="0.3">
      <c r="G4965" s="15">
        <v>13.777777777777779</v>
      </c>
      <c r="H4965" s="3">
        <v>3.8695555555554616E-2</v>
      </c>
    </row>
    <row r="4966" spans="7:8" x14ac:dyDescent="0.3">
      <c r="G4966" s="15">
        <v>13.780555555555555</v>
      </c>
      <c r="H4966" s="3">
        <v>3.8696361111110175E-2</v>
      </c>
    </row>
    <row r="4967" spans="7:8" x14ac:dyDescent="0.3">
      <c r="G4967" s="15">
        <v>13.783333333333333</v>
      </c>
      <c r="H4967" s="3">
        <v>3.8697166666665728E-2</v>
      </c>
    </row>
    <row r="4968" spans="7:8" x14ac:dyDescent="0.3">
      <c r="G4968" s="15">
        <v>13.786111111111111</v>
      </c>
      <c r="H4968" s="3">
        <v>3.869797222222128E-2</v>
      </c>
    </row>
    <row r="4969" spans="7:8" x14ac:dyDescent="0.3">
      <c r="G4969" s="15">
        <v>13.78888888888889</v>
      </c>
      <c r="H4969" s="3">
        <v>3.869877777777684E-2</v>
      </c>
    </row>
    <row r="4970" spans="7:8" x14ac:dyDescent="0.3">
      <c r="G4970" s="15">
        <v>13.791666666666666</v>
      </c>
      <c r="H4970" s="3">
        <v>3.8699583333332399E-2</v>
      </c>
    </row>
    <row r="4971" spans="7:8" x14ac:dyDescent="0.3">
      <c r="G4971" s="15">
        <v>13.794444444444444</v>
      </c>
      <c r="H4971" s="3">
        <v>3.8700388888887952E-2</v>
      </c>
    </row>
    <row r="4972" spans="7:8" x14ac:dyDescent="0.3">
      <c r="G4972" s="15">
        <v>13.797222222222222</v>
      </c>
      <c r="H4972" s="3">
        <v>3.8701194444443504E-2</v>
      </c>
    </row>
    <row r="4973" spans="7:8" x14ac:dyDescent="0.3">
      <c r="G4973" s="15">
        <v>13.8</v>
      </c>
      <c r="H4973" s="3">
        <v>3.8701999999999064E-2</v>
      </c>
    </row>
    <row r="4974" spans="7:8" x14ac:dyDescent="0.3">
      <c r="G4974" s="15">
        <v>13.802777777777777</v>
      </c>
      <c r="H4974" s="3">
        <v>3.8702805555554623E-2</v>
      </c>
    </row>
    <row r="4975" spans="7:8" x14ac:dyDescent="0.3">
      <c r="G4975" s="15">
        <v>13.805555555555555</v>
      </c>
      <c r="H4975" s="3">
        <v>3.8703611111110175E-2</v>
      </c>
    </row>
    <row r="4976" spans="7:8" x14ac:dyDescent="0.3">
      <c r="G4976" s="15">
        <v>13.808333333333334</v>
      </c>
      <c r="H4976" s="3">
        <v>3.8704416666665728E-2</v>
      </c>
    </row>
    <row r="4977" spans="7:8" x14ac:dyDescent="0.3">
      <c r="G4977" s="15">
        <v>13.811111111111112</v>
      </c>
      <c r="H4977" s="3">
        <v>3.8705222222221287E-2</v>
      </c>
    </row>
    <row r="4978" spans="7:8" x14ac:dyDescent="0.3">
      <c r="G4978" s="15">
        <v>13.813888888888888</v>
      </c>
      <c r="H4978" s="3">
        <v>3.8706027777776847E-2</v>
      </c>
    </row>
    <row r="4979" spans="7:8" x14ac:dyDescent="0.3">
      <c r="G4979" s="15">
        <v>13.816666666666666</v>
      </c>
      <c r="H4979" s="3">
        <v>3.8706833333332399E-2</v>
      </c>
    </row>
    <row r="4980" spans="7:8" x14ac:dyDescent="0.3">
      <c r="G4980" s="15">
        <v>13.819444444444445</v>
      </c>
      <c r="H4980" s="3">
        <v>3.8707638888887952E-2</v>
      </c>
    </row>
    <row r="4981" spans="7:8" x14ac:dyDescent="0.3">
      <c r="G4981" s="15">
        <v>13.822222222222223</v>
      </c>
      <c r="H4981" s="3">
        <v>3.8708444444443511E-2</v>
      </c>
    </row>
    <row r="4982" spans="7:8" x14ac:dyDescent="0.3">
      <c r="G4982" s="15">
        <v>13.824999999999999</v>
      </c>
      <c r="H4982" s="3">
        <v>3.8709249999999071E-2</v>
      </c>
    </row>
    <row r="4983" spans="7:8" x14ac:dyDescent="0.3">
      <c r="G4983" s="15">
        <v>13.827777777777778</v>
      </c>
      <c r="H4983" s="3">
        <v>3.8710055555554623E-2</v>
      </c>
    </row>
    <row r="4984" spans="7:8" x14ac:dyDescent="0.3">
      <c r="G4984" s="15">
        <v>13.830555555555556</v>
      </c>
      <c r="H4984" s="3">
        <v>3.8710861111110176E-2</v>
      </c>
    </row>
    <row r="4985" spans="7:8" x14ac:dyDescent="0.3">
      <c r="G4985" s="15">
        <v>13.833333333333334</v>
      </c>
      <c r="H4985" s="3">
        <v>3.8711666666665735E-2</v>
      </c>
    </row>
    <row r="4986" spans="7:8" x14ac:dyDescent="0.3">
      <c r="G4986" s="15">
        <v>13.83611111111111</v>
      </c>
      <c r="H4986" s="3">
        <v>3.8712472222221295E-2</v>
      </c>
    </row>
    <row r="4987" spans="7:8" x14ac:dyDescent="0.3">
      <c r="G4987" s="15">
        <v>13.838888888888889</v>
      </c>
      <c r="H4987" s="3">
        <v>3.8713277777776847E-2</v>
      </c>
    </row>
    <row r="4988" spans="7:8" x14ac:dyDescent="0.3">
      <c r="G4988" s="15">
        <v>13.841666666666667</v>
      </c>
      <c r="H4988" s="3">
        <v>3.87140833333324E-2</v>
      </c>
    </row>
    <row r="4989" spans="7:8" x14ac:dyDescent="0.3">
      <c r="G4989" s="15">
        <v>13.844444444444445</v>
      </c>
      <c r="H4989" s="3">
        <v>3.8714888888887959E-2</v>
      </c>
    </row>
    <row r="4990" spans="7:8" x14ac:dyDescent="0.3">
      <c r="G4990" s="15">
        <v>13.847222222222221</v>
      </c>
      <c r="H4990" s="3">
        <v>3.8715694444443519E-2</v>
      </c>
    </row>
    <row r="4991" spans="7:8" x14ac:dyDescent="0.3">
      <c r="G4991" s="15">
        <v>13.85</v>
      </c>
      <c r="H4991" s="3">
        <v>3.8716499999999071E-2</v>
      </c>
    </row>
    <row r="4992" spans="7:8" x14ac:dyDescent="0.3">
      <c r="G4992" s="15">
        <v>13.852777777777778</v>
      </c>
      <c r="H4992" s="3">
        <v>3.8717305555554624E-2</v>
      </c>
    </row>
    <row r="4993" spans="7:8" x14ac:dyDescent="0.3">
      <c r="G4993" s="15">
        <v>13.855555555555556</v>
      </c>
      <c r="H4993" s="3">
        <v>3.8718111111110183E-2</v>
      </c>
    </row>
    <row r="4994" spans="7:8" x14ac:dyDescent="0.3">
      <c r="G4994" s="15">
        <v>13.858333333333333</v>
      </c>
      <c r="H4994" s="3">
        <v>3.8718916666665742E-2</v>
      </c>
    </row>
    <row r="4995" spans="7:8" x14ac:dyDescent="0.3">
      <c r="G4995" s="15">
        <v>13.861111111111111</v>
      </c>
      <c r="H4995" s="3">
        <v>3.8719722222221295E-2</v>
      </c>
    </row>
    <row r="4996" spans="7:8" x14ac:dyDescent="0.3">
      <c r="G4996" s="15">
        <v>13.863888888888889</v>
      </c>
      <c r="H4996" s="3">
        <v>3.8720527777776848E-2</v>
      </c>
    </row>
    <row r="4997" spans="7:8" x14ac:dyDescent="0.3">
      <c r="G4997" s="15">
        <v>13.866666666666667</v>
      </c>
      <c r="H4997" s="3">
        <v>3.8721333333332407E-2</v>
      </c>
    </row>
    <row r="4998" spans="7:8" x14ac:dyDescent="0.3">
      <c r="G4998" s="15">
        <v>13.869444444444444</v>
      </c>
      <c r="H4998" s="3">
        <v>3.8722138888887966E-2</v>
      </c>
    </row>
    <row r="4999" spans="7:8" x14ac:dyDescent="0.3">
      <c r="G4999" s="15">
        <v>13.872222222222222</v>
      </c>
      <c r="H4999" s="3">
        <v>3.8722944444443519E-2</v>
      </c>
    </row>
    <row r="5000" spans="7:8" x14ac:dyDescent="0.3">
      <c r="G5000" s="15">
        <v>13.875</v>
      </c>
      <c r="H5000" s="3">
        <v>3.8723749999999071E-2</v>
      </c>
    </row>
    <row r="5001" spans="7:8" x14ac:dyDescent="0.3">
      <c r="G5001" s="15">
        <v>13.877777777777778</v>
      </c>
      <c r="H5001" s="3">
        <v>3.8724555555554631E-2</v>
      </c>
    </row>
    <row r="5002" spans="7:8" x14ac:dyDescent="0.3">
      <c r="G5002" s="15">
        <v>13.880555555555556</v>
      </c>
      <c r="H5002" s="3">
        <v>3.872536111111019E-2</v>
      </c>
    </row>
    <row r="5003" spans="7:8" x14ac:dyDescent="0.3">
      <c r="G5003" s="15">
        <v>13.883333333333333</v>
      </c>
      <c r="H5003" s="3">
        <v>3.8726166666665743E-2</v>
      </c>
    </row>
    <row r="5004" spans="7:8" x14ac:dyDescent="0.3">
      <c r="G5004" s="15">
        <v>13.886111111111111</v>
      </c>
      <c r="H5004" s="3">
        <v>3.8726972222221295E-2</v>
      </c>
    </row>
    <row r="5005" spans="7:8" x14ac:dyDescent="0.3">
      <c r="G5005" s="15">
        <v>13.888888888888889</v>
      </c>
      <c r="H5005" s="3">
        <v>3.8727777777776855E-2</v>
      </c>
    </row>
    <row r="5006" spans="7:8" x14ac:dyDescent="0.3">
      <c r="G5006" s="15">
        <v>13.891666666666667</v>
      </c>
      <c r="H5006" s="3">
        <v>3.8728583333332414E-2</v>
      </c>
    </row>
    <row r="5007" spans="7:8" x14ac:dyDescent="0.3">
      <c r="G5007" s="15">
        <v>13.894444444444444</v>
      </c>
      <c r="H5007" s="3">
        <v>3.8729388888887967E-2</v>
      </c>
    </row>
    <row r="5008" spans="7:8" x14ac:dyDescent="0.3">
      <c r="G5008" s="15">
        <v>13.897222222222222</v>
      </c>
      <c r="H5008" s="3">
        <v>3.8730194444443519E-2</v>
      </c>
    </row>
    <row r="5009" spans="7:8" x14ac:dyDescent="0.3">
      <c r="G5009" s="15">
        <v>13.9</v>
      </c>
      <c r="H5009" s="3">
        <v>3.8730999999999079E-2</v>
      </c>
    </row>
    <row r="5010" spans="7:8" x14ac:dyDescent="0.3">
      <c r="G5010" s="15">
        <v>13.902777777777779</v>
      </c>
      <c r="H5010" s="3">
        <v>3.8731805555554638E-2</v>
      </c>
    </row>
    <row r="5011" spans="7:8" x14ac:dyDescent="0.3">
      <c r="G5011" s="15">
        <v>13.905555555555555</v>
      </c>
      <c r="H5011" s="3">
        <v>3.8732611111110191E-2</v>
      </c>
    </row>
    <row r="5012" spans="7:8" x14ac:dyDescent="0.3">
      <c r="G5012" s="15">
        <v>13.908333333333333</v>
      </c>
      <c r="H5012" s="3">
        <v>3.8733416666665743E-2</v>
      </c>
    </row>
    <row r="5013" spans="7:8" x14ac:dyDescent="0.3">
      <c r="G5013" s="15">
        <v>13.911111111111111</v>
      </c>
      <c r="H5013" s="3">
        <v>3.8734222222221303E-2</v>
      </c>
    </row>
    <row r="5014" spans="7:8" x14ac:dyDescent="0.3">
      <c r="G5014" s="15">
        <v>13.91388888888889</v>
      </c>
      <c r="H5014" s="3">
        <v>3.8735027777776862E-2</v>
      </c>
    </row>
    <row r="5015" spans="7:8" x14ac:dyDescent="0.3">
      <c r="G5015" s="15">
        <v>13.916666666666666</v>
      </c>
      <c r="H5015" s="3">
        <v>3.8735833333332415E-2</v>
      </c>
    </row>
    <row r="5016" spans="7:8" x14ac:dyDescent="0.3">
      <c r="G5016" s="15">
        <v>13.919444444444444</v>
      </c>
      <c r="H5016" s="3">
        <v>3.8736638888887967E-2</v>
      </c>
    </row>
    <row r="5017" spans="7:8" x14ac:dyDescent="0.3">
      <c r="G5017" s="15">
        <v>13.922222222222222</v>
      </c>
      <c r="H5017" s="3">
        <v>3.8737444444443526E-2</v>
      </c>
    </row>
    <row r="5018" spans="7:8" x14ac:dyDescent="0.3">
      <c r="G5018" s="15">
        <v>13.925000000000001</v>
      </c>
      <c r="H5018" s="3">
        <v>3.8738249999999086E-2</v>
      </c>
    </row>
    <row r="5019" spans="7:8" x14ac:dyDescent="0.3">
      <c r="G5019" s="15">
        <v>13.927777777777777</v>
      </c>
      <c r="H5019" s="3">
        <v>3.8739055555554638E-2</v>
      </c>
    </row>
    <row r="5020" spans="7:8" x14ac:dyDescent="0.3">
      <c r="G5020" s="15">
        <v>13.930555555555555</v>
      </c>
      <c r="H5020" s="3">
        <v>3.8739861111110191E-2</v>
      </c>
    </row>
    <row r="5021" spans="7:8" x14ac:dyDescent="0.3">
      <c r="G5021" s="15">
        <v>13.933333333333334</v>
      </c>
      <c r="H5021" s="3">
        <v>3.874066666666575E-2</v>
      </c>
    </row>
    <row r="5022" spans="7:8" x14ac:dyDescent="0.3">
      <c r="G5022" s="15">
        <v>13.936111111111112</v>
      </c>
      <c r="H5022" s="3">
        <v>3.874147222222131E-2</v>
      </c>
    </row>
    <row r="5023" spans="7:8" x14ac:dyDescent="0.3">
      <c r="G5023" s="15">
        <v>13.938888888888888</v>
      </c>
      <c r="H5023" s="3">
        <v>3.8742277777776862E-2</v>
      </c>
    </row>
    <row r="5024" spans="7:8" x14ac:dyDescent="0.3">
      <c r="G5024" s="15">
        <v>13.941666666666666</v>
      </c>
      <c r="H5024" s="3">
        <v>3.8743083333332415E-2</v>
      </c>
    </row>
    <row r="5025" spans="7:8" x14ac:dyDescent="0.3">
      <c r="G5025" s="15">
        <v>13.944444444444445</v>
      </c>
      <c r="H5025" s="3">
        <v>3.8743888888887974E-2</v>
      </c>
    </row>
    <row r="5026" spans="7:8" x14ac:dyDescent="0.3">
      <c r="G5026" s="15">
        <v>13.947222222222223</v>
      </c>
      <c r="H5026" s="3">
        <v>3.8744694444443534E-2</v>
      </c>
    </row>
    <row r="5027" spans="7:8" x14ac:dyDescent="0.3">
      <c r="G5027" s="15">
        <v>13.95</v>
      </c>
      <c r="H5027" s="3">
        <v>3.8745499999999086E-2</v>
      </c>
    </row>
    <row r="5028" spans="7:8" x14ac:dyDescent="0.3">
      <c r="G5028" s="15">
        <v>13.952777777777778</v>
      </c>
      <c r="H5028" s="3">
        <v>3.8746305555554639E-2</v>
      </c>
    </row>
    <row r="5029" spans="7:8" x14ac:dyDescent="0.3">
      <c r="G5029" s="15">
        <v>13.955555555555556</v>
      </c>
      <c r="H5029" s="3">
        <v>3.8747111111110198E-2</v>
      </c>
    </row>
    <row r="5030" spans="7:8" x14ac:dyDescent="0.3">
      <c r="G5030" s="15">
        <v>13.958333333333334</v>
      </c>
      <c r="H5030" s="3">
        <v>3.8747916666665758E-2</v>
      </c>
    </row>
    <row r="5031" spans="7:8" x14ac:dyDescent="0.3">
      <c r="G5031" s="15">
        <v>13.96111111111111</v>
      </c>
      <c r="H5031" s="3">
        <v>3.874872222222131E-2</v>
      </c>
    </row>
    <row r="5032" spans="7:8" x14ac:dyDescent="0.3">
      <c r="G5032" s="15">
        <v>13.963888888888889</v>
      </c>
      <c r="H5032" s="3">
        <v>3.8749527777776863E-2</v>
      </c>
    </row>
    <row r="5033" spans="7:8" x14ac:dyDescent="0.3">
      <c r="G5033" s="15">
        <v>13.966666666666667</v>
      </c>
      <c r="H5033" s="3">
        <v>3.8750333333332422E-2</v>
      </c>
    </row>
    <row r="5034" spans="7:8" x14ac:dyDescent="0.3">
      <c r="G5034" s="15">
        <v>13.969444444444445</v>
      </c>
      <c r="H5034" s="3">
        <v>3.8751138888887982E-2</v>
      </c>
    </row>
    <row r="5035" spans="7:8" x14ac:dyDescent="0.3">
      <c r="G5035" s="15">
        <v>13.972222222222221</v>
      </c>
      <c r="H5035" s="3">
        <v>3.8751944444443534E-2</v>
      </c>
    </row>
    <row r="5036" spans="7:8" x14ac:dyDescent="0.3">
      <c r="G5036" s="15">
        <v>13.975</v>
      </c>
      <c r="H5036" s="3">
        <v>3.8752749999999087E-2</v>
      </c>
    </row>
    <row r="5037" spans="7:8" x14ac:dyDescent="0.3">
      <c r="G5037" s="15">
        <v>13.977777777777778</v>
      </c>
      <c r="H5037" s="3">
        <v>3.8753555555554646E-2</v>
      </c>
    </row>
    <row r="5038" spans="7:8" x14ac:dyDescent="0.3">
      <c r="G5038" s="15">
        <v>13.980555555555556</v>
      </c>
      <c r="H5038" s="3">
        <v>3.8754361111110205E-2</v>
      </c>
    </row>
    <row r="5039" spans="7:8" x14ac:dyDescent="0.3">
      <c r="G5039" s="15">
        <v>13.983333333333333</v>
      </c>
      <c r="H5039" s="3">
        <v>3.8755166666665758E-2</v>
      </c>
    </row>
    <row r="5040" spans="7:8" x14ac:dyDescent="0.3">
      <c r="G5040" s="15">
        <v>13.986111111111111</v>
      </c>
      <c r="H5040" s="3">
        <v>3.875597222222131E-2</v>
      </c>
    </row>
    <row r="5041" spans="7:8" x14ac:dyDescent="0.3">
      <c r="G5041" s="15">
        <v>13.988888888888889</v>
      </c>
      <c r="H5041" s="3">
        <v>3.875677777777687E-2</v>
      </c>
    </row>
    <row r="5042" spans="7:8" x14ac:dyDescent="0.3">
      <c r="G5042" s="15">
        <v>13.991666666666667</v>
      </c>
      <c r="H5042" s="3">
        <v>3.8757583333332429E-2</v>
      </c>
    </row>
    <row r="5043" spans="7:8" x14ac:dyDescent="0.3">
      <c r="G5043" s="15">
        <v>13.994444444444444</v>
      </c>
      <c r="H5043" s="3">
        <v>3.8758388888887982E-2</v>
      </c>
    </row>
    <row r="5044" spans="7:8" x14ac:dyDescent="0.3">
      <c r="G5044" s="15">
        <v>13.997222222222222</v>
      </c>
      <c r="H5044" s="3">
        <v>3.8759194444443534E-2</v>
      </c>
    </row>
    <row r="5045" spans="7:8" x14ac:dyDescent="0.3">
      <c r="G5045" s="15">
        <v>14</v>
      </c>
      <c r="H5045" s="3">
        <v>3.8759999999999094E-2</v>
      </c>
    </row>
    <row r="5046" spans="7:8" x14ac:dyDescent="0.3">
      <c r="G5046" s="15">
        <v>14.002777777777778</v>
      </c>
      <c r="H5046" s="3">
        <v>3.8760805555554653E-2</v>
      </c>
    </row>
    <row r="5047" spans="7:8" x14ac:dyDescent="0.3">
      <c r="G5047" s="15">
        <v>14.005555555555556</v>
      </c>
      <c r="H5047" s="3">
        <v>3.8761611111110206E-2</v>
      </c>
    </row>
    <row r="5048" spans="7:8" x14ac:dyDescent="0.3">
      <c r="G5048" s="15">
        <v>14.008333333333333</v>
      </c>
      <c r="H5048" s="3">
        <v>3.8762416666665758E-2</v>
      </c>
    </row>
    <row r="5049" spans="7:8" x14ac:dyDescent="0.3">
      <c r="G5049" s="15">
        <v>14.011111111111111</v>
      </c>
      <c r="H5049" s="3">
        <v>3.8763222222221318E-2</v>
      </c>
    </row>
    <row r="5050" spans="7:8" x14ac:dyDescent="0.3">
      <c r="G5050" s="15">
        <v>14.013888888888889</v>
      </c>
      <c r="H5050" s="3">
        <v>3.8764027777776877E-2</v>
      </c>
    </row>
    <row r="5051" spans="7:8" x14ac:dyDescent="0.3">
      <c r="G5051" s="15">
        <v>14.016666666666667</v>
      </c>
      <c r="H5051" s="3">
        <v>3.876483333333243E-2</v>
      </c>
    </row>
    <row r="5052" spans="7:8" x14ac:dyDescent="0.3">
      <c r="G5052" s="15">
        <v>14.019444444444444</v>
      </c>
      <c r="H5052" s="3">
        <v>3.8765638888887982E-2</v>
      </c>
    </row>
    <row r="5053" spans="7:8" x14ac:dyDescent="0.3">
      <c r="G5053" s="15">
        <v>14.022222222222222</v>
      </c>
      <c r="H5053" s="3">
        <v>3.8766444444443542E-2</v>
      </c>
    </row>
    <row r="5054" spans="7:8" x14ac:dyDescent="0.3">
      <c r="G5054" s="15">
        <v>14.025</v>
      </c>
      <c r="H5054" s="3">
        <v>3.8767249999999101E-2</v>
      </c>
    </row>
    <row r="5055" spans="7:8" x14ac:dyDescent="0.3">
      <c r="G5055" s="15">
        <v>14.027777777777779</v>
      </c>
      <c r="H5055" s="3">
        <v>3.8768055555554654E-2</v>
      </c>
    </row>
    <row r="5056" spans="7:8" x14ac:dyDescent="0.3">
      <c r="G5056" s="15">
        <v>14.030555555555555</v>
      </c>
      <c r="H5056" s="3">
        <v>3.8768861111110206E-2</v>
      </c>
    </row>
    <row r="5057" spans="7:8" x14ac:dyDescent="0.3">
      <c r="G5057" s="15">
        <v>14.033333333333333</v>
      </c>
      <c r="H5057" s="3">
        <v>3.8769666666665765E-2</v>
      </c>
    </row>
    <row r="5058" spans="7:8" x14ac:dyDescent="0.3">
      <c r="G5058" s="15">
        <v>14.036111111111111</v>
      </c>
      <c r="H5058" s="3">
        <v>3.8770472222221325E-2</v>
      </c>
    </row>
    <row r="5059" spans="7:8" x14ac:dyDescent="0.3">
      <c r="G5059" s="15">
        <v>14.03888888888889</v>
      </c>
      <c r="H5059" s="3">
        <v>3.8771277777776877E-2</v>
      </c>
    </row>
    <row r="5060" spans="7:8" x14ac:dyDescent="0.3">
      <c r="G5060" s="15">
        <v>14.041666666666666</v>
      </c>
      <c r="H5060" s="3">
        <v>3.877208333333243E-2</v>
      </c>
    </row>
    <row r="5061" spans="7:8" x14ac:dyDescent="0.3">
      <c r="G5061" s="15">
        <v>14.044444444444444</v>
      </c>
      <c r="H5061" s="3">
        <v>3.8772888888887989E-2</v>
      </c>
    </row>
    <row r="5062" spans="7:8" x14ac:dyDescent="0.3">
      <c r="G5062" s="15">
        <v>14.047222222222222</v>
      </c>
      <c r="H5062" s="3">
        <v>3.8773694444443549E-2</v>
      </c>
    </row>
    <row r="5063" spans="7:8" x14ac:dyDescent="0.3">
      <c r="G5063" s="15">
        <v>14.05</v>
      </c>
      <c r="H5063" s="3">
        <v>3.8774499999999101E-2</v>
      </c>
    </row>
    <row r="5064" spans="7:8" x14ac:dyDescent="0.3">
      <c r="G5064" s="15">
        <v>14.052777777777777</v>
      </c>
      <c r="H5064" s="3">
        <v>3.8775305555554654E-2</v>
      </c>
    </row>
    <row r="5065" spans="7:8" x14ac:dyDescent="0.3">
      <c r="G5065" s="15">
        <v>14.055555555555555</v>
      </c>
      <c r="H5065" s="3">
        <v>3.8776111111110213E-2</v>
      </c>
    </row>
    <row r="5066" spans="7:8" x14ac:dyDescent="0.3">
      <c r="G5066" s="15">
        <v>14.058333333333334</v>
      </c>
      <c r="H5066" s="3">
        <v>3.8776916666665773E-2</v>
      </c>
    </row>
    <row r="5067" spans="7:8" x14ac:dyDescent="0.3">
      <c r="G5067" s="15">
        <v>14.061111111111112</v>
      </c>
      <c r="H5067" s="3">
        <v>3.8777722222221325E-2</v>
      </c>
    </row>
    <row r="5068" spans="7:8" x14ac:dyDescent="0.3">
      <c r="G5068" s="15">
        <v>14.063888888888888</v>
      </c>
      <c r="H5068" s="3">
        <v>3.8778527777776878E-2</v>
      </c>
    </row>
    <row r="5069" spans="7:8" x14ac:dyDescent="0.3">
      <c r="G5069" s="15">
        <v>14.066666666666666</v>
      </c>
      <c r="H5069" s="3">
        <v>3.8779333333332437E-2</v>
      </c>
    </row>
    <row r="5070" spans="7:8" x14ac:dyDescent="0.3">
      <c r="G5070" s="15">
        <v>14.069444444444445</v>
      </c>
      <c r="H5070" s="3">
        <v>3.8780138888887997E-2</v>
      </c>
    </row>
    <row r="5071" spans="7:8" x14ac:dyDescent="0.3">
      <c r="G5071" s="15">
        <v>14.072222222222223</v>
      </c>
      <c r="H5071" s="3">
        <v>3.8780944444443549E-2</v>
      </c>
    </row>
    <row r="5072" spans="7:8" x14ac:dyDescent="0.3">
      <c r="G5072" s="15">
        <v>14.074999999999999</v>
      </c>
      <c r="H5072" s="3">
        <v>3.8781749999999102E-2</v>
      </c>
    </row>
    <row r="5073" spans="7:8" x14ac:dyDescent="0.3">
      <c r="G5073" s="15">
        <v>14.077777777777778</v>
      </c>
      <c r="H5073" s="3">
        <v>3.8782555555554661E-2</v>
      </c>
    </row>
    <row r="5074" spans="7:8" x14ac:dyDescent="0.3">
      <c r="G5074" s="15">
        <v>14.080555555555556</v>
      </c>
      <c r="H5074" s="3">
        <v>3.8783361111110221E-2</v>
      </c>
    </row>
    <row r="5075" spans="7:8" x14ac:dyDescent="0.3">
      <c r="G5075" s="15">
        <v>14.083333333333334</v>
      </c>
      <c r="H5075" s="3">
        <v>3.8784166666665773E-2</v>
      </c>
    </row>
    <row r="5076" spans="7:8" x14ac:dyDescent="0.3">
      <c r="G5076" s="15">
        <v>14.08611111111111</v>
      </c>
      <c r="H5076" s="3">
        <v>3.8784972222221326E-2</v>
      </c>
    </row>
    <row r="5077" spans="7:8" x14ac:dyDescent="0.3">
      <c r="G5077" s="15">
        <v>14.088888888888889</v>
      </c>
      <c r="H5077" s="3">
        <v>3.8785777777776885E-2</v>
      </c>
    </row>
    <row r="5078" spans="7:8" x14ac:dyDescent="0.3">
      <c r="G5078" s="15">
        <v>14.091666666666667</v>
      </c>
      <c r="H5078" s="3">
        <v>3.8786583333332444E-2</v>
      </c>
    </row>
    <row r="5079" spans="7:8" x14ac:dyDescent="0.3">
      <c r="G5079" s="15">
        <v>14.094444444444445</v>
      </c>
      <c r="H5079" s="3">
        <v>3.8787388888887997E-2</v>
      </c>
    </row>
    <row r="5080" spans="7:8" x14ac:dyDescent="0.3">
      <c r="G5080" s="15">
        <v>14.097222222222221</v>
      </c>
      <c r="H5080" s="3">
        <v>3.8788194444443549E-2</v>
      </c>
    </row>
    <row r="5081" spans="7:8" x14ac:dyDescent="0.3">
      <c r="G5081" s="15">
        <v>14.1</v>
      </c>
      <c r="H5081" s="3">
        <v>3.8788999999999109E-2</v>
      </c>
    </row>
    <row r="5082" spans="7:8" x14ac:dyDescent="0.3">
      <c r="G5082" s="15">
        <v>14.102777777777778</v>
      </c>
      <c r="H5082" s="3">
        <v>3.8789805555554668E-2</v>
      </c>
    </row>
    <row r="5083" spans="7:8" x14ac:dyDescent="0.3">
      <c r="G5083" s="15">
        <v>14.105555555555556</v>
      </c>
      <c r="H5083" s="3">
        <v>3.8790611111110221E-2</v>
      </c>
    </row>
    <row r="5084" spans="7:8" x14ac:dyDescent="0.3">
      <c r="G5084" s="15">
        <v>14.108333333333333</v>
      </c>
      <c r="H5084" s="3">
        <v>3.8791416666665773E-2</v>
      </c>
    </row>
    <row r="5085" spans="7:8" x14ac:dyDescent="0.3">
      <c r="G5085" s="15">
        <v>14.111111111111111</v>
      </c>
      <c r="H5085" s="3">
        <v>3.8792222222221333E-2</v>
      </c>
    </row>
    <row r="5086" spans="7:8" x14ac:dyDescent="0.3">
      <c r="G5086" s="15">
        <v>14.113888888888889</v>
      </c>
      <c r="H5086" s="3">
        <v>3.8793027777776892E-2</v>
      </c>
    </row>
    <row r="5087" spans="7:8" x14ac:dyDescent="0.3">
      <c r="G5087" s="15">
        <v>14.116666666666667</v>
      </c>
      <c r="H5087" s="3">
        <v>3.8793833333332445E-2</v>
      </c>
    </row>
    <row r="5088" spans="7:8" x14ac:dyDescent="0.3">
      <c r="G5088" s="15">
        <v>14.119444444444444</v>
      </c>
      <c r="H5088" s="3">
        <v>3.8794638888887997E-2</v>
      </c>
    </row>
    <row r="5089" spans="7:8" x14ac:dyDescent="0.3">
      <c r="G5089" s="15">
        <v>14.122222222222222</v>
      </c>
      <c r="H5089" s="3">
        <v>3.8795444444443557E-2</v>
      </c>
    </row>
    <row r="5090" spans="7:8" x14ac:dyDescent="0.3">
      <c r="G5090" s="15">
        <v>14.125</v>
      </c>
      <c r="H5090" s="3">
        <v>3.8796249999999116E-2</v>
      </c>
    </row>
    <row r="5091" spans="7:8" x14ac:dyDescent="0.3">
      <c r="G5091" s="15">
        <v>14.127777777777778</v>
      </c>
      <c r="H5091" s="3">
        <v>3.8797055555554669E-2</v>
      </c>
    </row>
    <row r="5092" spans="7:8" x14ac:dyDescent="0.3">
      <c r="G5092" s="15">
        <v>14.130555555555556</v>
      </c>
      <c r="H5092" s="3">
        <v>3.8797861111110221E-2</v>
      </c>
    </row>
    <row r="5093" spans="7:8" x14ac:dyDescent="0.3">
      <c r="G5093" s="15">
        <v>14.133333333333333</v>
      </c>
      <c r="H5093" s="3">
        <v>3.8798666666665781E-2</v>
      </c>
    </row>
    <row r="5094" spans="7:8" x14ac:dyDescent="0.3">
      <c r="G5094" s="15">
        <v>14.136111111111111</v>
      </c>
      <c r="H5094" s="3">
        <v>3.879947222222134E-2</v>
      </c>
    </row>
    <row r="5095" spans="7:8" x14ac:dyDescent="0.3">
      <c r="G5095" s="15">
        <v>14.138888888888889</v>
      </c>
      <c r="H5095" s="3">
        <v>3.8800277777776893E-2</v>
      </c>
    </row>
    <row r="5096" spans="7:8" x14ac:dyDescent="0.3">
      <c r="G5096" s="15">
        <v>14.141666666666667</v>
      </c>
      <c r="H5096" s="3">
        <v>3.8801083333332445E-2</v>
      </c>
    </row>
    <row r="5097" spans="7:8" x14ac:dyDescent="0.3">
      <c r="G5097" s="15">
        <v>14.144444444444444</v>
      </c>
      <c r="H5097" s="3">
        <v>3.8801888888888005E-2</v>
      </c>
    </row>
    <row r="5098" spans="7:8" x14ac:dyDescent="0.3">
      <c r="G5098" s="15">
        <v>14.147222222222222</v>
      </c>
      <c r="H5098" s="3">
        <v>3.8802694444443564E-2</v>
      </c>
    </row>
    <row r="5099" spans="7:8" x14ac:dyDescent="0.3">
      <c r="G5099" s="15">
        <v>14.15</v>
      </c>
      <c r="H5099" s="3">
        <v>3.8803499999999116E-2</v>
      </c>
    </row>
    <row r="5100" spans="7:8" x14ac:dyDescent="0.3">
      <c r="G5100" s="15">
        <v>14.152777777777779</v>
      </c>
      <c r="H5100" s="3">
        <v>3.8804305555554669E-2</v>
      </c>
    </row>
    <row r="5101" spans="7:8" x14ac:dyDescent="0.3">
      <c r="G5101" s="15">
        <v>14.155555555555555</v>
      </c>
      <c r="H5101" s="3">
        <v>3.8805111111110228E-2</v>
      </c>
    </row>
    <row r="5102" spans="7:8" x14ac:dyDescent="0.3">
      <c r="G5102" s="15">
        <v>14.158333333333333</v>
      </c>
      <c r="H5102" s="3">
        <v>3.8805916666665788E-2</v>
      </c>
    </row>
    <row r="5103" spans="7:8" x14ac:dyDescent="0.3">
      <c r="G5103" s="15">
        <v>14.161111111111111</v>
      </c>
      <c r="H5103" s="3">
        <v>3.880672222222134E-2</v>
      </c>
    </row>
    <row r="5104" spans="7:8" x14ac:dyDescent="0.3">
      <c r="G5104" s="15">
        <v>14.16388888888889</v>
      </c>
      <c r="H5104" s="3">
        <v>3.8807527777776893E-2</v>
      </c>
    </row>
    <row r="5105" spans="7:8" x14ac:dyDescent="0.3">
      <c r="G5105" s="15">
        <v>14.166666666666666</v>
      </c>
      <c r="H5105" s="3">
        <v>3.8808333333332452E-2</v>
      </c>
    </row>
    <row r="5106" spans="7:8" x14ac:dyDescent="0.3">
      <c r="G5106" s="15">
        <v>14.169444444444444</v>
      </c>
      <c r="H5106" s="3">
        <v>3.8809138888888012E-2</v>
      </c>
    </row>
    <row r="5107" spans="7:8" x14ac:dyDescent="0.3">
      <c r="G5107" s="15">
        <v>14.172222222222222</v>
      </c>
      <c r="H5107" s="3">
        <v>3.8809944444443564E-2</v>
      </c>
    </row>
    <row r="5108" spans="7:8" x14ac:dyDescent="0.3">
      <c r="G5108" s="15">
        <v>14.175000000000001</v>
      </c>
      <c r="H5108" s="3">
        <v>3.8810749999999117E-2</v>
      </c>
    </row>
    <row r="5109" spans="7:8" x14ac:dyDescent="0.3">
      <c r="G5109" s="15">
        <v>14.177777777777777</v>
      </c>
      <c r="H5109" s="3">
        <v>3.8811555555554676E-2</v>
      </c>
    </row>
    <row r="5110" spans="7:8" x14ac:dyDescent="0.3">
      <c r="G5110" s="15">
        <v>14.180555555555555</v>
      </c>
      <c r="H5110" s="3">
        <v>3.8812361111110236E-2</v>
      </c>
    </row>
    <row r="5111" spans="7:8" x14ac:dyDescent="0.3">
      <c r="G5111" s="15">
        <v>14.183333333333334</v>
      </c>
      <c r="H5111" s="3">
        <v>3.8813166666665788E-2</v>
      </c>
    </row>
    <row r="5112" spans="7:8" x14ac:dyDescent="0.3">
      <c r="G5112" s="15">
        <v>14.186111111111112</v>
      </c>
      <c r="H5112" s="3">
        <v>3.8813972222221341E-2</v>
      </c>
    </row>
    <row r="5113" spans="7:8" x14ac:dyDescent="0.3">
      <c r="G5113" s="15">
        <v>14.188888888888888</v>
      </c>
      <c r="H5113" s="3">
        <v>3.88147777777769E-2</v>
      </c>
    </row>
    <row r="5114" spans="7:8" x14ac:dyDescent="0.3">
      <c r="G5114" s="15">
        <v>14.191666666666666</v>
      </c>
      <c r="H5114" s="3">
        <v>3.881558333333246E-2</v>
      </c>
    </row>
    <row r="5115" spans="7:8" x14ac:dyDescent="0.3">
      <c r="G5115" s="15">
        <v>14.194444444444445</v>
      </c>
      <c r="H5115" s="3">
        <v>3.8816388888888012E-2</v>
      </c>
    </row>
    <row r="5116" spans="7:8" x14ac:dyDescent="0.3">
      <c r="G5116" s="15">
        <v>14.197222222222223</v>
      </c>
      <c r="H5116" s="3">
        <v>3.8817194444443565E-2</v>
      </c>
    </row>
    <row r="5117" spans="7:8" x14ac:dyDescent="0.3">
      <c r="G5117" s="15">
        <v>14.2</v>
      </c>
      <c r="H5117" s="3">
        <v>3.8817999999999124E-2</v>
      </c>
    </row>
    <row r="5118" spans="7:8" x14ac:dyDescent="0.3">
      <c r="G5118" s="15">
        <v>14.202777777777778</v>
      </c>
      <c r="H5118" s="3">
        <v>3.8818805555554683E-2</v>
      </c>
    </row>
    <row r="5119" spans="7:8" x14ac:dyDescent="0.3">
      <c r="G5119" s="15">
        <v>14.205555555555556</v>
      </c>
      <c r="H5119" s="3">
        <v>3.8819611111110236E-2</v>
      </c>
    </row>
    <row r="5120" spans="7:8" x14ac:dyDescent="0.3">
      <c r="G5120" s="15">
        <v>14.208333333333334</v>
      </c>
      <c r="H5120" s="3">
        <v>3.8820416666665788E-2</v>
      </c>
    </row>
    <row r="5121" spans="7:8" x14ac:dyDescent="0.3">
      <c r="G5121" s="15">
        <v>14.21111111111111</v>
      </c>
      <c r="H5121" s="3">
        <v>3.8821222222221348E-2</v>
      </c>
    </row>
    <row r="5122" spans="7:8" x14ac:dyDescent="0.3">
      <c r="G5122" s="15">
        <v>14.213888888888889</v>
      </c>
      <c r="H5122" s="3">
        <v>3.8822027777776907E-2</v>
      </c>
    </row>
    <row r="5123" spans="7:8" x14ac:dyDescent="0.3">
      <c r="G5123" s="15">
        <v>14.216666666666667</v>
      </c>
      <c r="H5123" s="3">
        <v>3.882283333333246E-2</v>
      </c>
    </row>
    <row r="5124" spans="7:8" x14ac:dyDescent="0.3">
      <c r="G5124" s="15">
        <v>14.219444444444445</v>
      </c>
      <c r="H5124" s="3">
        <v>3.8823638888888012E-2</v>
      </c>
    </row>
    <row r="5125" spans="7:8" x14ac:dyDescent="0.3">
      <c r="G5125" s="15">
        <v>14.222222222222221</v>
      </c>
      <c r="H5125" s="3">
        <v>3.8824444444443572E-2</v>
      </c>
    </row>
    <row r="5126" spans="7:8" x14ac:dyDescent="0.3">
      <c r="G5126" s="15">
        <v>14.225</v>
      </c>
      <c r="H5126" s="3">
        <v>3.8825249999999131E-2</v>
      </c>
    </row>
    <row r="5127" spans="7:8" x14ac:dyDescent="0.3">
      <c r="G5127" s="15">
        <v>14.227777777777778</v>
      </c>
      <c r="H5127" s="3">
        <v>3.8826055555554684E-2</v>
      </c>
    </row>
    <row r="5128" spans="7:8" x14ac:dyDescent="0.3">
      <c r="G5128" s="15">
        <v>14.230555555555556</v>
      </c>
      <c r="H5128" s="3">
        <v>3.8826861111110236E-2</v>
      </c>
    </row>
    <row r="5129" spans="7:8" x14ac:dyDescent="0.3">
      <c r="G5129" s="15">
        <v>14.233333333333333</v>
      </c>
      <c r="H5129" s="3">
        <v>3.8827666666665796E-2</v>
      </c>
    </row>
    <row r="5130" spans="7:8" x14ac:dyDescent="0.3">
      <c r="G5130" s="15">
        <v>14.236111111111111</v>
      </c>
      <c r="H5130" s="3">
        <v>3.8828472222221355E-2</v>
      </c>
    </row>
    <row r="5131" spans="7:8" x14ac:dyDescent="0.3">
      <c r="G5131" s="15">
        <v>14.238888888888889</v>
      </c>
      <c r="H5131" s="3">
        <v>3.8829277777776908E-2</v>
      </c>
    </row>
    <row r="5132" spans="7:8" x14ac:dyDescent="0.3">
      <c r="G5132" s="15">
        <v>14.241666666666667</v>
      </c>
      <c r="H5132" s="3">
        <v>3.883008333333246E-2</v>
      </c>
    </row>
    <row r="5133" spans="7:8" x14ac:dyDescent="0.3">
      <c r="G5133" s="15">
        <v>14.244444444444444</v>
      </c>
      <c r="H5133" s="3">
        <v>3.883088888888802E-2</v>
      </c>
    </row>
    <row r="5134" spans="7:8" x14ac:dyDescent="0.3">
      <c r="G5134" s="15">
        <v>14.247222222222222</v>
      </c>
      <c r="H5134" s="3">
        <v>3.8831694444443579E-2</v>
      </c>
    </row>
    <row r="5135" spans="7:8" x14ac:dyDescent="0.3">
      <c r="G5135" s="15">
        <v>14.25</v>
      </c>
      <c r="H5135" s="3">
        <v>3.8832499999999132E-2</v>
      </c>
    </row>
    <row r="5136" spans="7:8" x14ac:dyDescent="0.3">
      <c r="G5136" s="15">
        <v>14.252777777777778</v>
      </c>
      <c r="H5136" s="3">
        <v>3.8833305555554684E-2</v>
      </c>
    </row>
    <row r="5137" spans="7:8" x14ac:dyDescent="0.3">
      <c r="G5137" s="15">
        <v>14.255555555555556</v>
      </c>
      <c r="H5137" s="3">
        <v>3.8834111111110244E-2</v>
      </c>
    </row>
    <row r="5138" spans="7:8" x14ac:dyDescent="0.3">
      <c r="G5138" s="15">
        <v>14.258333333333333</v>
      </c>
      <c r="H5138" s="3">
        <v>3.8834916666665803E-2</v>
      </c>
    </row>
    <row r="5139" spans="7:8" x14ac:dyDescent="0.3">
      <c r="G5139" s="15">
        <v>14.261111111111111</v>
      </c>
      <c r="H5139" s="3">
        <v>3.8835722222221356E-2</v>
      </c>
    </row>
    <row r="5140" spans="7:8" x14ac:dyDescent="0.3">
      <c r="G5140" s="15">
        <v>14.263888888888889</v>
      </c>
      <c r="H5140" s="3">
        <v>3.8836527777776908E-2</v>
      </c>
    </row>
    <row r="5141" spans="7:8" x14ac:dyDescent="0.3">
      <c r="G5141" s="15">
        <v>14.266666666666667</v>
      </c>
      <c r="H5141" s="3">
        <v>3.8837333333332467E-2</v>
      </c>
    </row>
    <row r="5142" spans="7:8" x14ac:dyDescent="0.3">
      <c r="G5142" s="15">
        <v>14.269444444444444</v>
      </c>
      <c r="H5142" s="3">
        <v>3.8838138888888027E-2</v>
      </c>
    </row>
    <row r="5143" spans="7:8" x14ac:dyDescent="0.3">
      <c r="G5143" s="15">
        <v>14.272222222222222</v>
      </c>
      <c r="H5143" s="3">
        <v>3.8838944444443579E-2</v>
      </c>
    </row>
    <row r="5144" spans="7:8" x14ac:dyDescent="0.3">
      <c r="G5144" s="15">
        <v>14.275</v>
      </c>
      <c r="H5144" s="3">
        <v>3.8839749999999132E-2</v>
      </c>
    </row>
    <row r="5145" spans="7:8" x14ac:dyDescent="0.3">
      <c r="G5145" s="15">
        <v>14.277777777777779</v>
      </c>
      <c r="H5145" s="3">
        <v>3.8840555555554691E-2</v>
      </c>
    </row>
    <row r="5146" spans="7:8" x14ac:dyDescent="0.3">
      <c r="G5146" s="15">
        <v>14.280555555555555</v>
      </c>
      <c r="H5146" s="3">
        <v>3.8841361111110251E-2</v>
      </c>
    </row>
    <row r="5147" spans="7:8" x14ac:dyDescent="0.3">
      <c r="G5147" s="15">
        <v>14.283333333333333</v>
      </c>
      <c r="H5147" s="3">
        <v>3.8842166666665803E-2</v>
      </c>
    </row>
    <row r="5148" spans="7:8" x14ac:dyDescent="0.3">
      <c r="G5148" s="15">
        <v>14.286111111111111</v>
      </c>
      <c r="H5148" s="3">
        <v>3.8842972222221356E-2</v>
      </c>
    </row>
    <row r="5149" spans="7:8" x14ac:dyDescent="0.3">
      <c r="G5149" s="15">
        <v>14.28888888888889</v>
      </c>
      <c r="H5149" s="3">
        <v>3.8843777777776915E-2</v>
      </c>
    </row>
    <row r="5150" spans="7:8" x14ac:dyDescent="0.3">
      <c r="G5150" s="15">
        <v>14.291666666666666</v>
      </c>
      <c r="H5150" s="3">
        <v>3.8844583333332475E-2</v>
      </c>
    </row>
    <row r="5151" spans="7:8" x14ac:dyDescent="0.3">
      <c r="G5151" s="15">
        <v>14.294444444444444</v>
      </c>
      <c r="H5151" s="3">
        <v>3.8845388888888027E-2</v>
      </c>
    </row>
    <row r="5152" spans="7:8" x14ac:dyDescent="0.3">
      <c r="G5152" s="15">
        <v>14.297222222222222</v>
      </c>
      <c r="H5152" s="3">
        <v>3.884619444444358E-2</v>
      </c>
    </row>
    <row r="5153" spans="7:8" x14ac:dyDescent="0.3">
      <c r="G5153" s="15">
        <v>14.3</v>
      </c>
      <c r="H5153" s="3">
        <v>3.8846999999999139E-2</v>
      </c>
    </row>
    <row r="5154" spans="7:8" x14ac:dyDescent="0.3">
      <c r="G5154" s="15">
        <v>14.302777777777777</v>
      </c>
      <c r="H5154" s="3">
        <v>3.8847805555554699E-2</v>
      </c>
    </row>
    <row r="5155" spans="7:8" x14ac:dyDescent="0.3">
      <c r="G5155" s="15">
        <v>14.305555555555555</v>
      </c>
      <c r="H5155" s="3">
        <v>3.8848611111110251E-2</v>
      </c>
    </row>
    <row r="5156" spans="7:8" x14ac:dyDescent="0.3">
      <c r="G5156" s="15">
        <v>14.308333333333334</v>
      </c>
      <c r="H5156" s="3">
        <v>3.8849416666665804E-2</v>
      </c>
    </row>
    <row r="5157" spans="7:8" x14ac:dyDescent="0.3">
      <c r="G5157" s="15">
        <v>14.311111111111112</v>
      </c>
      <c r="H5157" s="3">
        <v>3.8850222222221363E-2</v>
      </c>
    </row>
    <row r="5158" spans="7:8" x14ac:dyDescent="0.3">
      <c r="G5158" s="15">
        <v>14.313888888888888</v>
      </c>
      <c r="H5158" s="3">
        <v>3.8851027777776923E-2</v>
      </c>
    </row>
    <row r="5159" spans="7:8" x14ac:dyDescent="0.3">
      <c r="G5159" s="15">
        <v>14.316666666666666</v>
      </c>
      <c r="H5159" s="3">
        <v>3.8851833333332475E-2</v>
      </c>
    </row>
    <row r="5160" spans="7:8" x14ac:dyDescent="0.3">
      <c r="G5160" s="15">
        <v>14.319444444444445</v>
      </c>
      <c r="H5160" s="3">
        <v>3.8852638888888028E-2</v>
      </c>
    </row>
    <row r="5161" spans="7:8" x14ac:dyDescent="0.3">
      <c r="G5161" s="15">
        <v>14.322222222222223</v>
      </c>
      <c r="H5161" s="3">
        <v>3.8853444444443587E-2</v>
      </c>
    </row>
    <row r="5162" spans="7:8" x14ac:dyDescent="0.3">
      <c r="G5162" s="15">
        <v>14.324999999999999</v>
      </c>
      <c r="H5162" s="3">
        <v>3.8854249999999146E-2</v>
      </c>
    </row>
    <row r="5163" spans="7:8" x14ac:dyDescent="0.3">
      <c r="G5163" s="15">
        <v>14.327777777777778</v>
      </c>
      <c r="H5163" s="3">
        <v>3.8855055555554699E-2</v>
      </c>
    </row>
    <row r="5164" spans="7:8" x14ac:dyDescent="0.3">
      <c r="G5164" s="15">
        <v>14.330555555555556</v>
      </c>
      <c r="H5164" s="3">
        <v>3.8855861111110251E-2</v>
      </c>
    </row>
    <row r="5165" spans="7:8" x14ac:dyDescent="0.3">
      <c r="G5165" s="15">
        <v>14.333333333333334</v>
      </c>
      <c r="H5165" s="3">
        <v>3.8856666666665811E-2</v>
      </c>
    </row>
    <row r="5166" spans="7:8" x14ac:dyDescent="0.3">
      <c r="G5166" s="15">
        <v>14.33611111111111</v>
      </c>
      <c r="H5166" s="3">
        <v>3.885747222222137E-2</v>
      </c>
    </row>
    <row r="5167" spans="7:8" x14ac:dyDescent="0.3">
      <c r="G5167" s="15">
        <v>14.338888888888889</v>
      </c>
      <c r="H5167" s="3">
        <v>3.8858277777776923E-2</v>
      </c>
    </row>
    <row r="5168" spans="7:8" x14ac:dyDescent="0.3">
      <c r="G5168" s="15">
        <v>14.341666666666667</v>
      </c>
      <c r="H5168" s="3">
        <v>3.8859083333332475E-2</v>
      </c>
    </row>
    <row r="5169" spans="7:8" x14ac:dyDescent="0.3">
      <c r="G5169" s="15">
        <v>14.344444444444445</v>
      </c>
      <c r="H5169" s="3">
        <v>3.8859888888888035E-2</v>
      </c>
    </row>
    <row r="5170" spans="7:8" x14ac:dyDescent="0.3">
      <c r="G5170" s="15">
        <v>14.347222222222221</v>
      </c>
      <c r="H5170" s="3">
        <v>3.8860694444443594E-2</v>
      </c>
    </row>
    <row r="5171" spans="7:8" x14ac:dyDescent="0.3">
      <c r="G5171" s="15">
        <v>14.35</v>
      </c>
      <c r="H5171" s="3">
        <v>3.8861499999999147E-2</v>
      </c>
    </row>
    <row r="5172" spans="7:8" x14ac:dyDescent="0.3">
      <c r="G5172" s="15">
        <v>14.352777777777778</v>
      </c>
      <c r="H5172" s="3">
        <v>3.8862305555554699E-2</v>
      </c>
    </row>
    <row r="5173" spans="7:8" x14ac:dyDescent="0.3">
      <c r="G5173" s="15">
        <v>14.355555555555556</v>
      </c>
      <c r="H5173" s="3">
        <v>3.8863111111110259E-2</v>
      </c>
    </row>
    <row r="5174" spans="7:8" x14ac:dyDescent="0.3">
      <c r="G5174" s="15">
        <v>14.358333333333333</v>
      </c>
      <c r="H5174" s="3">
        <v>3.8863916666665818E-2</v>
      </c>
    </row>
    <row r="5175" spans="7:8" x14ac:dyDescent="0.3">
      <c r="G5175" s="15">
        <v>14.361111111111111</v>
      </c>
      <c r="H5175" s="3">
        <v>3.8864722222221371E-2</v>
      </c>
    </row>
    <row r="5176" spans="7:8" x14ac:dyDescent="0.3">
      <c r="G5176" s="15">
        <v>14.363888888888889</v>
      </c>
      <c r="H5176" s="3">
        <v>3.8865527777776923E-2</v>
      </c>
    </row>
    <row r="5177" spans="7:8" x14ac:dyDescent="0.3">
      <c r="G5177" s="15">
        <v>14.366666666666667</v>
      </c>
      <c r="H5177" s="3">
        <v>3.8866333333332483E-2</v>
      </c>
    </row>
    <row r="5178" spans="7:8" x14ac:dyDescent="0.3">
      <c r="G5178" s="15">
        <v>14.369444444444444</v>
      </c>
      <c r="H5178" s="3">
        <v>3.8867138888888042E-2</v>
      </c>
    </row>
    <row r="5179" spans="7:8" x14ac:dyDescent="0.3">
      <c r="G5179" s="15">
        <v>14.372222222222222</v>
      </c>
      <c r="H5179" s="3">
        <v>3.8867944444443595E-2</v>
      </c>
    </row>
    <row r="5180" spans="7:8" x14ac:dyDescent="0.3">
      <c r="G5180" s="15">
        <v>14.375</v>
      </c>
      <c r="H5180" s="3">
        <v>3.8868749999999147E-2</v>
      </c>
    </row>
    <row r="5181" spans="7:8" x14ac:dyDescent="0.3">
      <c r="G5181" s="15">
        <v>14.377777777777778</v>
      </c>
      <c r="H5181" s="3">
        <v>3.8869555555554706E-2</v>
      </c>
    </row>
    <row r="5182" spans="7:8" x14ac:dyDescent="0.3">
      <c r="G5182" s="15">
        <v>14.380555555555556</v>
      </c>
      <c r="H5182" s="3">
        <v>3.8870361111110266E-2</v>
      </c>
    </row>
    <row r="5183" spans="7:8" x14ac:dyDescent="0.3">
      <c r="G5183" s="15">
        <v>14.383333333333333</v>
      </c>
      <c r="H5183" s="3">
        <v>3.8871166666665818E-2</v>
      </c>
    </row>
    <row r="5184" spans="7:8" x14ac:dyDescent="0.3">
      <c r="G5184" s="15">
        <v>14.386111111111111</v>
      </c>
      <c r="H5184" s="3">
        <v>3.8871972222221371E-2</v>
      </c>
    </row>
    <row r="5185" spans="7:8" x14ac:dyDescent="0.3">
      <c r="G5185" s="15">
        <v>14.388888888888889</v>
      </c>
      <c r="H5185" s="3">
        <v>3.887277777777693E-2</v>
      </c>
    </row>
    <row r="5186" spans="7:8" x14ac:dyDescent="0.3">
      <c r="G5186" s="15">
        <v>14.391666666666667</v>
      </c>
      <c r="H5186" s="3">
        <v>3.887358333333249E-2</v>
      </c>
    </row>
    <row r="5187" spans="7:8" x14ac:dyDescent="0.3">
      <c r="G5187" s="15">
        <v>14.394444444444444</v>
      </c>
      <c r="H5187" s="3">
        <v>3.8874388888888042E-2</v>
      </c>
    </row>
    <row r="5188" spans="7:8" x14ac:dyDescent="0.3">
      <c r="G5188" s="15">
        <v>14.397222222222222</v>
      </c>
      <c r="H5188" s="3">
        <v>3.8875194444443595E-2</v>
      </c>
    </row>
    <row r="5189" spans="7:8" x14ac:dyDescent="0.3">
      <c r="G5189" s="15">
        <v>14.4</v>
      </c>
      <c r="H5189" s="3">
        <v>3.8875999999999154E-2</v>
      </c>
    </row>
    <row r="5190" spans="7:8" x14ac:dyDescent="0.3">
      <c r="G5190" s="15">
        <v>14.402777777777779</v>
      </c>
      <c r="H5190" s="3">
        <v>3.8876805555554714E-2</v>
      </c>
    </row>
    <row r="5191" spans="7:8" x14ac:dyDescent="0.3">
      <c r="G5191" s="15">
        <v>14.405555555555555</v>
      </c>
      <c r="H5191" s="3">
        <v>3.8877611111110266E-2</v>
      </c>
    </row>
    <row r="5192" spans="7:8" x14ac:dyDescent="0.3">
      <c r="G5192" s="15">
        <v>14.408333333333333</v>
      </c>
      <c r="H5192" s="3">
        <v>3.8878416666665819E-2</v>
      </c>
    </row>
    <row r="5193" spans="7:8" x14ac:dyDescent="0.3">
      <c r="G5193" s="15">
        <v>14.411111111111111</v>
      </c>
      <c r="H5193" s="3">
        <v>3.8879222222221378E-2</v>
      </c>
    </row>
    <row r="5194" spans="7:8" x14ac:dyDescent="0.3">
      <c r="G5194" s="15">
        <v>14.41388888888889</v>
      </c>
      <c r="H5194" s="3">
        <v>3.8880027777776938E-2</v>
      </c>
    </row>
    <row r="5195" spans="7:8" x14ac:dyDescent="0.3">
      <c r="G5195" s="15">
        <v>14.416666666666666</v>
      </c>
      <c r="H5195" s="3">
        <v>3.888083333333249E-2</v>
      </c>
    </row>
    <row r="5196" spans="7:8" x14ac:dyDescent="0.3">
      <c r="G5196" s="15">
        <v>14.419444444444444</v>
      </c>
      <c r="H5196" s="3">
        <v>3.8881638888888043E-2</v>
      </c>
    </row>
    <row r="5197" spans="7:8" x14ac:dyDescent="0.3">
      <c r="G5197" s="15">
        <v>14.422222222222222</v>
      </c>
      <c r="H5197" s="3">
        <v>3.8882444444443602E-2</v>
      </c>
    </row>
    <row r="5198" spans="7:8" x14ac:dyDescent="0.3">
      <c r="G5198" s="15">
        <v>14.425000000000001</v>
      </c>
      <c r="H5198" s="3">
        <v>3.8883249999999162E-2</v>
      </c>
    </row>
    <row r="5199" spans="7:8" x14ac:dyDescent="0.3">
      <c r="G5199" s="15">
        <v>14.427777777777777</v>
      </c>
      <c r="H5199" s="3">
        <v>3.8884055555554714E-2</v>
      </c>
    </row>
    <row r="5200" spans="7:8" x14ac:dyDescent="0.3">
      <c r="G5200" s="15">
        <v>14.430555555555555</v>
      </c>
      <c r="H5200" s="3">
        <v>3.8884861111110267E-2</v>
      </c>
    </row>
    <row r="5201" spans="7:8" x14ac:dyDescent="0.3">
      <c r="G5201" s="15">
        <v>14.433333333333334</v>
      </c>
      <c r="H5201" s="3">
        <v>3.8885666666665826E-2</v>
      </c>
    </row>
    <row r="5202" spans="7:8" x14ac:dyDescent="0.3">
      <c r="G5202" s="15">
        <v>14.436111111111112</v>
      </c>
      <c r="H5202" s="3">
        <v>3.8886472222221385E-2</v>
      </c>
    </row>
    <row r="5203" spans="7:8" x14ac:dyDescent="0.3">
      <c r="G5203" s="15">
        <v>14.438888888888888</v>
      </c>
      <c r="H5203" s="3">
        <v>3.8887277777776938E-2</v>
      </c>
    </row>
    <row r="5204" spans="7:8" x14ac:dyDescent="0.3">
      <c r="G5204" s="15">
        <v>14.441666666666666</v>
      </c>
      <c r="H5204" s="3">
        <v>3.888808333333249E-2</v>
      </c>
    </row>
    <row r="5205" spans="7:8" x14ac:dyDescent="0.3">
      <c r="G5205" s="15">
        <v>14.444444444444445</v>
      </c>
      <c r="H5205" s="3">
        <v>3.888888888888805E-2</v>
      </c>
    </row>
    <row r="5206" spans="7:8" x14ac:dyDescent="0.3">
      <c r="G5206" s="15">
        <v>14.447222222222223</v>
      </c>
      <c r="H5206" s="3">
        <v>3.8889694444443609E-2</v>
      </c>
    </row>
    <row r="5207" spans="7:8" x14ac:dyDescent="0.3">
      <c r="G5207" s="15">
        <v>14.45</v>
      </c>
      <c r="H5207" s="3">
        <v>3.8890499999999162E-2</v>
      </c>
    </row>
    <row r="5208" spans="7:8" x14ac:dyDescent="0.3">
      <c r="G5208" s="15">
        <v>14.452777777777778</v>
      </c>
      <c r="H5208" s="3">
        <v>3.8891305555554714E-2</v>
      </c>
    </row>
    <row r="5209" spans="7:8" x14ac:dyDescent="0.3">
      <c r="G5209" s="15">
        <v>14.455555555555556</v>
      </c>
      <c r="H5209" s="3">
        <v>3.8892111111110274E-2</v>
      </c>
    </row>
    <row r="5210" spans="7:8" x14ac:dyDescent="0.3">
      <c r="G5210" s="15">
        <v>14.458333333333334</v>
      </c>
      <c r="H5210" s="3">
        <v>3.8892916666665833E-2</v>
      </c>
    </row>
    <row r="5211" spans="7:8" x14ac:dyDescent="0.3">
      <c r="G5211" s="15">
        <v>14.46111111111111</v>
      </c>
      <c r="H5211" s="3">
        <v>3.8893722222221386E-2</v>
      </c>
    </row>
    <row r="5212" spans="7:8" x14ac:dyDescent="0.3">
      <c r="G5212" s="15">
        <v>14.463888888888889</v>
      </c>
      <c r="H5212" s="3">
        <v>3.8894527777776938E-2</v>
      </c>
    </row>
    <row r="5213" spans="7:8" x14ac:dyDescent="0.3">
      <c r="G5213" s="15">
        <v>14.466666666666667</v>
      </c>
      <c r="H5213" s="3">
        <v>3.8895333333332498E-2</v>
      </c>
    </row>
    <row r="5214" spans="7:8" x14ac:dyDescent="0.3">
      <c r="G5214" s="15">
        <v>14.469444444444445</v>
      </c>
      <c r="H5214" s="3">
        <v>3.8896138888888057E-2</v>
      </c>
    </row>
    <row r="5215" spans="7:8" x14ac:dyDescent="0.3">
      <c r="G5215" s="15">
        <v>14.472222222222221</v>
      </c>
      <c r="H5215" s="3">
        <v>3.889694444444361E-2</v>
      </c>
    </row>
    <row r="5216" spans="7:8" x14ac:dyDescent="0.3">
      <c r="G5216" s="15">
        <v>14.475</v>
      </c>
      <c r="H5216" s="3">
        <v>3.8897749999999162E-2</v>
      </c>
    </row>
    <row r="5217" spans="7:8" x14ac:dyDescent="0.3">
      <c r="G5217" s="15">
        <v>14.477777777777778</v>
      </c>
      <c r="H5217" s="3">
        <v>3.8898555555554722E-2</v>
      </c>
    </row>
    <row r="5218" spans="7:8" x14ac:dyDescent="0.3">
      <c r="G5218" s="15">
        <v>14.480555555555556</v>
      </c>
      <c r="H5218" s="3">
        <v>3.8899361111110281E-2</v>
      </c>
    </row>
    <row r="5219" spans="7:8" x14ac:dyDescent="0.3">
      <c r="G5219" s="15">
        <v>14.483333333333333</v>
      </c>
      <c r="H5219" s="3">
        <v>3.8900166666665834E-2</v>
      </c>
    </row>
    <row r="5220" spans="7:8" x14ac:dyDescent="0.3">
      <c r="G5220" s="15">
        <v>14.486111111111111</v>
      </c>
      <c r="H5220" s="3">
        <v>3.8900972222221386E-2</v>
      </c>
    </row>
    <row r="5221" spans="7:8" x14ac:dyDescent="0.3">
      <c r="G5221" s="15">
        <v>14.488888888888889</v>
      </c>
      <c r="H5221" s="3">
        <v>3.8901777777776946E-2</v>
      </c>
    </row>
    <row r="5222" spans="7:8" x14ac:dyDescent="0.3">
      <c r="G5222" s="15">
        <v>14.491666666666667</v>
      </c>
      <c r="H5222" s="3">
        <v>3.8902583333332505E-2</v>
      </c>
    </row>
    <row r="5223" spans="7:8" x14ac:dyDescent="0.3">
      <c r="G5223" s="15">
        <v>14.494444444444444</v>
      </c>
      <c r="H5223" s="3">
        <v>3.8903388888888057E-2</v>
      </c>
    </row>
    <row r="5224" spans="7:8" x14ac:dyDescent="0.3">
      <c r="G5224" s="15">
        <v>14.497222222222222</v>
      </c>
      <c r="H5224" s="3">
        <v>3.890419444444361E-2</v>
      </c>
    </row>
    <row r="5225" spans="7:8" x14ac:dyDescent="0.3">
      <c r="G5225" s="15">
        <v>14.5</v>
      </c>
      <c r="H5225" s="3">
        <v>3.8904999999999169E-2</v>
      </c>
    </row>
    <row r="5226" spans="7:8" x14ac:dyDescent="0.3">
      <c r="G5226" s="15">
        <v>14.502777777777778</v>
      </c>
      <c r="H5226" s="3">
        <v>3.8905805555554729E-2</v>
      </c>
    </row>
    <row r="5227" spans="7:8" x14ac:dyDescent="0.3">
      <c r="G5227" s="15">
        <v>14.505555555555556</v>
      </c>
      <c r="H5227" s="3">
        <v>3.8906611111110281E-2</v>
      </c>
    </row>
    <row r="5228" spans="7:8" x14ac:dyDescent="0.3">
      <c r="G5228" s="15">
        <v>14.508333333333333</v>
      </c>
      <c r="H5228" s="3">
        <v>3.8907416666665834E-2</v>
      </c>
    </row>
    <row r="5229" spans="7:8" x14ac:dyDescent="0.3">
      <c r="G5229" s="15">
        <v>14.511111111111111</v>
      </c>
      <c r="H5229" s="3">
        <v>3.8908222222221393E-2</v>
      </c>
    </row>
    <row r="5230" spans="7:8" x14ac:dyDescent="0.3">
      <c r="G5230" s="15">
        <v>14.513888888888889</v>
      </c>
      <c r="H5230" s="3">
        <v>3.8909027777776953E-2</v>
      </c>
    </row>
    <row r="5231" spans="7:8" x14ac:dyDescent="0.3">
      <c r="G5231" s="15">
        <v>14.516666666666667</v>
      </c>
      <c r="H5231" s="3">
        <v>3.8909833333332505E-2</v>
      </c>
    </row>
    <row r="5232" spans="7:8" x14ac:dyDescent="0.3">
      <c r="G5232" s="15">
        <v>14.519444444444444</v>
      </c>
      <c r="H5232" s="3">
        <v>3.8910638888888058E-2</v>
      </c>
    </row>
    <row r="5233" spans="7:8" x14ac:dyDescent="0.3">
      <c r="G5233" s="15">
        <v>14.522222222222222</v>
      </c>
      <c r="H5233" s="3">
        <v>3.8911444444443617E-2</v>
      </c>
    </row>
    <row r="5234" spans="7:8" x14ac:dyDescent="0.3">
      <c r="G5234" s="15">
        <v>14.525</v>
      </c>
      <c r="H5234" s="3">
        <v>3.8912249999999177E-2</v>
      </c>
    </row>
    <row r="5235" spans="7:8" x14ac:dyDescent="0.3">
      <c r="G5235" s="15">
        <v>14.527777777777779</v>
      </c>
      <c r="H5235" s="3">
        <v>3.8913055555554729E-2</v>
      </c>
    </row>
    <row r="5236" spans="7:8" x14ac:dyDescent="0.3">
      <c r="G5236" s="15">
        <v>14.530555555555555</v>
      </c>
      <c r="H5236" s="3">
        <v>3.8913861111110282E-2</v>
      </c>
    </row>
    <row r="5237" spans="7:8" x14ac:dyDescent="0.3">
      <c r="G5237" s="15">
        <v>14.533333333333333</v>
      </c>
      <c r="H5237" s="3">
        <v>3.8914666666665841E-2</v>
      </c>
    </row>
    <row r="5238" spans="7:8" x14ac:dyDescent="0.3">
      <c r="G5238" s="15">
        <v>14.536111111111111</v>
      </c>
      <c r="H5238" s="3">
        <v>3.8915472222221401E-2</v>
      </c>
    </row>
    <row r="5239" spans="7:8" x14ac:dyDescent="0.3">
      <c r="G5239" s="15">
        <v>14.53888888888889</v>
      </c>
      <c r="H5239" s="3">
        <v>3.8916277777776953E-2</v>
      </c>
    </row>
    <row r="5240" spans="7:8" x14ac:dyDescent="0.3">
      <c r="G5240" s="15">
        <v>14.541666666666666</v>
      </c>
      <c r="H5240" s="3">
        <v>3.8917083333332506E-2</v>
      </c>
    </row>
    <row r="5241" spans="7:8" x14ac:dyDescent="0.3">
      <c r="G5241" s="15">
        <v>14.544444444444444</v>
      </c>
      <c r="H5241" s="3">
        <v>3.8917888888888065E-2</v>
      </c>
    </row>
    <row r="5242" spans="7:8" x14ac:dyDescent="0.3">
      <c r="G5242" s="15">
        <v>14.547222222222222</v>
      </c>
      <c r="H5242" s="3">
        <v>3.8918694444443624E-2</v>
      </c>
    </row>
    <row r="5243" spans="7:8" x14ac:dyDescent="0.3">
      <c r="G5243" s="15">
        <v>14.55</v>
      </c>
      <c r="H5243" s="3">
        <v>3.8919499999999177E-2</v>
      </c>
    </row>
    <row r="5244" spans="7:8" x14ac:dyDescent="0.3">
      <c r="G5244" s="15">
        <v>14.552777777777777</v>
      </c>
      <c r="H5244" s="3">
        <v>3.8920305555554729E-2</v>
      </c>
    </row>
    <row r="5245" spans="7:8" x14ac:dyDescent="0.3">
      <c r="G5245" s="15">
        <v>14.555555555555555</v>
      </c>
      <c r="H5245" s="3">
        <v>3.8921111111110289E-2</v>
      </c>
    </row>
    <row r="5246" spans="7:8" x14ac:dyDescent="0.3">
      <c r="G5246" s="15">
        <v>14.558333333333334</v>
      </c>
      <c r="H5246" s="3">
        <v>3.8921916666665848E-2</v>
      </c>
    </row>
    <row r="5247" spans="7:8" x14ac:dyDescent="0.3">
      <c r="G5247" s="15">
        <v>14.561111111111112</v>
      </c>
      <c r="H5247" s="3">
        <v>3.8922722222221401E-2</v>
      </c>
    </row>
    <row r="5248" spans="7:8" x14ac:dyDescent="0.3">
      <c r="G5248" s="15">
        <v>14.563888888888888</v>
      </c>
      <c r="H5248" s="3">
        <v>3.8923527777776953E-2</v>
      </c>
    </row>
    <row r="5249" spans="7:8" x14ac:dyDescent="0.3">
      <c r="G5249" s="15">
        <v>14.566666666666666</v>
      </c>
      <c r="H5249" s="3">
        <v>3.8924333333332513E-2</v>
      </c>
    </row>
    <row r="5250" spans="7:8" x14ac:dyDescent="0.3">
      <c r="G5250" s="15">
        <v>14.569444444444445</v>
      </c>
      <c r="H5250" s="3">
        <v>3.8925138888888072E-2</v>
      </c>
    </row>
    <row r="5251" spans="7:8" x14ac:dyDescent="0.3">
      <c r="G5251" s="15">
        <v>14.572222222222223</v>
      </c>
      <c r="H5251" s="3">
        <v>3.8925944444443625E-2</v>
      </c>
    </row>
    <row r="5252" spans="7:8" x14ac:dyDescent="0.3">
      <c r="G5252" s="15">
        <v>14.574999999999999</v>
      </c>
      <c r="H5252" s="3">
        <v>3.8926749999999177E-2</v>
      </c>
    </row>
    <row r="5253" spans="7:8" x14ac:dyDescent="0.3">
      <c r="G5253" s="15">
        <v>14.577777777777778</v>
      </c>
      <c r="H5253" s="3">
        <v>3.8927555555554737E-2</v>
      </c>
    </row>
    <row r="5254" spans="7:8" x14ac:dyDescent="0.3">
      <c r="G5254" s="15">
        <v>14.580555555555556</v>
      </c>
      <c r="H5254" s="3">
        <v>3.8928361111110296E-2</v>
      </c>
    </row>
    <row r="5255" spans="7:8" x14ac:dyDescent="0.3">
      <c r="G5255" s="15">
        <v>14.583333333333334</v>
      </c>
      <c r="H5255" s="3">
        <v>3.8929166666665849E-2</v>
      </c>
    </row>
    <row r="5256" spans="7:8" x14ac:dyDescent="0.3">
      <c r="G5256" s="15">
        <v>14.58611111111111</v>
      </c>
      <c r="H5256" s="3">
        <v>3.8929972222221401E-2</v>
      </c>
    </row>
    <row r="5257" spans="7:8" x14ac:dyDescent="0.3">
      <c r="G5257" s="15">
        <v>14.588888888888889</v>
      </c>
      <c r="H5257" s="3">
        <v>3.8930777777776961E-2</v>
      </c>
    </row>
    <row r="5258" spans="7:8" x14ac:dyDescent="0.3">
      <c r="G5258" s="15">
        <v>14.591666666666667</v>
      </c>
      <c r="H5258" s="3">
        <v>3.893158333333252E-2</v>
      </c>
    </row>
    <row r="5259" spans="7:8" x14ac:dyDescent="0.3">
      <c r="G5259" s="15">
        <v>14.594444444444445</v>
      </c>
      <c r="H5259" s="3">
        <v>3.8932388888888073E-2</v>
      </c>
    </row>
    <row r="5260" spans="7:8" x14ac:dyDescent="0.3">
      <c r="G5260" s="15">
        <v>14.597222222222221</v>
      </c>
      <c r="H5260" s="3">
        <v>3.8933194444443625E-2</v>
      </c>
    </row>
    <row r="5261" spans="7:8" x14ac:dyDescent="0.3">
      <c r="G5261" s="15">
        <v>14.6</v>
      </c>
      <c r="H5261" s="3">
        <v>3.8933999999999185E-2</v>
      </c>
    </row>
    <row r="5262" spans="7:8" x14ac:dyDescent="0.3">
      <c r="G5262" s="15">
        <v>14.602777777777778</v>
      </c>
      <c r="H5262" s="3">
        <v>3.8934805555554744E-2</v>
      </c>
    </row>
    <row r="5263" spans="7:8" x14ac:dyDescent="0.3">
      <c r="G5263" s="15">
        <v>14.605555555555556</v>
      </c>
      <c r="H5263" s="3">
        <v>3.8935611111110296E-2</v>
      </c>
    </row>
    <row r="5264" spans="7:8" x14ac:dyDescent="0.3">
      <c r="G5264" s="15">
        <v>14.608333333333333</v>
      </c>
      <c r="H5264" s="3">
        <v>3.8936416666665849E-2</v>
      </c>
    </row>
    <row r="5265" spans="7:8" x14ac:dyDescent="0.3">
      <c r="G5265" s="15">
        <v>14.611111111111111</v>
      </c>
      <c r="H5265" s="3">
        <v>3.8937222222221408E-2</v>
      </c>
    </row>
    <row r="5266" spans="7:8" x14ac:dyDescent="0.3">
      <c r="G5266" s="15">
        <v>14.613888888888889</v>
      </c>
      <c r="H5266" s="3">
        <v>3.8938027777776968E-2</v>
      </c>
    </row>
    <row r="5267" spans="7:8" x14ac:dyDescent="0.3">
      <c r="G5267" s="15">
        <v>14.616666666666667</v>
      </c>
      <c r="H5267" s="3">
        <v>3.893883333333252E-2</v>
      </c>
    </row>
    <row r="5268" spans="7:8" x14ac:dyDescent="0.3">
      <c r="G5268" s="15">
        <v>14.619444444444444</v>
      </c>
      <c r="H5268" s="3">
        <v>3.8939638888888073E-2</v>
      </c>
    </row>
    <row r="5269" spans="7:8" x14ac:dyDescent="0.3">
      <c r="G5269" s="15">
        <v>14.622222222222222</v>
      </c>
      <c r="H5269" s="3">
        <v>3.8940444444443632E-2</v>
      </c>
    </row>
    <row r="5270" spans="7:8" x14ac:dyDescent="0.3">
      <c r="G5270" s="15">
        <v>14.625</v>
      </c>
      <c r="H5270" s="3">
        <v>3.8941249999999192E-2</v>
      </c>
    </row>
    <row r="5271" spans="7:8" x14ac:dyDescent="0.3">
      <c r="G5271" s="15">
        <v>14.627777777777778</v>
      </c>
      <c r="H5271" s="3">
        <v>3.8942055555554744E-2</v>
      </c>
    </row>
    <row r="5272" spans="7:8" x14ac:dyDescent="0.3">
      <c r="G5272" s="15">
        <v>14.630555555555556</v>
      </c>
      <c r="H5272" s="3">
        <v>3.8942861111110297E-2</v>
      </c>
    </row>
    <row r="5273" spans="7:8" x14ac:dyDescent="0.3">
      <c r="G5273" s="15">
        <v>14.633333333333333</v>
      </c>
      <c r="H5273" s="3">
        <v>3.8943666666665856E-2</v>
      </c>
    </row>
    <row r="5274" spans="7:8" x14ac:dyDescent="0.3">
      <c r="G5274" s="15">
        <v>14.636111111111111</v>
      </c>
      <c r="H5274" s="3">
        <v>3.8944472222221416E-2</v>
      </c>
    </row>
    <row r="5275" spans="7:8" x14ac:dyDescent="0.3">
      <c r="G5275" s="15">
        <v>14.638888888888889</v>
      </c>
      <c r="H5275" s="3">
        <v>3.8945277777776968E-2</v>
      </c>
    </row>
    <row r="5276" spans="7:8" x14ac:dyDescent="0.3">
      <c r="G5276" s="15">
        <v>14.641666666666667</v>
      </c>
      <c r="H5276" s="3">
        <v>3.8946083333332521E-2</v>
      </c>
    </row>
    <row r="5277" spans="7:8" x14ac:dyDescent="0.3">
      <c r="G5277" s="15">
        <v>14.644444444444444</v>
      </c>
      <c r="H5277" s="3">
        <v>3.894688888888808E-2</v>
      </c>
    </row>
    <row r="5278" spans="7:8" x14ac:dyDescent="0.3">
      <c r="G5278" s="15">
        <v>14.647222222222222</v>
      </c>
      <c r="H5278" s="3">
        <v>3.894769444444364E-2</v>
      </c>
    </row>
    <row r="5279" spans="7:8" x14ac:dyDescent="0.3">
      <c r="G5279" s="15">
        <v>14.65</v>
      </c>
      <c r="H5279" s="3">
        <v>3.8948499999999192E-2</v>
      </c>
    </row>
    <row r="5280" spans="7:8" x14ac:dyDescent="0.3">
      <c r="G5280" s="15">
        <v>14.652777777777779</v>
      </c>
      <c r="H5280" s="3">
        <v>3.8949305555554745E-2</v>
      </c>
    </row>
    <row r="5281" spans="7:8" x14ac:dyDescent="0.3">
      <c r="G5281" s="15">
        <v>14.655555555555555</v>
      </c>
      <c r="H5281" s="3">
        <v>3.8950111111110304E-2</v>
      </c>
    </row>
    <row r="5282" spans="7:8" x14ac:dyDescent="0.3">
      <c r="G5282" s="15">
        <v>14.658333333333333</v>
      </c>
      <c r="H5282" s="3">
        <v>3.8950916666665863E-2</v>
      </c>
    </row>
    <row r="5283" spans="7:8" x14ac:dyDescent="0.3">
      <c r="G5283" s="15">
        <v>14.661111111111111</v>
      </c>
      <c r="H5283" s="3">
        <v>3.8951722222221416E-2</v>
      </c>
    </row>
    <row r="5284" spans="7:8" x14ac:dyDescent="0.3">
      <c r="G5284" s="15">
        <v>14.66388888888889</v>
      </c>
      <c r="H5284" s="3">
        <v>3.8952527777776969E-2</v>
      </c>
    </row>
    <row r="5285" spans="7:8" x14ac:dyDescent="0.3">
      <c r="G5285" s="15">
        <v>14.666666666666666</v>
      </c>
      <c r="H5285" s="3">
        <v>3.8953333333332528E-2</v>
      </c>
    </row>
    <row r="5286" spans="7:8" x14ac:dyDescent="0.3">
      <c r="G5286" s="15">
        <v>14.669444444444444</v>
      </c>
      <c r="H5286" s="3">
        <v>3.8954138888888087E-2</v>
      </c>
    </row>
    <row r="5287" spans="7:8" x14ac:dyDescent="0.3">
      <c r="G5287" s="15">
        <v>14.672222222222222</v>
      </c>
      <c r="H5287" s="3">
        <v>3.895494444444364E-2</v>
      </c>
    </row>
    <row r="5288" spans="7:8" x14ac:dyDescent="0.3">
      <c r="G5288" s="15">
        <v>14.675000000000001</v>
      </c>
      <c r="H5288" s="3">
        <v>3.8955749999999192E-2</v>
      </c>
    </row>
    <row r="5289" spans="7:8" x14ac:dyDescent="0.3">
      <c r="G5289" s="15">
        <v>14.677777777777777</v>
      </c>
      <c r="H5289" s="3">
        <v>3.8956555555554752E-2</v>
      </c>
    </row>
    <row r="5290" spans="7:8" x14ac:dyDescent="0.3">
      <c r="G5290" s="15">
        <v>14.680555555555555</v>
      </c>
      <c r="H5290" s="3">
        <v>3.8957361111110311E-2</v>
      </c>
    </row>
    <row r="5291" spans="7:8" x14ac:dyDescent="0.3">
      <c r="G5291" s="15">
        <v>14.683333333333334</v>
      </c>
      <c r="H5291" s="3">
        <v>3.8958166666665864E-2</v>
      </c>
    </row>
    <row r="5292" spans="7:8" x14ac:dyDescent="0.3">
      <c r="G5292" s="15">
        <v>14.686111111111112</v>
      </c>
      <c r="H5292" s="3">
        <v>3.8958972222221416E-2</v>
      </c>
    </row>
    <row r="5293" spans="7:8" x14ac:dyDescent="0.3">
      <c r="G5293" s="15">
        <v>14.688888888888888</v>
      </c>
      <c r="H5293" s="3">
        <v>3.8959777777776976E-2</v>
      </c>
    </row>
    <row r="5294" spans="7:8" x14ac:dyDescent="0.3">
      <c r="G5294" s="15">
        <v>14.691666666666666</v>
      </c>
      <c r="H5294" s="3">
        <v>3.8960583333332535E-2</v>
      </c>
    </row>
    <row r="5295" spans="7:8" x14ac:dyDescent="0.3">
      <c r="G5295" s="15">
        <v>14.694444444444445</v>
      </c>
      <c r="H5295" s="3">
        <v>3.8961388888888088E-2</v>
      </c>
    </row>
    <row r="5296" spans="7:8" x14ac:dyDescent="0.3">
      <c r="G5296" s="15">
        <v>14.697222222222223</v>
      </c>
      <c r="H5296" s="3">
        <v>3.896219444444364E-2</v>
      </c>
    </row>
    <row r="5297" spans="7:8" x14ac:dyDescent="0.3">
      <c r="G5297" s="15">
        <v>14.7</v>
      </c>
      <c r="H5297" s="3">
        <v>3.89629999999992E-2</v>
      </c>
    </row>
    <row r="5298" spans="7:8" x14ac:dyDescent="0.3">
      <c r="G5298" s="15">
        <v>14.702777777777778</v>
      </c>
      <c r="H5298" s="3">
        <v>3.8963805555554759E-2</v>
      </c>
    </row>
    <row r="5299" spans="7:8" x14ac:dyDescent="0.3">
      <c r="G5299" s="15">
        <v>14.705555555555556</v>
      </c>
      <c r="H5299" s="3">
        <v>3.8964611111110312E-2</v>
      </c>
    </row>
    <row r="5300" spans="7:8" x14ac:dyDescent="0.3">
      <c r="G5300" s="15">
        <v>14.708333333333334</v>
      </c>
      <c r="H5300" s="3">
        <v>3.8965416666665864E-2</v>
      </c>
    </row>
    <row r="5301" spans="7:8" x14ac:dyDescent="0.3">
      <c r="G5301" s="15">
        <v>14.71111111111111</v>
      </c>
      <c r="H5301" s="3">
        <v>3.8966222222221424E-2</v>
      </c>
    </row>
    <row r="5302" spans="7:8" x14ac:dyDescent="0.3">
      <c r="G5302" s="15">
        <v>14.713888888888889</v>
      </c>
      <c r="H5302" s="3">
        <v>3.8967027777776983E-2</v>
      </c>
    </row>
    <row r="5303" spans="7:8" x14ac:dyDescent="0.3">
      <c r="G5303" s="15">
        <v>14.716666666666667</v>
      </c>
      <c r="H5303" s="3">
        <v>3.8967833333332536E-2</v>
      </c>
    </row>
    <row r="5304" spans="7:8" x14ac:dyDescent="0.3">
      <c r="G5304" s="15">
        <v>14.719444444444445</v>
      </c>
      <c r="H5304" s="3">
        <v>3.8968638888888088E-2</v>
      </c>
    </row>
    <row r="5305" spans="7:8" x14ac:dyDescent="0.3">
      <c r="G5305" s="15">
        <v>14.722222222222221</v>
      </c>
      <c r="H5305" s="3">
        <v>3.8969444444443647E-2</v>
      </c>
    </row>
    <row r="5306" spans="7:8" x14ac:dyDescent="0.3">
      <c r="G5306" s="15">
        <v>14.725</v>
      </c>
      <c r="H5306" s="3">
        <v>3.8970249999999207E-2</v>
      </c>
    </row>
    <row r="5307" spans="7:8" x14ac:dyDescent="0.3">
      <c r="G5307" s="15">
        <v>14.727777777777778</v>
      </c>
      <c r="H5307" s="3">
        <v>3.8971055555554759E-2</v>
      </c>
    </row>
    <row r="5308" spans="7:8" x14ac:dyDescent="0.3">
      <c r="G5308" s="15">
        <v>14.730555555555556</v>
      </c>
      <c r="H5308" s="3">
        <v>3.8971861111110312E-2</v>
      </c>
    </row>
    <row r="5309" spans="7:8" x14ac:dyDescent="0.3">
      <c r="G5309" s="15">
        <v>14.733333333333333</v>
      </c>
      <c r="H5309" s="3">
        <v>3.8972666666665871E-2</v>
      </c>
    </row>
    <row r="5310" spans="7:8" x14ac:dyDescent="0.3">
      <c r="G5310" s="15">
        <v>14.736111111111111</v>
      </c>
      <c r="H5310" s="3">
        <v>3.8973472222221431E-2</v>
      </c>
    </row>
    <row r="5311" spans="7:8" x14ac:dyDescent="0.3">
      <c r="G5311" s="15">
        <v>14.738888888888889</v>
      </c>
      <c r="H5311" s="3">
        <v>3.8974277777776983E-2</v>
      </c>
    </row>
    <row r="5312" spans="7:8" x14ac:dyDescent="0.3">
      <c r="G5312" s="15">
        <v>14.741666666666667</v>
      </c>
      <c r="H5312" s="3">
        <v>3.8975083333332536E-2</v>
      </c>
    </row>
    <row r="5313" spans="7:8" x14ac:dyDescent="0.3">
      <c r="G5313" s="15">
        <v>14.744444444444444</v>
      </c>
      <c r="H5313" s="3">
        <v>3.8975888888888095E-2</v>
      </c>
    </row>
    <row r="5314" spans="7:8" x14ac:dyDescent="0.3">
      <c r="G5314" s="15">
        <v>14.747222222222222</v>
      </c>
      <c r="H5314" s="3">
        <v>3.8976694444443655E-2</v>
      </c>
    </row>
    <row r="5315" spans="7:8" x14ac:dyDescent="0.3">
      <c r="G5315" s="15">
        <v>14.75</v>
      </c>
      <c r="H5315" s="3">
        <v>3.8977499999999207E-2</v>
      </c>
    </row>
    <row r="5316" spans="7:8" x14ac:dyDescent="0.3">
      <c r="G5316" s="15">
        <v>14.752777777777778</v>
      </c>
      <c r="H5316" s="3">
        <v>3.897830555555476E-2</v>
      </c>
    </row>
    <row r="5317" spans="7:8" x14ac:dyDescent="0.3">
      <c r="G5317" s="15">
        <v>14.755555555555556</v>
      </c>
      <c r="H5317" s="3">
        <v>3.8979111111110319E-2</v>
      </c>
    </row>
    <row r="5318" spans="7:8" x14ac:dyDescent="0.3">
      <c r="G5318" s="15">
        <v>14.758333333333333</v>
      </c>
      <c r="H5318" s="3">
        <v>3.8979916666665879E-2</v>
      </c>
    </row>
    <row r="5319" spans="7:8" x14ac:dyDescent="0.3">
      <c r="G5319" s="15">
        <v>14.761111111111111</v>
      </c>
      <c r="H5319" s="3">
        <v>3.8980722222221431E-2</v>
      </c>
    </row>
    <row r="5320" spans="7:8" x14ac:dyDescent="0.3">
      <c r="G5320" s="15">
        <v>14.763888888888889</v>
      </c>
      <c r="H5320" s="3">
        <v>3.8981527777776984E-2</v>
      </c>
    </row>
    <row r="5321" spans="7:8" x14ac:dyDescent="0.3">
      <c r="G5321" s="15">
        <v>14.766666666666667</v>
      </c>
      <c r="H5321" s="3">
        <v>3.8982333333332543E-2</v>
      </c>
    </row>
    <row r="5322" spans="7:8" x14ac:dyDescent="0.3">
      <c r="G5322" s="15">
        <v>14.769444444444444</v>
      </c>
      <c r="H5322" s="3">
        <v>3.8983138888888103E-2</v>
      </c>
    </row>
    <row r="5323" spans="7:8" x14ac:dyDescent="0.3">
      <c r="G5323" s="15">
        <v>14.772222222222222</v>
      </c>
      <c r="H5323" s="3">
        <v>3.8983944444443655E-2</v>
      </c>
    </row>
    <row r="5324" spans="7:8" x14ac:dyDescent="0.3">
      <c r="G5324" s="15">
        <v>14.775</v>
      </c>
      <c r="H5324" s="3">
        <v>3.8984749999999208E-2</v>
      </c>
    </row>
    <row r="5325" spans="7:8" x14ac:dyDescent="0.3">
      <c r="G5325" s="15">
        <v>14.777777777777779</v>
      </c>
      <c r="H5325" s="3">
        <v>3.8985555555554767E-2</v>
      </c>
    </row>
    <row r="5326" spans="7:8" x14ac:dyDescent="0.3">
      <c r="G5326" s="15">
        <v>14.780555555555555</v>
      </c>
      <c r="H5326" s="3">
        <v>3.8986361111110326E-2</v>
      </c>
    </row>
    <row r="5327" spans="7:8" x14ac:dyDescent="0.3">
      <c r="G5327" s="15">
        <v>14.783333333333333</v>
      </c>
      <c r="H5327" s="3">
        <v>3.8987166666665879E-2</v>
      </c>
    </row>
    <row r="5328" spans="7:8" x14ac:dyDescent="0.3">
      <c r="G5328" s="15">
        <v>14.786111111111111</v>
      </c>
      <c r="H5328" s="3">
        <v>3.8987972222221431E-2</v>
      </c>
    </row>
    <row r="5329" spans="7:8" x14ac:dyDescent="0.3">
      <c r="G5329" s="15">
        <v>14.78888888888889</v>
      </c>
      <c r="H5329" s="3">
        <v>3.8988777777776991E-2</v>
      </c>
    </row>
    <row r="5330" spans="7:8" x14ac:dyDescent="0.3">
      <c r="G5330" s="15">
        <v>14.791666666666666</v>
      </c>
      <c r="H5330" s="3">
        <v>3.898958333333255E-2</v>
      </c>
    </row>
    <row r="5331" spans="7:8" x14ac:dyDescent="0.3">
      <c r="G5331" s="15">
        <v>14.794444444444444</v>
      </c>
      <c r="H5331" s="3">
        <v>3.8990388888888103E-2</v>
      </c>
    </row>
    <row r="5332" spans="7:8" x14ac:dyDescent="0.3">
      <c r="G5332" s="15">
        <v>14.797222222222222</v>
      </c>
      <c r="H5332" s="3">
        <v>3.8991194444443655E-2</v>
      </c>
    </row>
    <row r="5333" spans="7:8" x14ac:dyDescent="0.3">
      <c r="G5333" s="15">
        <v>14.8</v>
      </c>
      <c r="H5333" s="3">
        <v>3.8991999999999215E-2</v>
      </c>
    </row>
    <row r="5334" spans="7:8" x14ac:dyDescent="0.3">
      <c r="G5334" s="15">
        <v>14.802777777777777</v>
      </c>
      <c r="H5334" s="3">
        <v>3.8992805555554774E-2</v>
      </c>
    </row>
    <row r="5335" spans="7:8" x14ac:dyDescent="0.3">
      <c r="G5335" s="15">
        <v>14.805555555555555</v>
      </c>
      <c r="H5335" s="3">
        <v>3.8993611111110327E-2</v>
      </c>
    </row>
    <row r="5336" spans="7:8" x14ac:dyDescent="0.3">
      <c r="G5336" s="15">
        <v>14.808333333333334</v>
      </c>
      <c r="H5336" s="3">
        <v>3.8994416666665879E-2</v>
      </c>
    </row>
    <row r="5337" spans="7:8" x14ac:dyDescent="0.3">
      <c r="G5337" s="15">
        <v>14.811111111111112</v>
      </c>
      <c r="H5337" s="3">
        <v>3.8995222222221439E-2</v>
      </c>
    </row>
    <row r="5338" spans="7:8" x14ac:dyDescent="0.3">
      <c r="G5338" s="15">
        <v>14.813888888888888</v>
      </c>
      <c r="H5338" s="3">
        <v>3.8996027777776998E-2</v>
      </c>
    </row>
    <row r="5339" spans="7:8" x14ac:dyDescent="0.3">
      <c r="G5339" s="15">
        <v>14.816666666666666</v>
      </c>
      <c r="H5339" s="3">
        <v>3.8996833333332551E-2</v>
      </c>
    </row>
    <row r="5340" spans="7:8" x14ac:dyDescent="0.3">
      <c r="G5340" s="15">
        <v>14.819444444444445</v>
      </c>
      <c r="H5340" s="3">
        <v>3.8997638888888103E-2</v>
      </c>
    </row>
    <row r="5341" spans="7:8" x14ac:dyDescent="0.3">
      <c r="G5341" s="15">
        <v>14.822222222222223</v>
      </c>
      <c r="H5341" s="3">
        <v>3.8998444444443663E-2</v>
      </c>
    </row>
    <row r="5342" spans="7:8" x14ac:dyDescent="0.3">
      <c r="G5342" s="15">
        <v>14.824999999999999</v>
      </c>
      <c r="H5342" s="3">
        <v>3.8999249999999222E-2</v>
      </c>
    </row>
    <row r="5343" spans="7:8" x14ac:dyDescent="0.3">
      <c r="G5343" s="15">
        <v>14.827777777777778</v>
      </c>
      <c r="H5343" s="3">
        <v>3.9000055555554775E-2</v>
      </c>
    </row>
    <row r="5344" spans="7:8" x14ac:dyDescent="0.3">
      <c r="G5344" s="15">
        <v>14.830555555555556</v>
      </c>
      <c r="H5344" s="3">
        <v>3.9000861111110327E-2</v>
      </c>
    </row>
    <row r="5345" spans="7:8" x14ac:dyDescent="0.3">
      <c r="G5345" s="15">
        <v>14.833333333333334</v>
      </c>
      <c r="H5345" s="3">
        <v>3.9001666666665886E-2</v>
      </c>
    </row>
    <row r="5346" spans="7:8" x14ac:dyDescent="0.3">
      <c r="G5346" s="15">
        <v>14.83611111111111</v>
      </c>
      <c r="H5346" s="3">
        <v>3.9002472222221446E-2</v>
      </c>
    </row>
    <row r="5347" spans="7:8" x14ac:dyDescent="0.3">
      <c r="G5347" s="15">
        <v>14.838888888888889</v>
      </c>
      <c r="H5347" s="3">
        <v>3.9003277777776998E-2</v>
      </c>
    </row>
    <row r="5348" spans="7:8" x14ac:dyDescent="0.3">
      <c r="G5348" s="15">
        <v>14.841666666666667</v>
      </c>
      <c r="H5348" s="3">
        <v>3.9004083333332551E-2</v>
      </c>
    </row>
    <row r="5349" spans="7:8" x14ac:dyDescent="0.3">
      <c r="G5349" s="15">
        <v>14.844444444444445</v>
      </c>
      <c r="H5349" s="3">
        <v>3.900488888888811E-2</v>
      </c>
    </row>
    <row r="5350" spans="7:8" x14ac:dyDescent="0.3">
      <c r="G5350" s="15">
        <v>14.847222222222221</v>
      </c>
      <c r="H5350" s="3">
        <v>3.900569444444367E-2</v>
      </c>
    </row>
    <row r="5351" spans="7:8" x14ac:dyDescent="0.3">
      <c r="G5351" s="15">
        <v>14.85</v>
      </c>
      <c r="H5351" s="3">
        <v>3.9006499999999222E-2</v>
      </c>
    </row>
    <row r="5352" spans="7:8" x14ac:dyDescent="0.3">
      <c r="G5352" s="15">
        <v>14.852777777777778</v>
      </c>
      <c r="H5352" s="3">
        <v>3.9007305555554775E-2</v>
      </c>
    </row>
    <row r="5353" spans="7:8" x14ac:dyDescent="0.3">
      <c r="G5353" s="15">
        <v>14.855555555555556</v>
      </c>
      <c r="H5353" s="3">
        <v>3.9008111111110334E-2</v>
      </c>
    </row>
    <row r="5354" spans="7:8" x14ac:dyDescent="0.3">
      <c r="G5354" s="15">
        <v>14.858333333333333</v>
      </c>
      <c r="H5354" s="3">
        <v>3.9008916666665894E-2</v>
      </c>
    </row>
    <row r="5355" spans="7:8" x14ac:dyDescent="0.3">
      <c r="G5355" s="15">
        <v>14.861111111111111</v>
      </c>
      <c r="H5355" s="3">
        <v>3.9009722222221446E-2</v>
      </c>
    </row>
    <row r="5356" spans="7:8" x14ac:dyDescent="0.3">
      <c r="G5356" s="15">
        <v>14.863888888888889</v>
      </c>
      <c r="H5356" s="3">
        <v>3.9010527777776999E-2</v>
      </c>
    </row>
    <row r="5357" spans="7:8" x14ac:dyDescent="0.3">
      <c r="G5357" s="15">
        <v>14.866666666666667</v>
      </c>
      <c r="H5357" s="3">
        <v>3.9011333333332558E-2</v>
      </c>
    </row>
    <row r="5358" spans="7:8" x14ac:dyDescent="0.3">
      <c r="G5358" s="15">
        <v>14.869444444444444</v>
      </c>
      <c r="H5358" s="3">
        <v>3.9012138888888118E-2</v>
      </c>
    </row>
    <row r="5359" spans="7:8" x14ac:dyDescent="0.3">
      <c r="G5359" s="15">
        <v>14.872222222222222</v>
      </c>
      <c r="H5359" s="3">
        <v>3.901294444444367E-2</v>
      </c>
    </row>
    <row r="5360" spans="7:8" x14ac:dyDescent="0.3">
      <c r="G5360" s="15">
        <v>14.875</v>
      </c>
      <c r="H5360" s="3">
        <v>3.9013749999999223E-2</v>
      </c>
    </row>
    <row r="5361" spans="7:8" x14ac:dyDescent="0.3">
      <c r="G5361" s="15">
        <v>14.877777777777778</v>
      </c>
      <c r="H5361" s="3">
        <v>3.9014555555554782E-2</v>
      </c>
    </row>
    <row r="5362" spans="7:8" x14ac:dyDescent="0.3">
      <c r="G5362" s="15">
        <v>14.880555555555556</v>
      </c>
      <c r="H5362" s="3">
        <v>3.9015361111110342E-2</v>
      </c>
    </row>
    <row r="5363" spans="7:8" x14ac:dyDescent="0.3">
      <c r="G5363" s="15">
        <v>14.883333333333333</v>
      </c>
      <c r="H5363" s="3">
        <v>3.9016166666665894E-2</v>
      </c>
    </row>
    <row r="5364" spans="7:8" x14ac:dyDescent="0.3">
      <c r="G5364" s="15">
        <v>14.886111111111111</v>
      </c>
      <c r="H5364" s="3">
        <v>3.9016972222221447E-2</v>
      </c>
    </row>
    <row r="5365" spans="7:8" x14ac:dyDescent="0.3">
      <c r="G5365" s="15">
        <v>14.888888888888889</v>
      </c>
      <c r="H5365" s="3">
        <v>3.9017777777777006E-2</v>
      </c>
    </row>
    <row r="5366" spans="7:8" x14ac:dyDescent="0.3">
      <c r="G5366" s="15">
        <v>14.891666666666667</v>
      </c>
      <c r="H5366" s="3">
        <v>3.9018583333332565E-2</v>
      </c>
    </row>
    <row r="5367" spans="7:8" x14ac:dyDescent="0.3">
      <c r="G5367" s="15">
        <v>14.894444444444444</v>
      </c>
      <c r="H5367" s="3">
        <v>3.9019388888888118E-2</v>
      </c>
    </row>
    <row r="5368" spans="7:8" x14ac:dyDescent="0.3">
      <c r="G5368" s="15">
        <v>14.897222222222222</v>
      </c>
      <c r="H5368" s="3">
        <v>3.902019444444367E-2</v>
      </c>
    </row>
    <row r="5369" spans="7:8" x14ac:dyDescent="0.3">
      <c r="G5369" s="15">
        <v>14.9</v>
      </c>
      <c r="H5369" s="3">
        <v>3.902099999999923E-2</v>
      </c>
    </row>
    <row r="5370" spans="7:8" x14ac:dyDescent="0.3">
      <c r="G5370" s="15">
        <v>14.902777777777779</v>
      </c>
      <c r="H5370" s="3">
        <v>3.9021805555554789E-2</v>
      </c>
    </row>
    <row r="5371" spans="7:8" x14ac:dyDescent="0.3">
      <c r="G5371" s="15">
        <v>14.905555555555555</v>
      </c>
      <c r="H5371" s="3">
        <v>3.9022611111110342E-2</v>
      </c>
    </row>
    <row r="5372" spans="7:8" x14ac:dyDescent="0.3">
      <c r="G5372" s="15">
        <v>14.908333333333333</v>
      </c>
      <c r="H5372" s="3">
        <v>3.9023416666665894E-2</v>
      </c>
    </row>
    <row r="5373" spans="7:8" x14ac:dyDescent="0.3">
      <c r="G5373" s="15">
        <v>14.911111111111111</v>
      </c>
      <c r="H5373" s="3">
        <v>3.9024222222221454E-2</v>
      </c>
    </row>
    <row r="5374" spans="7:8" x14ac:dyDescent="0.3">
      <c r="G5374" s="15">
        <v>14.91388888888889</v>
      </c>
      <c r="H5374" s="3">
        <v>3.9025027777777013E-2</v>
      </c>
    </row>
    <row r="5375" spans="7:8" x14ac:dyDescent="0.3">
      <c r="G5375" s="15">
        <v>14.916666666666666</v>
      </c>
      <c r="H5375" s="3">
        <v>3.9025833333332566E-2</v>
      </c>
    </row>
    <row r="5376" spans="7:8" x14ac:dyDescent="0.3">
      <c r="G5376" s="15">
        <v>14.919444444444444</v>
      </c>
      <c r="H5376" s="3">
        <v>3.9026638888888118E-2</v>
      </c>
    </row>
    <row r="5377" spans="7:8" x14ac:dyDescent="0.3">
      <c r="G5377" s="15">
        <v>14.922222222222222</v>
      </c>
      <c r="H5377" s="3">
        <v>3.9027444444443678E-2</v>
      </c>
    </row>
    <row r="5378" spans="7:8" x14ac:dyDescent="0.3">
      <c r="G5378" s="15">
        <v>14.925000000000001</v>
      </c>
      <c r="H5378" s="3">
        <v>3.9028249999999237E-2</v>
      </c>
    </row>
    <row r="5379" spans="7:8" x14ac:dyDescent="0.3">
      <c r="G5379" s="15">
        <v>14.927777777777777</v>
      </c>
      <c r="H5379" s="3">
        <v>3.902905555555479E-2</v>
      </c>
    </row>
    <row r="5380" spans="7:8" x14ac:dyDescent="0.3">
      <c r="G5380" s="15">
        <v>14.930555555555555</v>
      </c>
      <c r="H5380" s="3">
        <v>3.9029861111110342E-2</v>
      </c>
    </row>
    <row r="5381" spans="7:8" x14ac:dyDescent="0.3">
      <c r="G5381" s="15">
        <v>14.933333333333334</v>
      </c>
      <c r="H5381" s="3">
        <v>3.9030666666665902E-2</v>
      </c>
    </row>
    <row r="5382" spans="7:8" x14ac:dyDescent="0.3">
      <c r="G5382" s="15">
        <v>14.936111111111112</v>
      </c>
      <c r="H5382" s="3">
        <v>3.9031472222221461E-2</v>
      </c>
    </row>
    <row r="5383" spans="7:8" x14ac:dyDescent="0.3">
      <c r="G5383" s="15">
        <v>14.938888888888888</v>
      </c>
      <c r="H5383" s="3">
        <v>3.9032277777777014E-2</v>
      </c>
    </row>
    <row r="5384" spans="7:8" x14ac:dyDescent="0.3">
      <c r="G5384" s="15">
        <v>14.941666666666666</v>
      </c>
      <c r="H5384" s="3">
        <v>3.9033083333332566E-2</v>
      </c>
    </row>
    <row r="5385" spans="7:8" x14ac:dyDescent="0.3">
      <c r="G5385" s="15">
        <v>14.944444444444445</v>
      </c>
      <c r="H5385" s="3">
        <v>3.9033888888888126E-2</v>
      </c>
    </row>
    <row r="5386" spans="7:8" x14ac:dyDescent="0.3">
      <c r="G5386" s="15">
        <v>14.947222222222223</v>
      </c>
      <c r="H5386" s="3">
        <v>3.9034694444443685E-2</v>
      </c>
    </row>
    <row r="5387" spans="7:8" x14ac:dyDescent="0.3">
      <c r="G5387" s="15">
        <v>14.95</v>
      </c>
      <c r="H5387" s="3">
        <v>3.9035499999999237E-2</v>
      </c>
    </row>
    <row r="5388" spans="7:8" x14ac:dyDescent="0.3">
      <c r="G5388" s="15">
        <v>14.952777777777778</v>
      </c>
      <c r="H5388" s="3">
        <v>3.903630555555479E-2</v>
      </c>
    </row>
    <row r="5389" spans="7:8" x14ac:dyDescent="0.3">
      <c r="G5389" s="15">
        <v>14.955555555555556</v>
      </c>
      <c r="H5389" s="3">
        <v>3.9037111111110349E-2</v>
      </c>
    </row>
    <row r="5390" spans="7:8" x14ac:dyDescent="0.3">
      <c r="G5390" s="15">
        <v>14.958333333333334</v>
      </c>
      <c r="H5390" s="3">
        <v>3.9037916666665909E-2</v>
      </c>
    </row>
    <row r="5391" spans="7:8" x14ac:dyDescent="0.3">
      <c r="G5391" s="15">
        <v>14.96111111111111</v>
      </c>
      <c r="H5391" s="3">
        <v>3.9038722222221461E-2</v>
      </c>
    </row>
    <row r="5392" spans="7:8" x14ac:dyDescent="0.3">
      <c r="G5392" s="15">
        <v>14.963888888888889</v>
      </c>
      <c r="H5392" s="3">
        <v>3.9039527777777014E-2</v>
      </c>
    </row>
    <row r="5393" spans="7:8" x14ac:dyDescent="0.3">
      <c r="G5393" s="15">
        <v>14.966666666666667</v>
      </c>
      <c r="H5393" s="3">
        <v>3.9040333333332573E-2</v>
      </c>
    </row>
    <row r="5394" spans="7:8" x14ac:dyDescent="0.3">
      <c r="G5394" s="15">
        <v>14.969444444444445</v>
      </c>
      <c r="H5394" s="3">
        <v>3.9041138888888133E-2</v>
      </c>
    </row>
    <row r="5395" spans="7:8" x14ac:dyDescent="0.3">
      <c r="G5395" s="15">
        <v>14.972222222222221</v>
      </c>
      <c r="H5395" s="3">
        <v>3.9041944444443685E-2</v>
      </c>
    </row>
    <row r="5396" spans="7:8" x14ac:dyDescent="0.3">
      <c r="G5396" s="15">
        <v>14.975</v>
      </c>
      <c r="H5396" s="3">
        <v>3.9042749999999238E-2</v>
      </c>
    </row>
    <row r="5397" spans="7:8" x14ac:dyDescent="0.3">
      <c r="G5397" s="15">
        <v>14.977777777777778</v>
      </c>
      <c r="H5397" s="3">
        <v>3.9043555555554797E-2</v>
      </c>
    </row>
    <row r="5398" spans="7:8" x14ac:dyDescent="0.3">
      <c r="G5398" s="15">
        <v>14.980555555555556</v>
      </c>
      <c r="H5398" s="3">
        <v>3.9044361111110357E-2</v>
      </c>
    </row>
    <row r="5399" spans="7:8" x14ac:dyDescent="0.3">
      <c r="G5399" s="15">
        <v>14.983333333333333</v>
      </c>
      <c r="H5399" s="3">
        <v>3.9045166666665909E-2</v>
      </c>
    </row>
    <row r="5400" spans="7:8" x14ac:dyDescent="0.3">
      <c r="G5400" s="15">
        <v>14.986111111111111</v>
      </c>
      <c r="H5400" s="3">
        <v>3.9045972222221462E-2</v>
      </c>
    </row>
    <row r="5401" spans="7:8" x14ac:dyDescent="0.3">
      <c r="G5401" s="15">
        <v>14.988888888888889</v>
      </c>
      <c r="H5401" s="3">
        <v>3.9046777777777021E-2</v>
      </c>
    </row>
    <row r="5402" spans="7:8" x14ac:dyDescent="0.3">
      <c r="G5402" s="15">
        <v>14.991666666666667</v>
      </c>
      <c r="H5402" s="3">
        <v>3.9047583333332581E-2</v>
      </c>
    </row>
    <row r="5403" spans="7:8" x14ac:dyDescent="0.3">
      <c r="G5403" s="15">
        <v>14.994444444444444</v>
      </c>
      <c r="H5403" s="3">
        <v>3.9048388888888133E-2</v>
      </c>
    </row>
    <row r="5404" spans="7:8" x14ac:dyDescent="0.3">
      <c r="G5404" s="15">
        <v>14.997222222222222</v>
      </c>
      <c r="H5404" s="3">
        <v>3.9049194444443686E-2</v>
      </c>
    </row>
    <row r="5405" spans="7:8" x14ac:dyDescent="0.3">
      <c r="G5405" s="15">
        <v>15</v>
      </c>
      <c r="H5405" s="3">
        <v>3.9049999999999245E-2</v>
      </c>
    </row>
    <row r="5406" spans="7:8" x14ac:dyDescent="0.3">
      <c r="G5406" s="15">
        <v>15.002777777777778</v>
      </c>
      <c r="H5406" s="3">
        <v>3.9050805555554804E-2</v>
      </c>
    </row>
    <row r="5407" spans="7:8" x14ac:dyDescent="0.3">
      <c r="G5407" s="15">
        <v>15.005555555555556</v>
      </c>
      <c r="H5407" s="3">
        <v>3.9051611111110357E-2</v>
      </c>
    </row>
    <row r="5408" spans="7:8" x14ac:dyDescent="0.3">
      <c r="G5408" s="15">
        <v>15.008333333333333</v>
      </c>
      <c r="H5408" s="3">
        <v>3.9052416666665909E-2</v>
      </c>
    </row>
    <row r="5409" spans="7:8" x14ac:dyDescent="0.3">
      <c r="G5409" s="15">
        <v>15.011111111111111</v>
      </c>
      <c r="H5409" s="3">
        <v>3.9053222222221469E-2</v>
      </c>
    </row>
    <row r="5410" spans="7:8" x14ac:dyDescent="0.3">
      <c r="G5410" s="15">
        <v>15.013888888888889</v>
      </c>
      <c r="H5410" s="3">
        <v>3.9054027777777028E-2</v>
      </c>
    </row>
    <row r="5411" spans="7:8" x14ac:dyDescent="0.3">
      <c r="G5411" s="15">
        <v>15.016666666666667</v>
      </c>
      <c r="H5411" s="3">
        <v>3.9054833333332581E-2</v>
      </c>
    </row>
    <row r="5412" spans="7:8" x14ac:dyDescent="0.3">
      <c r="G5412" s="15">
        <v>15.019444444444444</v>
      </c>
      <c r="H5412" s="3">
        <v>3.9055638888888133E-2</v>
      </c>
    </row>
    <row r="5413" spans="7:8" x14ac:dyDescent="0.3">
      <c r="G5413" s="15">
        <v>15.022222222222222</v>
      </c>
      <c r="H5413" s="3">
        <v>3.9056444444443693E-2</v>
      </c>
    </row>
    <row r="5414" spans="7:8" x14ac:dyDescent="0.3">
      <c r="G5414" s="15">
        <v>15.025</v>
      </c>
      <c r="H5414" s="3">
        <v>3.9057249999999252E-2</v>
      </c>
    </row>
    <row r="5415" spans="7:8" x14ac:dyDescent="0.3">
      <c r="G5415" s="15">
        <v>15.027777777777779</v>
      </c>
      <c r="H5415" s="3">
        <v>3.9058055555554805E-2</v>
      </c>
    </row>
    <row r="5416" spans="7:8" x14ac:dyDescent="0.3">
      <c r="G5416" s="15">
        <v>15.030555555555555</v>
      </c>
      <c r="H5416" s="3">
        <v>3.9058861111110357E-2</v>
      </c>
    </row>
    <row r="5417" spans="7:8" x14ac:dyDescent="0.3">
      <c r="G5417" s="15">
        <v>15.033333333333333</v>
      </c>
      <c r="H5417" s="3">
        <v>3.9059666666665917E-2</v>
      </c>
    </row>
    <row r="5418" spans="7:8" x14ac:dyDescent="0.3">
      <c r="G5418" s="15">
        <v>15.036111111111111</v>
      </c>
      <c r="H5418" s="3">
        <v>3.9060472222221476E-2</v>
      </c>
    </row>
    <row r="5419" spans="7:8" x14ac:dyDescent="0.3">
      <c r="G5419" s="15">
        <v>15.03888888888889</v>
      </c>
      <c r="H5419" s="3">
        <v>3.9061277777777029E-2</v>
      </c>
    </row>
    <row r="5420" spans="7:8" x14ac:dyDescent="0.3">
      <c r="G5420" s="15">
        <v>15.041666666666666</v>
      </c>
      <c r="H5420" s="3">
        <v>3.9062083333332581E-2</v>
      </c>
    </row>
    <row r="5421" spans="7:8" x14ac:dyDescent="0.3">
      <c r="G5421" s="15">
        <v>15.044444444444444</v>
      </c>
      <c r="H5421" s="3">
        <v>3.9062888888888141E-2</v>
      </c>
    </row>
    <row r="5422" spans="7:8" x14ac:dyDescent="0.3">
      <c r="G5422" s="15">
        <v>15.047222222222222</v>
      </c>
      <c r="H5422" s="3">
        <v>3.90636944444437E-2</v>
      </c>
    </row>
    <row r="5423" spans="7:8" x14ac:dyDescent="0.3">
      <c r="G5423" s="15">
        <v>15.05</v>
      </c>
      <c r="H5423" s="3">
        <v>3.9064499999999253E-2</v>
      </c>
    </row>
    <row r="5424" spans="7:8" x14ac:dyDescent="0.3">
      <c r="G5424" s="15">
        <v>15.052777777777777</v>
      </c>
      <c r="H5424" s="3">
        <v>3.9065305555554805E-2</v>
      </c>
    </row>
    <row r="5425" spans="7:8" x14ac:dyDescent="0.3">
      <c r="G5425" s="15">
        <v>15.055555555555555</v>
      </c>
      <c r="H5425" s="3">
        <v>3.9066111111110365E-2</v>
      </c>
    </row>
    <row r="5426" spans="7:8" x14ac:dyDescent="0.3">
      <c r="G5426" s="15">
        <v>15.058333333333334</v>
      </c>
      <c r="H5426" s="3">
        <v>3.9066916666665924E-2</v>
      </c>
    </row>
    <row r="5427" spans="7:8" x14ac:dyDescent="0.3">
      <c r="G5427" s="15">
        <v>15.061111111111112</v>
      </c>
      <c r="H5427" s="3">
        <v>3.9067722222221477E-2</v>
      </c>
    </row>
    <row r="5428" spans="7:8" x14ac:dyDescent="0.3">
      <c r="G5428" s="15">
        <v>15.063888888888888</v>
      </c>
      <c r="H5428" s="3">
        <v>3.9068527777777029E-2</v>
      </c>
    </row>
    <row r="5429" spans="7:8" x14ac:dyDescent="0.3">
      <c r="G5429" s="15">
        <v>15.066666666666666</v>
      </c>
      <c r="H5429" s="3">
        <v>3.9069333333332588E-2</v>
      </c>
    </row>
    <row r="5430" spans="7:8" x14ac:dyDescent="0.3">
      <c r="G5430" s="15">
        <v>15.069444444444445</v>
      </c>
      <c r="H5430" s="3">
        <v>3.9070138888888148E-2</v>
      </c>
    </row>
    <row r="5431" spans="7:8" x14ac:dyDescent="0.3">
      <c r="G5431" s="15">
        <v>15.072222222222223</v>
      </c>
      <c r="H5431" s="3">
        <v>3.90709444444437E-2</v>
      </c>
    </row>
    <row r="5432" spans="7:8" x14ac:dyDescent="0.3">
      <c r="G5432" s="15">
        <v>15.074999999999999</v>
      </c>
      <c r="H5432" s="3">
        <v>3.9071749999999253E-2</v>
      </c>
    </row>
    <row r="5433" spans="7:8" x14ac:dyDescent="0.3">
      <c r="G5433" s="15">
        <v>15.077777777777778</v>
      </c>
      <c r="H5433" s="3">
        <v>3.9072555555554812E-2</v>
      </c>
    </row>
    <row r="5434" spans="7:8" x14ac:dyDescent="0.3">
      <c r="G5434" s="15">
        <v>15.080555555555556</v>
      </c>
      <c r="H5434" s="3">
        <v>3.9073361111110372E-2</v>
      </c>
    </row>
    <row r="5435" spans="7:8" x14ac:dyDescent="0.3">
      <c r="G5435" s="15">
        <v>15.083333333333334</v>
      </c>
      <c r="H5435" s="3">
        <v>3.9074166666665924E-2</v>
      </c>
    </row>
    <row r="5436" spans="7:8" x14ac:dyDescent="0.3">
      <c r="G5436" s="15">
        <v>15.08611111111111</v>
      </c>
      <c r="H5436" s="3">
        <v>3.9074972222221477E-2</v>
      </c>
    </row>
    <row r="5437" spans="7:8" x14ac:dyDescent="0.3">
      <c r="G5437" s="15">
        <v>15.088888888888889</v>
      </c>
      <c r="H5437" s="3">
        <v>3.9075777777777036E-2</v>
      </c>
    </row>
    <row r="5438" spans="7:8" x14ac:dyDescent="0.3">
      <c r="G5438" s="15">
        <v>15.091666666666667</v>
      </c>
      <c r="H5438" s="3">
        <v>3.9076583333332596E-2</v>
      </c>
    </row>
    <row r="5439" spans="7:8" x14ac:dyDescent="0.3">
      <c r="G5439" s="15">
        <v>15.094444444444445</v>
      </c>
      <c r="H5439" s="3">
        <v>3.9077388888888148E-2</v>
      </c>
    </row>
    <row r="5440" spans="7:8" x14ac:dyDescent="0.3">
      <c r="G5440" s="15">
        <v>15.097222222222221</v>
      </c>
      <c r="H5440" s="3">
        <v>3.9078194444443701E-2</v>
      </c>
    </row>
    <row r="5441" spans="7:8" x14ac:dyDescent="0.3">
      <c r="G5441" s="15">
        <v>15.1</v>
      </c>
      <c r="H5441" s="3">
        <v>3.907899999999926E-2</v>
      </c>
    </row>
    <row r="5442" spans="7:8" x14ac:dyDescent="0.3">
      <c r="G5442" s="15">
        <v>15.102777777777778</v>
      </c>
      <c r="H5442" s="3">
        <v>3.907980555555482E-2</v>
      </c>
    </row>
    <row r="5443" spans="7:8" x14ac:dyDescent="0.3">
      <c r="G5443" s="15">
        <v>15.105555555555556</v>
      </c>
      <c r="H5443" s="3">
        <v>3.9080611111110372E-2</v>
      </c>
    </row>
    <row r="5444" spans="7:8" x14ac:dyDescent="0.3">
      <c r="G5444" s="15">
        <v>15.108333333333333</v>
      </c>
      <c r="H5444" s="3">
        <v>3.9081416666665925E-2</v>
      </c>
    </row>
    <row r="5445" spans="7:8" x14ac:dyDescent="0.3">
      <c r="G5445" s="15">
        <v>15.111111111111111</v>
      </c>
      <c r="H5445" s="3">
        <v>3.9082222222221484E-2</v>
      </c>
    </row>
    <row r="5446" spans="7:8" x14ac:dyDescent="0.3">
      <c r="G5446" s="15">
        <v>15.113888888888889</v>
      </c>
      <c r="H5446" s="3">
        <v>3.9083027777777044E-2</v>
      </c>
    </row>
    <row r="5447" spans="7:8" x14ac:dyDescent="0.3">
      <c r="G5447" s="15">
        <v>15.116666666666667</v>
      </c>
      <c r="H5447" s="3">
        <v>3.9083833333332596E-2</v>
      </c>
    </row>
    <row r="5448" spans="7:8" x14ac:dyDescent="0.3">
      <c r="G5448" s="15">
        <v>15.119444444444444</v>
      </c>
      <c r="H5448" s="3">
        <v>3.9084638888888149E-2</v>
      </c>
    </row>
    <row r="5449" spans="7:8" x14ac:dyDescent="0.3">
      <c r="G5449" s="15">
        <v>15.122222222222222</v>
      </c>
      <c r="H5449" s="3">
        <v>3.9085444444443708E-2</v>
      </c>
    </row>
    <row r="5450" spans="7:8" x14ac:dyDescent="0.3">
      <c r="G5450" s="15">
        <v>15.125</v>
      </c>
      <c r="H5450" s="3">
        <v>3.9086249999999267E-2</v>
      </c>
    </row>
    <row r="5451" spans="7:8" x14ac:dyDescent="0.3">
      <c r="G5451" s="15">
        <v>15.127777777777778</v>
      </c>
      <c r="H5451" s="3">
        <v>3.908705555555482E-2</v>
      </c>
    </row>
    <row r="5452" spans="7:8" x14ac:dyDescent="0.3">
      <c r="G5452" s="15">
        <v>15.130555555555556</v>
      </c>
      <c r="H5452" s="3">
        <v>3.9087861111110372E-2</v>
      </c>
    </row>
    <row r="5453" spans="7:8" x14ac:dyDescent="0.3">
      <c r="G5453" s="15">
        <v>15.133333333333333</v>
      </c>
      <c r="H5453" s="3">
        <v>3.9088666666665932E-2</v>
      </c>
    </row>
    <row r="5454" spans="7:8" x14ac:dyDescent="0.3">
      <c r="G5454" s="15">
        <v>15.136111111111111</v>
      </c>
      <c r="H5454" s="3">
        <v>3.9089472222221491E-2</v>
      </c>
    </row>
    <row r="5455" spans="7:8" x14ac:dyDescent="0.3">
      <c r="G5455" s="15">
        <v>15.138888888888889</v>
      </c>
      <c r="H5455" s="3">
        <v>3.9090277777777044E-2</v>
      </c>
    </row>
    <row r="5456" spans="7:8" x14ac:dyDescent="0.3">
      <c r="G5456" s="15">
        <v>15.141666666666667</v>
      </c>
      <c r="H5456" s="3">
        <v>3.9091083333332596E-2</v>
      </c>
    </row>
    <row r="5457" spans="7:8" x14ac:dyDescent="0.3">
      <c r="G5457" s="15">
        <v>15.144444444444444</v>
      </c>
      <c r="H5457" s="3">
        <v>3.9091888888888156E-2</v>
      </c>
    </row>
    <row r="5458" spans="7:8" x14ac:dyDescent="0.3">
      <c r="G5458" s="15">
        <v>15.147222222222222</v>
      </c>
      <c r="H5458" s="3">
        <v>3.9092694444443715E-2</v>
      </c>
    </row>
    <row r="5459" spans="7:8" x14ac:dyDescent="0.3">
      <c r="G5459" s="15">
        <v>15.15</v>
      </c>
      <c r="H5459" s="3">
        <v>3.9093499999999268E-2</v>
      </c>
    </row>
    <row r="5460" spans="7:8" x14ac:dyDescent="0.3">
      <c r="G5460" s="15">
        <v>15.152777777777779</v>
      </c>
      <c r="H5460" s="3">
        <v>3.909430555555482E-2</v>
      </c>
    </row>
    <row r="5461" spans="7:8" x14ac:dyDescent="0.3">
      <c r="G5461" s="15">
        <v>15.155555555555555</v>
      </c>
      <c r="H5461" s="3">
        <v>3.909511111111038E-2</v>
      </c>
    </row>
    <row r="5462" spans="7:8" x14ac:dyDescent="0.3">
      <c r="G5462" s="15">
        <v>15.158333333333333</v>
      </c>
      <c r="H5462" s="3">
        <v>3.9095916666665939E-2</v>
      </c>
    </row>
    <row r="5463" spans="7:8" x14ac:dyDescent="0.3">
      <c r="G5463" s="15">
        <v>15.161111111111111</v>
      </c>
      <c r="H5463" s="3">
        <v>3.9096722222221492E-2</v>
      </c>
    </row>
    <row r="5464" spans="7:8" x14ac:dyDescent="0.3">
      <c r="G5464" s="15">
        <v>15.16388888888889</v>
      </c>
      <c r="H5464" s="3">
        <v>3.9097527777777044E-2</v>
      </c>
    </row>
    <row r="5465" spans="7:8" x14ac:dyDescent="0.3">
      <c r="G5465" s="15">
        <v>15.166666666666666</v>
      </c>
      <c r="H5465" s="3">
        <v>3.9098333333332604E-2</v>
      </c>
    </row>
    <row r="5466" spans="7:8" x14ac:dyDescent="0.3">
      <c r="G5466" s="15">
        <v>15.169444444444444</v>
      </c>
      <c r="H5466" s="3">
        <v>3.9099138888888163E-2</v>
      </c>
    </row>
    <row r="5467" spans="7:8" x14ac:dyDescent="0.3">
      <c r="G5467" s="15">
        <v>15.172222222222222</v>
      </c>
      <c r="H5467" s="3">
        <v>3.9099944444443716E-2</v>
      </c>
    </row>
    <row r="5468" spans="7:8" x14ac:dyDescent="0.3">
      <c r="G5468" s="15">
        <v>15.175000000000001</v>
      </c>
      <c r="H5468" s="3">
        <v>3.9100749999999268E-2</v>
      </c>
    </row>
    <row r="5469" spans="7:8" x14ac:dyDescent="0.3">
      <c r="G5469" s="15">
        <v>15.177777777777777</v>
      </c>
      <c r="H5469" s="3">
        <v>3.9101555555554827E-2</v>
      </c>
    </row>
    <row r="5470" spans="7:8" x14ac:dyDescent="0.3">
      <c r="G5470" s="15">
        <v>15.180555555555555</v>
      </c>
      <c r="H5470" s="3">
        <v>3.9102361111110387E-2</v>
      </c>
    </row>
    <row r="5471" spans="7:8" x14ac:dyDescent="0.3">
      <c r="G5471" s="15">
        <v>15.183333333333334</v>
      </c>
      <c r="H5471" s="3">
        <v>3.9103166666665939E-2</v>
      </c>
    </row>
    <row r="5472" spans="7:8" x14ac:dyDescent="0.3">
      <c r="G5472" s="15">
        <v>15.186111111111112</v>
      </c>
      <c r="H5472" s="3">
        <v>3.9103972222221492E-2</v>
      </c>
    </row>
    <row r="5473" spans="7:8" x14ac:dyDescent="0.3">
      <c r="G5473" s="15">
        <v>15.188888888888888</v>
      </c>
      <c r="H5473" s="3">
        <v>3.9104777777777051E-2</v>
      </c>
    </row>
    <row r="5474" spans="7:8" x14ac:dyDescent="0.3">
      <c r="G5474" s="15">
        <v>15.191666666666666</v>
      </c>
      <c r="H5474" s="3">
        <v>3.9105583333332611E-2</v>
      </c>
    </row>
    <row r="5475" spans="7:8" x14ac:dyDescent="0.3">
      <c r="G5475" s="15">
        <v>15.194444444444445</v>
      </c>
      <c r="H5475" s="3">
        <v>3.9106388888888163E-2</v>
      </c>
    </row>
    <row r="5476" spans="7:8" x14ac:dyDescent="0.3">
      <c r="G5476" s="15">
        <v>15.197222222222223</v>
      </c>
      <c r="H5476" s="3">
        <v>3.9107194444443716E-2</v>
      </c>
    </row>
    <row r="5477" spans="7:8" x14ac:dyDescent="0.3">
      <c r="G5477" s="15">
        <v>15.2</v>
      </c>
      <c r="H5477" s="3">
        <v>3.9107999999999275E-2</v>
      </c>
    </row>
    <row r="5478" spans="7:8" x14ac:dyDescent="0.3">
      <c r="G5478" s="15">
        <v>15.202777777777778</v>
      </c>
      <c r="H5478" s="3">
        <v>3.9108805555554835E-2</v>
      </c>
    </row>
    <row r="5479" spans="7:8" x14ac:dyDescent="0.3">
      <c r="G5479" s="15">
        <v>15.205555555555556</v>
      </c>
      <c r="H5479" s="3">
        <v>3.9109611111110387E-2</v>
      </c>
    </row>
    <row r="5480" spans="7:8" x14ac:dyDescent="0.3">
      <c r="G5480" s="15">
        <v>15.208333333333334</v>
      </c>
      <c r="H5480" s="3">
        <v>3.911041666666594E-2</v>
      </c>
    </row>
    <row r="5481" spans="7:8" x14ac:dyDescent="0.3">
      <c r="G5481" s="15">
        <v>15.21111111111111</v>
      </c>
      <c r="H5481" s="3">
        <v>3.9111222222221499E-2</v>
      </c>
    </row>
    <row r="5482" spans="7:8" x14ac:dyDescent="0.3">
      <c r="G5482" s="15">
        <v>15.213888888888889</v>
      </c>
      <c r="H5482" s="3">
        <v>3.9112027777777059E-2</v>
      </c>
    </row>
    <row r="5483" spans="7:8" x14ac:dyDescent="0.3">
      <c r="G5483" s="15">
        <v>15.216666666666667</v>
      </c>
      <c r="H5483" s="3">
        <v>3.9112833333332611E-2</v>
      </c>
    </row>
    <row r="5484" spans="7:8" x14ac:dyDescent="0.3">
      <c r="G5484" s="15">
        <v>15.219444444444445</v>
      </c>
      <c r="H5484" s="3">
        <v>3.9113638888888164E-2</v>
      </c>
    </row>
    <row r="5485" spans="7:8" x14ac:dyDescent="0.3">
      <c r="G5485" s="15">
        <v>15.222222222222221</v>
      </c>
      <c r="H5485" s="3">
        <v>3.9114444444443723E-2</v>
      </c>
    </row>
    <row r="5486" spans="7:8" x14ac:dyDescent="0.3">
      <c r="G5486" s="15">
        <v>15.225</v>
      </c>
      <c r="H5486" s="3">
        <v>3.9115249999999283E-2</v>
      </c>
    </row>
    <row r="5487" spans="7:8" x14ac:dyDescent="0.3">
      <c r="G5487" s="15">
        <v>15.227777777777778</v>
      </c>
      <c r="H5487" s="3">
        <v>3.9116055555554835E-2</v>
      </c>
    </row>
    <row r="5488" spans="7:8" x14ac:dyDescent="0.3">
      <c r="G5488" s="15">
        <v>15.230555555555556</v>
      </c>
      <c r="H5488" s="3">
        <v>3.9116861111110388E-2</v>
      </c>
    </row>
    <row r="5489" spans="7:8" x14ac:dyDescent="0.3">
      <c r="G5489" s="15">
        <v>15.233333333333333</v>
      </c>
      <c r="H5489" s="3">
        <v>3.9117666666665947E-2</v>
      </c>
    </row>
    <row r="5490" spans="7:8" x14ac:dyDescent="0.3">
      <c r="G5490" s="15">
        <v>15.236111111111111</v>
      </c>
      <c r="H5490" s="3">
        <v>3.9118472222221506E-2</v>
      </c>
    </row>
    <row r="5491" spans="7:8" x14ac:dyDescent="0.3">
      <c r="G5491" s="15">
        <v>15.238888888888889</v>
      </c>
      <c r="H5491" s="3">
        <v>3.9119277777777059E-2</v>
      </c>
    </row>
    <row r="5492" spans="7:8" x14ac:dyDescent="0.3">
      <c r="G5492" s="15">
        <v>15.241666666666667</v>
      </c>
      <c r="H5492" s="3">
        <v>3.9120083333332611E-2</v>
      </c>
    </row>
    <row r="5493" spans="7:8" x14ac:dyDescent="0.3">
      <c r="G5493" s="15">
        <v>15.244444444444444</v>
      </c>
      <c r="H5493" s="3">
        <v>3.9120888888888171E-2</v>
      </c>
    </row>
    <row r="5494" spans="7:8" x14ac:dyDescent="0.3">
      <c r="G5494" s="15">
        <v>15.247222222222222</v>
      </c>
      <c r="H5494" s="3">
        <v>3.912169444444373E-2</v>
      </c>
    </row>
    <row r="5495" spans="7:8" x14ac:dyDescent="0.3">
      <c r="G5495" s="15">
        <v>15.25</v>
      </c>
      <c r="H5495" s="3">
        <v>3.9122499999999283E-2</v>
      </c>
    </row>
    <row r="5496" spans="7:8" x14ac:dyDescent="0.3">
      <c r="G5496" s="15">
        <v>15.252777777777778</v>
      </c>
      <c r="H5496" s="3">
        <v>3.9123305555554835E-2</v>
      </c>
    </row>
    <row r="5497" spans="7:8" x14ac:dyDescent="0.3">
      <c r="G5497" s="15">
        <v>15.255555555555556</v>
      </c>
      <c r="H5497" s="3">
        <v>3.9124111111110395E-2</v>
      </c>
    </row>
    <row r="5498" spans="7:8" x14ac:dyDescent="0.3">
      <c r="G5498" s="15">
        <v>15.258333333333333</v>
      </c>
      <c r="H5498" s="3">
        <v>3.9124916666665954E-2</v>
      </c>
    </row>
    <row r="5499" spans="7:8" x14ac:dyDescent="0.3">
      <c r="G5499" s="15">
        <v>15.261111111111111</v>
      </c>
      <c r="H5499" s="3">
        <v>3.9125722222221507E-2</v>
      </c>
    </row>
    <row r="5500" spans="7:8" x14ac:dyDescent="0.3">
      <c r="G5500" s="15">
        <v>15.263888888888889</v>
      </c>
      <c r="H5500" s="3">
        <v>3.9126527777777059E-2</v>
      </c>
    </row>
    <row r="5501" spans="7:8" x14ac:dyDescent="0.3">
      <c r="G5501" s="15">
        <v>15.266666666666667</v>
      </c>
      <c r="H5501" s="3">
        <v>3.9127333333332619E-2</v>
      </c>
    </row>
    <row r="5502" spans="7:8" x14ac:dyDescent="0.3">
      <c r="G5502" s="15">
        <v>15.269444444444444</v>
      </c>
      <c r="H5502" s="3">
        <v>3.9128138888888178E-2</v>
      </c>
    </row>
    <row r="5503" spans="7:8" x14ac:dyDescent="0.3">
      <c r="G5503" s="15">
        <v>15.272222222222222</v>
      </c>
      <c r="H5503" s="3">
        <v>3.9128944444443731E-2</v>
      </c>
    </row>
    <row r="5504" spans="7:8" x14ac:dyDescent="0.3">
      <c r="G5504" s="15">
        <v>15.275</v>
      </c>
      <c r="H5504" s="3">
        <v>3.9129749999999283E-2</v>
      </c>
    </row>
    <row r="5505" spans="7:8" x14ac:dyDescent="0.3">
      <c r="G5505" s="15">
        <v>15.277777777777779</v>
      </c>
      <c r="H5505" s="3">
        <v>3.9130555555554843E-2</v>
      </c>
    </row>
    <row r="5506" spans="7:8" x14ac:dyDescent="0.3">
      <c r="G5506" s="15">
        <v>15.280555555555555</v>
      </c>
      <c r="H5506" s="3">
        <v>3.9131361111110402E-2</v>
      </c>
    </row>
    <row r="5507" spans="7:8" x14ac:dyDescent="0.3">
      <c r="G5507" s="15">
        <v>15.283333333333333</v>
      </c>
      <c r="H5507" s="3">
        <v>3.9132166666665955E-2</v>
      </c>
    </row>
    <row r="5508" spans="7:8" x14ac:dyDescent="0.3">
      <c r="G5508" s="15">
        <v>15.286111111111111</v>
      </c>
      <c r="H5508" s="3">
        <v>3.9132972222221507E-2</v>
      </c>
    </row>
    <row r="5509" spans="7:8" x14ac:dyDescent="0.3">
      <c r="G5509" s="15">
        <v>15.28888888888889</v>
      </c>
      <c r="H5509" s="3">
        <v>3.9133777777777067E-2</v>
      </c>
    </row>
    <row r="5510" spans="7:8" x14ac:dyDescent="0.3">
      <c r="G5510" s="15">
        <v>15.291666666666666</v>
      </c>
      <c r="H5510" s="3">
        <v>3.9134583333332626E-2</v>
      </c>
    </row>
    <row r="5511" spans="7:8" x14ac:dyDescent="0.3">
      <c r="G5511" s="15">
        <v>15.294444444444444</v>
      </c>
      <c r="H5511" s="3">
        <v>3.9135388888888178E-2</v>
      </c>
    </row>
    <row r="5512" spans="7:8" x14ac:dyDescent="0.3">
      <c r="G5512" s="15">
        <v>15.297222222222222</v>
      </c>
      <c r="H5512" s="3">
        <v>3.9136194444443731E-2</v>
      </c>
    </row>
    <row r="5513" spans="7:8" x14ac:dyDescent="0.3">
      <c r="G5513" s="15">
        <v>15.3</v>
      </c>
      <c r="H5513" s="3">
        <v>3.913699999999929E-2</v>
      </c>
    </row>
    <row r="5514" spans="7:8" x14ac:dyDescent="0.3">
      <c r="G5514" s="15">
        <v>15.302777777777777</v>
      </c>
      <c r="H5514" s="3">
        <v>3.913780555555485E-2</v>
      </c>
    </row>
    <row r="5515" spans="7:8" x14ac:dyDescent="0.3">
      <c r="G5515" s="15">
        <v>15.305555555555555</v>
      </c>
      <c r="H5515" s="3">
        <v>3.9138611111110402E-2</v>
      </c>
    </row>
    <row r="5516" spans="7:8" x14ac:dyDescent="0.3">
      <c r="G5516" s="15">
        <v>15.308333333333334</v>
      </c>
      <c r="H5516" s="3">
        <v>3.9139416666665955E-2</v>
      </c>
    </row>
    <row r="5517" spans="7:8" x14ac:dyDescent="0.3">
      <c r="G5517" s="15">
        <v>15.311111111111112</v>
      </c>
      <c r="H5517" s="3">
        <v>3.9140222222221514E-2</v>
      </c>
    </row>
    <row r="5518" spans="7:8" x14ac:dyDescent="0.3">
      <c r="G5518" s="15">
        <v>15.313888888888888</v>
      </c>
      <c r="H5518" s="3">
        <v>3.9141027777777074E-2</v>
      </c>
    </row>
    <row r="5519" spans="7:8" x14ac:dyDescent="0.3">
      <c r="G5519" s="15">
        <v>15.316666666666666</v>
      </c>
      <c r="H5519" s="3">
        <v>3.9141833333332626E-2</v>
      </c>
    </row>
    <row r="5520" spans="7:8" x14ac:dyDescent="0.3">
      <c r="G5520" s="15">
        <v>15.319444444444445</v>
      </c>
      <c r="H5520" s="3">
        <v>3.9142638888888179E-2</v>
      </c>
    </row>
    <row r="5521" spans="7:8" x14ac:dyDescent="0.3">
      <c r="G5521" s="15">
        <v>15.322222222222223</v>
      </c>
      <c r="H5521" s="3">
        <v>3.9143444444443738E-2</v>
      </c>
    </row>
    <row r="5522" spans="7:8" x14ac:dyDescent="0.3">
      <c r="G5522" s="15">
        <v>15.324999999999999</v>
      </c>
      <c r="H5522" s="3">
        <v>3.9144249999999298E-2</v>
      </c>
    </row>
    <row r="5523" spans="7:8" x14ac:dyDescent="0.3">
      <c r="G5523" s="15">
        <v>15.327777777777778</v>
      </c>
      <c r="H5523" s="3">
        <v>3.914505555555485E-2</v>
      </c>
    </row>
    <row r="5524" spans="7:8" x14ac:dyDescent="0.3">
      <c r="G5524" s="15">
        <v>15.330555555555556</v>
      </c>
      <c r="H5524" s="3">
        <v>3.9145861111110403E-2</v>
      </c>
    </row>
    <row r="5525" spans="7:8" x14ac:dyDescent="0.3">
      <c r="G5525" s="15">
        <v>15.333333333333334</v>
      </c>
      <c r="H5525" s="3">
        <v>3.9146666666665962E-2</v>
      </c>
    </row>
    <row r="5526" spans="7:8" x14ac:dyDescent="0.3">
      <c r="G5526" s="15">
        <v>15.33611111111111</v>
      </c>
      <c r="H5526" s="3">
        <v>3.9147472222221522E-2</v>
      </c>
    </row>
    <row r="5527" spans="7:8" x14ac:dyDescent="0.3">
      <c r="G5527" s="15">
        <v>15.338888888888889</v>
      </c>
      <c r="H5527" s="3">
        <v>3.9148277777777074E-2</v>
      </c>
    </row>
    <row r="5528" spans="7:8" x14ac:dyDescent="0.3">
      <c r="G5528" s="15">
        <v>15.341666666666667</v>
      </c>
      <c r="H5528" s="3">
        <v>3.9149083333332627E-2</v>
      </c>
    </row>
    <row r="5529" spans="7:8" x14ac:dyDescent="0.3">
      <c r="G5529" s="15">
        <v>15.344444444444445</v>
      </c>
      <c r="H5529" s="3">
        <v>3.9149888888888186E-2</v>
      </c>
    </row>
    <row r="5530" spans="7:8" x14ac:dyDescent="0.3">
      <c r="G5530" s="15">
        <v>15.347222222222221</v>
      </c>
      <c r="H5530" s="3">
        <v>3.9150694444443745E-2</v>
      </c>
    </row>
    <row r="5531" spans="7:8" x14ac:dyDescent="0.3">
      <c r="G5531" s="15">
        <v>15.35</v>
      </c>
      <c r="H5531" s="3">
        <v>3.9151499999999298E-2</v>
      </c>
    </row>
    <row r="5532" spans="7:8" x14ac:dyDescent="0.3">
      <c r="G5532" s="15">
        <v>15.352777777777778</v>
      </c>
      <c r="H5532" s="3">
        <v>3.915230555555485E-2</v>
      </c>
    </row>
    <row r="5533" spans="7:8" x14ac:dyDescent="0.3">
      <c r="G5533" s="15">
        <v>15.355555555555556</v>
      </c>
      <c r="H5533" s="3">
        <v>3.915311111111041E-2</v>
      </c>
    </row>
    <row r="5534" spans="7:8" x14ac:dyDescent="0.3">
      <c r="G5534" s="15">
        <v>15.358333333333333</v>
      </c>
      <c r="H5534" s="3">
        <v>3.9153916666665969E-2</v>
      </c>
    </row>
    <row r="5535" spans="7:8" x14ac:dyDescent="0.3">
      <c r="G5535" s="15">
        <v>15.361111111111111</v>
      </c>
      <c r="H5535" s="3">
        <v>3.9154722222221522E-2</v>
      </c>
    </row>
    <row r="5536" spans="7:8" x14ac:dyDescent="0.3">
      <c r="G5536" s="15">
        <v>15.363888888888889</v>
      </c>
      <c r="H5536" s="3">
        <v>3.9155527777777074E-2</v>
      </c>
    </row>
    <row r="5537" spans="7:8" x14ac:dyDescent="0.3">
      <c r="G5537" s="15">
        <v>15.366666666666667</v>
      </c>
      <c r="H5537" s="3">
        <v>3.9156333333332634E-2</v>
      </c>
    </row>
    <row r="5538" spans="7:8" x14ac:dyDescent="0.3">
      <c r="G5538" s="15">
        <v>15.369444444444444</v>
      </c>
      <c r="H5538" s="3">
        <v>3.9157138888888193E-2</v>
      </c>
    </row>
    <row r="5539" spans="7:8" x14ac:dyDescent="0.3">
      <c r="G5539" s="15">
        <v>15.372222222222222</v>
      </c>
      <c r="H5539" s="3">
        <v>3.9157944444443746E-2</v>
      </c>
    </row>
    <row r="5540" spans="7:8" x14ac:dyDescent="0.3">
      <c r="G5540" s="15">
        <v>15.375</v>
      </c>
      <c r="H5540" s="3">
        <v>3.9158749999999298E-2</v>
      </c>
    </row>
    <row r="5541" spans="7:8" x14ac:dyDescent="0.3">
      <c r="G5541" s="15">
        <v>15.377777777777778</v>
      </c>
      <c r="H5541" s="3">
        <v>3.9159555555554858E-2</v>
      </c>
    </row>
    <row r="5542" spans="7:8" x14ac:dyDescent="0.3">
      <c r="G5542" s="15">
        <v>15.380555555555556</v>
      </c>
      <c r="H5542" s="3">
        <v>3.9160361111110417E-2</v>
      </c>
    </row>
    <row r="5543" spans="7:8" x14ac:dyDescent="0.3">
      <c r="G5543" s="15">
        <v>15.383333333333333</v>
      </c>
      <c r="H5543" s="3">
        <v>3.916116666666597E-2</v>
      </c>
    </row>
    <row r="5544" spans="7:8" x14ac:dyDescent="0.3">
      <c r="G5544" s="15">
        <v>15.386111111111111</v>
      </c>
      <c r="H5544" s="3">
        <v>3.9161972222221522E-2</v>
      </c>
    </row>
    <row r="5545" spans="7:8" x14ac:dyDescent="0.3">
      <c r="G5545" s="15">
        <v>15.388888888888889</v>
      </c>
      <c r="H5545" s="3">
        <v>3.9162777777777082E-2</v>
      </c>
    </row>
    <row r="5546" spans="7:8" x14ac:dyDescent="0.3">
      <c r="G5546" s="15">
        <v>15.391666666666667</v>
      </c>
      <c r="H5546" s="3">
        <v>3.9163583333332641E-2</v>
      </c>
    </row>
    <row r="5547" spans="7:8" x14ac:dyDescent="0.3">
      <c r="G5547" s="15">
        <v>15.394444444444444</v>
      </c>
      <c r="H5547" s="3">
        <v>3.9164388888888194E-2</v>
      </c>
    </row>
    <row r="5548" spans="7:8" x14ac:dyDescent="0.3">
      <c r="G5548" s="15">
        <v>15.397222222222222</v>
      </c>
      <c r="H5548" s="3">
        <v>3.9165194444443746E-2</v>
      </c>
    </row>
    <row r="5549" spans="7:8" x14ac:dyDescent="0.3">
      <c r="G5549" s="15">
        <v>15.4</v>
      </c>
      <c r="H5549" s="3">
        <v>3.9165999999999306E-2</v>
      </c>
    </row>
    <row r="5550" spans="7:8" x14ac:dyDescent="0.3">
      <c r="G5550" s="15">
        <v>15.402777777777779</v>
      </c>
      <c r="H5550" s="3">
        <v>3.9166805555554865E-2</v>
      </c>
    </row>
    <row r="5551" spans="7:8" x14ac:dyDescent="0.3">
      <c r="G5551" s="15">
        <v>15.405555555555555</v>
      </c>
      <c r="H5551" s="3">
        <v>3.9167611111110417E-2</v>
      </c>
    </row>
    <row r="5552" spans="7:8" x14ac:dyDescent="0.3">
      <c r="G5552" s="15">
        <v>15.408333333333333</v>
      </c>
      <c r="H5552" s="3">
        <v>3.916841666666597E-2</v>
      </c>
    </row>
    <row r="5553" spans="7:8" x14ac:dyDescent="0.3">
      <c r="G5553" s="15">
        <v>15.411111111111111</v>
      </c>
      <c r="H5553" s="3">
        <v>3.9169222222221529E-2</v>
      </c>
    </row>
    <row r="5554" spans="7:8" x14ac:dyDescent="0.3">
      <c r="G5554" s="15">
        <v>15.41388888888889</v>
      </c>
      <c r="H5554" s="3">
        <v>3.9170027777777089E-2</v>
      </c>
    </row>
    <row r="5555" spans="7:8" x14ac:dyDescent="0.3">
      <c r="G5555" s="15">
        <v>15.416666666666666</v>
      </c>
      <c r="H5555" s="3">
        <v>3.9170833333332641E-2</v>
      </c>
    </row>
    <row r="5556" spans="7:8" x14ac:dyDescent="0.3">
      <c r="G5556" s="15">
        <v>15.419444444444444</v>
      </c>
      <c r="H5556" s="3">
        <v>3.9171638888888194E-2</v>
      </c>
    </row>
    <row r="5557" spans="7:8" x14ac:dyDescent="0.3">
      <c r="G5557" s="15">
        <v>15.422222222222222</v>
      </c>
      <c r="H5557" s="3">
        <v>3.9172444444443753E-2</v>
      </c>
    </row>
    <row r="5558" spans="7:8" x14ac:dyDescent="0.3">
      <c r="G5558" s="15">
        <v>15.425000000000001</v>
      </c>
      <c r="H5558" s="3">
        <v>3.9173249999999313E-2</v>
      </c>
    </row>
    <row r="5559" spans="7:8" x14ac:dyDescent="0.3">
      <c r="G5559" s="15">
        <v>15.427777777777777</v>
      </c>
      <c r="H5559" s="3">
        <v>3.9174055555554865E-2</v>
      </c>
    </row>
    <row r="5560" spans="7:8" x14ac:dyDescent="0.3">
      <c r="G5560" s="15">
        <v>15.430555555555555</v>
      </c>
      <c r="H5560" s="3">
        <v>3.9174861111110418E-2</v>
      </c>
    </row>
    <row r="5561" spans="7:8" x14ac:dyDescent="0.3">
      <c r="G5561" s="15">
        <v>15.433333333333334</v>
      </c>
      <c r="H5561" s="3">
        <v>3.9175666666665977E-2</v>
      </c>
    </row>
    <row r="5562" spans="7:8" x14ac:dyDescent="0.3">
      <c r="G5562" s="15">
        <v>15.436111111111112</v>
      </c>
      <c r="H5562" s="3">
        <v>3.9176472222221537E-2</v>
      </c>
    </row>
    <row r="5563" spans="7:8" x14ac:dyDescent="0.3">
      <c r="G5563" s="15">
        <v>15.438888888888888</v>
      </c>
      <c r="H5563" s="3">
        <v>3.9177277777777089E-2</v>
      </c>
    </row>
    <row r="5564" spans="7:8" x14ac:dyDescent="0.3">
      <c r="G5564" s="15">
        <v>15.441666666666666</v>
      </c>
      <c r="H5564" s="3">
        <v>3.9178083333332642E-2</v>
      </c>
    </row>
    <row r="5565" spans="7:8" x14ac:dyDescent="0.3">
      <c r="G5565" s="15">
        <v>15.444444444444445</v>
      </c>
      <c r="H5565" s="3">
        <v>3.9178888888888201E-2</v>
      </c>
    </row>
    <row r="5566" spans="7:8" x14ac:dyDescent="0.3">
      <c r="G5566" s="15">
        <v>15.447222222222223</v>
      </c>
      <c r="H5566" s="3">
        <v>3.9179694444443761E-2</v>
      </c>
    </row>
    <row r="5567" spans="7:8" x14ac:dyDescent="0.3">
      <c r="G5567" s="15">
        <v>15.45</v>
      </c>
      <c r="H5567" s="3">
        <v>3.9180499999999313E-2</v>
      </c>
    </row>
    <row r="5568" spans="7:8" x14ac:dyDescent="0.3">
      <c r="G5568" s="15">
        <v>15.452777777777778</v>
      </c>
      <c r="H5568" s="3">
        <v>3.9181305555554866E-2</v>
      </c>
    </row>
    <row r="5569" spans="7:8" x14ac:dyDescent="0.3">
      <c r="G5569" s="15">
        <v>15.455555555555556</v>
      </c>
      <c r="H5569" s="3">
        <v>3.9182111111110425E-2</v>
      </c>
    </row>
    <row r="5570" spans="7:8" x14ac:dyDescent="0.3">
      <c r="G5570" s="15">
        <v>15.458333333333334</v>
      </c>
      <c r="H5570" s="3">
        <v>3.9182916666665984E-2</v>
      </c>
    </row>
    <row r="5571" spans="7:8" x14ac:dyDescent="0.3">
      <c r="G5571" s="15">
        <v>15.46111111111111</v>
      </c>
      <c r="H5571" s="3">
        <v>3.9183722222221537E-2</v>
      </c>
    </row>
    <row r="5572" spans="7:8" x14ac:dyDescent="0.3">
      <c r="G5572" s="15">
        <v>15.463888888888889</v>
      </c>
      <c r="H5572" s="3">
        <v>3.918452777777709E-2</v>
      </c>
    </row>
    <row r="5573" spans="7:8" x14ac:dyDescent="0.3">
      <c r="G5573" s="15">
        <v>15.466666666666667</v>
      </c>
      <c r="H5573" s="3">
        <v>3.9185333333332649E-2</v>
      </c>
    </row>
    <row r="5574" spans="7:8" x14ac:dyDescent="0.3">
      <c r="G5574" s="15">
        <v>15.469444444444445</v>
      </c>
      <c r="H5574" s="3">
        <v>3.9186138888888208E-2</v>
      </c>
    </row>
    <row r="5575" spans="7:8" x14ac:dyDescent="0.3">
      <c r="G5575" s="15">
        <v>15.472222222222221</v>
      </c>
      <c r="H5575" s="3">
        <v>3.9186944444443761E-2</v>
      </c>
    </row>
    <row r="5576" spans="7:8" x14ac:dyDescent="0.3">
      <c r="G5576" s="15">
        <v>15.475</v>
      </c>
      <c r="H5576" s="3">
        <v>3.9187749999999313E-2</v>
      </c>
    </row>
    <row r="5577" spans="7:8" x14ac:dyDescent="0.3">
      <c r="G5577" s="15">
        <v>15.477777777777778</v>
      </c>
      <c r="H5577" s="3">
        <v>3.9188555555554873E-2</v>
      </c>
    </row>
    <row r="5578" spans="7:8" x14ac:dyDescent="0.3">
      <c r="G5578" s="15">
        <v>15.480555555555556</v>
      </c>
      <c r="H5578" s="3">
        <v>3.9189361111110432E-2</v>
      </c>
    </row>
    <row r="5579" spans="7:8" x14ac:dyDescent="0.3">
      <c r="G5579" s="15">
        <v>15.483333333333333</v>
      </c>
      <c r="H5579" s="3">
        <v>3.9190166666665985E-2</v>
      </c>
    </row>
    <row r="5580" spans="7:8" x14ac:dyDescent="0.3">
      <c r="G5580" s="15">
        <v>15.486111111111111</v>
      </c>
      <c r="H5580" s="3">
        <v>3.9190972222221537E-2</v>
      </c>
    </row>
    <row r="5581" spans="7:8" x14ac:dyDescent="0.3">
      <c r="G5581" s="15">
        <v>15.488888888888889</v>
      </c>
      <c r="H5581" s="3">
        <v>3.9191777777777097E-2</v>
      </c>
    </row>
    <row r="5582" spans="7:8" x14ac:dyDescent="0.3">
      <c r="G5582" s="15">
        <v>15.491666666666667</v>
      </c>
      <c r="H5582" s="3">
        <v>3.9192583333332656E-2</v>
      </c>
    </row>
    <row r="5583" spans="7:8" x14ac:dyDescent="0.3">
      <c r="G5583" s="15">
        <v>15.494444444444444</v>
      </c>
      <c r="H5583" s="3">
        <v>3.9193388888888209E-2</v>
      </c>
    </row>
    <row r="5584" spans="7:8" x14ac:dyDescent="0.3">
      <c r="G5584" s="15">
        <v>15.497222222222222</v>
      </c>
      <c r="H5584" s="3">
        <v>3.9194194444443761E-2</v>
      </c>
    </row>
    <row r="5585" spans="7:8" x14ac:dyDescent="0.3">
      <c r="G5585" s="15">
        <v>15.5</v>
      </c>
      <c r="H5585" s="3">
        <v>3.9194999999999321E-2</v>
      </c>
    </row>
    <row r="5586" spans="7:8" x14ac:dyDescent="0.3">
      <c r="G5586" s="15">
        <v>15.502777777777778</v>
      </c>
      <c r="H5586" s="3">
        <v>3.919580555555488E-2</v>
      </c>
    </row>
    <row r="5587" spans="7:8" x14ac:dyDescent="0.3">
      <c r="G5587" s="15">
        <v>15.505555555555556</v>
      </c>
      <c r="H5587" s="3">
        <v>3.9196611111110433E-2</v>
      </c>
    </row>
    <row r="5588" spans="7:8" x14ac:dyDescent="0.3">
      <c r="G5588" s="15">
        <v>15.508333333333333</v>
      </c>
      <c r="H5588" s="3">
        <v>3.9197416666665985E-2</v>
      </c>
    </row>
    <row r="5589" spans="7:8" x14ac:dyDescent="0.3">
      <c r="G5589" s="15">
        <v>15.511111111111111</v>
      </c>
      <c r="H5589" s="3">
        <v>3.9198222222221545E-2</v>
      </c>
    </row>
    <row r="5590" spans="7:8" x14ac:dyDescent="0.3">
      <c r="G5590" s="15">
        <v>15.513888888888889</v>
      </c>
      <c r="H5590" s="3">
        <v>3.9199027777777104E-2</v>
      </c>
    </row>
    <row r="5591" spans="7:8" x14ac:dyDescent="0.3">
      <c r="G5591" s="15">
        <v>15.516666666666667</v>
      </c>
      <c r="H5591" s="3">
        <v>3.9199833333332657E-2</v>
      </c>
    </row>
    <row r="5592" spans="7:8" x14ac:dyDescent="0.3">
      <c r="G5592" s="15">
        <v>15.519444444444444</v>
      </c>
      <c r="H5592" s="3">
        <v>3.9200638888888209E-2</v>
      </c>
    </row>
    <row r="5593" spans="7:8" x14ac:dyDescent="0.3">
      <c r="G5593" s="15">
        <v>15.522222222222222</v>
      </c>
      <c r="H5593" s="3">
        <v>3.9201444444443768E-2</v>
      </c>
    </row>
    <row r="5594" spans="7:8" x14ac:dyDescent="0.3">
      <c r="G5594" s="15">
        <v>15.525</v>
      </c>
      <c r="H5594" s="3">
        <v>3.9202249999999328E-2</v>
      </c>
    </row>
    <row r="5595" spans="7:8" x14ac:dyDescent="0.3">
      <c r="G5595" s="15">
        <v>15.527777777777779</v>
      </c>
      <c r="H5595" s="3">
        <v>3.920305555555488E-2</v>
      </c>
    </row>
    <row r="5596" spans="7:8" x14ac:dyDescent="0.3">
      <c r="G5596" s="15">
        <v>15.530555555555555</v>
      </c>
      <c r="H5596" s="3">
        <v>3.9203861111110433E-2</v>
      </c>
    </row>
    <row r="5597" spans="7:8" x14ac:dyDescent="0.3">
      <c r="G5597" s="15">
        <v>15.533333333333333</v>
      </c>
      <c r="H5597" s="3">
        <v>3.9204666666665992E-2</v>
      </c>
    </row>
    <row r="5598" spans="7:8" x14ac:dyDescent="0.3">
      <c r="G5598" s="15">
        <v>15.536111111111111</v>
      </c>
      <c r="H5598" s="3">
        <v>3.9205472222221552E-2</v>
      </c>
    </row>
    <row r="5599" spans="7:8" x14ac:dyDescent="0.3">
      <c r="G5599" s="15">
        <v>15.53888888888889</v>
      </c>
      <c r="H5599" s="3">
        <v>3.9206277777777104E-2</v>
      </c>
    </row>
    <row r="5600" spans="7:8" x14ac:dyDescent="0.3">
      <c r="G5600" s="15">
        <v>15.541666666666666</v>
      </c>
      <c r="H5600" s="3">
        <v>3.9207083333332657E-2</v>
      </c>
    </row>
    <row r="5601" spans="7:8" x14ac:dyDescent="0.3">
      <c r="G5601" s="15">
        <v>15.544444444444444</v>
      </c>
      <c r="H5601" s="3">
        <v>3.9207888888888216E-2</v>
      </c>
    </row>
    <row r="5602" spans="7:8" x14ac:dyDescent="0.3">
      <c r="G5602" s="15">
        <v>15.547222222222222</v>
      </c>
      <c r="H5602" s="3">
        <v>3.9208694444443776E-2</v>
      </c>
    </row>
    <row r="5603" spans="7:8" x14ac:dyDescent="0.3">
      <c r="G5603" s="15">
        <v>15.55</v>
      </c>
      <c r="H5603" s="3">
        <v>3.9209499999999328E-2</v>
      </c>
    </row>
    <row r="5604" spans="7:8" x14ac:dyDescent="0.3">
      <c r="G5604" s="15">
        <v>15.552777777777777</v>
      </c>
      <c r="H5604" s="3">
        <v>3.9210305555554881E-2</v>
      </c>
    </row>
    <row r="5605" spans="7:8" x14ac:dyDescent="0.3">
      <c r="G5605" s="15">
        <v>15.555555555555555</v>
      </c>
      <c r="H5605" s="3">
        <v>3.921111111111044E-2</v>
      </c>
    </row>
    <row r="5606" spans="7:8" x14ac:dyDescent="0.3">
      <c r="G5606" s="15">
        <v>15.558333333333334</v>
      </c>
      <c r="H5606" s="3">
        <v>3.9211916666666E-2</v>
      </c>
    </row>
    <row r="5607" spans="7:8" x14ac:dyDescent="0.3">
      <c r="G5607" s="15">
        <v>15.561111111111112</v>
      </c>
      <c r="H5607" s="3">
        <v>3.9212722222221552E-2</v>
      </c>
    </row>
    <row r="5608" spans="7:8" x14ac:dyDescent="0.3">
      <c r="G5608" s="15">
        <v>15.563888888888888</v>
      </c>
      <c r="H5608" s="3">
        <v>3.9213527777777105E-2</v>
      </c>
    </row>
    <row r="5609" spans="7:8" x14ac:dyDescent="0.3">
      <c r="G5609" s="15">
        <v>15.566666666666666</v>
      </c>
      <c r="H5609" s="3">
        <v>3.9214333333332664E-2</v>
      </c>
    </row>
    <row r="5610" spans="7:8" x14ac:dyDescent="0.3">
      <c r="G5610" s="15">
        <v>15.569444444444445</v>
      </c>
      <c r="H5610" s="3">
        <v>3.9215138888888224E-2</v>
      </c>
    </row>
    <row r="5611" spans="7:8" x14ac:dyDescent="0.3">
      <c r="G5611" s="15">
        <v>15.572222222222223</v>
      </c>
      <c r="H5611" s="3">
        <v>3.9215944444443776E-2</v>
      </c>
    </row>
    <row r="5612" spans="7:8" x14ac:dyDescent="0.3">
      <c r="G5612" s="15">
        <v>15.574999999999999</v>
      </c>
      <c r="H5612" s="3">
        <v>3.9216749999999329E-2</v>
      </c>
    </row>
    <row r="5613" spans="7:8" x14ac:dyDescent="0.3">
      <c r="G5613" s="15">
        <v>15.577777777777778</v>
      </c>
      <c r="H5613" s="3">
        <v>3.9217555555554888E-2</v>
      </c>
    </row>
    <row r="5614" spans="7:8" x14ac:dyDescent="0.3">
      <c r="G5614" s="15">
        <v>15.580555555555556</v>
      </c>
      <c r="H5614" s="3">
        <v>3.9218361111110447E-2</v>
      </c>
    </row>
    <row r="5615" spans="7:8" x14ac:dyDescent="0.3">
      <c r="G5615" s="15">
        <v>15.583333333333334</v>
      </c>
      <c r="H5615" s="3">
        <v>3.9219166666666E-2</v>
      </c>
    </row>
    <row r="5616" spans="7:8" x14ac:dyDescent="0.3">
      <c r="G5616" s="15">
        <v>15.58611111111111</v>
      </c>
      <c r="H5616" s="3">
        <v>3.9219972222221552E-2</v>
      </c>
    </row>
    <row r="5617" spans="7:8" x14ac:dyDescent="0.3">
      <c r="G5617" s="15">
        <v>15.588888888888889</v>
      </c>
      <c r="H5617" s="3">
        <v>3.9220777777777112E-2</v>
      </c>
    </row>
    <row r="5618" spans="7:8" x14ac:dyDescent="0.3">
      <c r="G5618" s="15">
        <v>15.591666666666667</v>
      </c>
      <c r="H5618" s="3">
        <v>3.9221583333332671E-2</v>
      </c>
    </row>
    <row r="5619" spans="7:8" x14ac:dyDescent="0.3">
      <c r="G5619" s="15">
        <v>15.594444444444445</v>
      </c>
      <c r="H5619" s="3">
        <v>3.9222388888888224E-2</v>
      </c>
    </row>
    <row r="5620" spans="7:8" x14ac:dyDescent="0.3">
      <c r="G5620" s="15">
        <v>15.597222222222221</v>
      </c>
      <c r="H5620" s="3">
        <v>3.9223194444443776E-2</v>
      </c>
    </row>
    <row r="5621" spans="7:8" x14ac:dyDescent="0.3">
      <c r="G5621" s="15">
        <v>15.6</v>
      </c>
      <c r="H5621" s="3">
        <v>3.9223999999999336E-2</v>
      </c>
    </row>
    <row r="5622" spans="7:8" x14ac:dyDescent="0.3">
      <c r="G5622" s="15">
        <v>15.602777777777778</v>
      </c>
      <c r="H5622" s="3">
        <v>3.9224805555554895E-2</v>
      </c>
    </row>
    <row r="5623" spans="7:8" x14ac:dyDescent="0.3">
      <c r="G5623" s="15">
        <v>15.605555555555556</v>
      </c>
      <c r="H5623" s="3">
        <v>3.9225611111110448E-2</v>
      </c>
    </row>
    <row r="5624" spans="7:8" x14ac:dyDescent="0.3">
      <c r="G5624" s="15">
        <v>15.608333333333333</v>
      </c>
      <c r="H5624" s="3">
        <v>3.9226416666666E-2</v>
      </c>
    </row>
    <row r="5625" spans="7:8" x14ac:dyDescent="0.3">
      <c r="G5625" s="15">
        <v>15.611111111111111</v>
      </c>
      <c r="H5625" s="3">
        <v>3.922722222222156E-2</v>
      </c>
    </row>
    <row r="5626" spans="7:8" x14ac:dyDescent="0.3">
      <c r="G5626" s="15">
        <v>15.613888888888889</v>
      </c>
      <c r="H5626" s="3">
        <v>3.9228027777777119E-2</v>
      </c>
    </row>
    <row r="5627" spans="7:8" x14ac:dyDescent="0.3">
      <c r="G5627" s="15">
        <v>15.616666666666667</v>
      </c>
      <c r="H5627" s="3">
        <v>3.9228833333332672E-2</v>
      </c>
    </row>
    <row r="5628" spans="7:8" x14ac:dyDescent="0.3">
      <c r="G5628" s="15">
        <v>15.619444444444444</v>
      </c>
      <c r="H5628" s="3">
        <v>3.9229638888888224E-2</v>
      </c>
    </row>
    <row r="5629" spans="7:8" x14ac:dyDescent="0.3">
      <c r="G5629" s="15">
        <v>15.622222222222222</v>
      </c>
      <c r="H5629" s="3">
        <v>3.9230444444443784E-2</v>
      </c>
    </row>
    <row r="5630" spans="7:8" x14ac:dyDescent="0.3">
      <c r="G5630" s="15">
        <v>15.625</v>
      </c>
      <c r="H5630" s="3">
        <v>3.9231249999999343E-2</v>
      </c>
    </row>
    <row r="5631" spans="7:8" x14ac:dyDescent="0.3">
      <c r="G5631" s="15">
        <v>15.627777777777778</v>
      </c>
      <c r="H5631" s="3">
        <v>3.9232055555554896E-2</v>
      </c>
    </row>
    <row r="5632" spans="7:8" x14ac:dyDescent="0.3">
      <c r="G5632" s="15">
        <v>15.630555555555556</v>
      </c>
      <c r="H5632" s="3">
        <v>3.9232861111110448E-2</v>
      </c>
    </row>
    <row r="5633" spans="7:8" x14ac:dyDescent="0.3">
      <c r="G5633" s="15">
        <v>15.633333333333333</v>
      </c>
      <c r="H5633" s="3">
        <v>3.9233666666666007E-2</v>
      </c>
    </row>
    <row r="5634" spans="7:8" x14ac:dyDescent="0.3">
      <c r="G5634" s="15">
        <v>15.636111111111111</v>
      </c>
      <c r="H5634" s="3">
        <v>3.9234472222221567E-2</v>
      </c>
    </row>
    <row r="5635" spans="7:8" x14ac:dyDescent="0.3">
      <c r="G5635" s="15">
        <v>15.638888888888889</v>
      </c>
      <c r="H5635" s="3">
        <v>3.9235277777777119E-2</v>
      </c>
    </row>
    <row r="5636" spans="7:8" x14ac:dyDescent="0.3">
      <c r="G5636" s="15">
        <v>15.641666666666667</v>
      </c>
      <c r="H5636" s="3">
        <v>3.9236083333332672E-2</v>
      </c>
    </row>
    <row r="5637" spans="7:8" x14ac:dyDescent="0.3">
      <c r="G5637" s="15">
        <v>15.644444444444444</v>
      </c>
      <c r="H5637" s="3">
        <v>3.9236888888888231E-2</v>
      </c>
    </row>
    <row r="5638" spans="7:8" x14ac:dyDescent="0.3">
      <c r="G5638" s="15">
        <v>15.647222222222222</v>
      </c>
      <c r="H5638" s="3">
        <v>3.9237694444443791E-2</v>
      </c>
    </row>
    <row r="5639" spans="7:8" x14ac:dyDescent="0.3">
      <c r="G5639" s="15">
        <v>15.65</v>
      </c>
      <c r="H5639" s="3">
        <v>3.9238499999999343E-2</v>
      </c>
    </row>
    <row r="5640" spans="7:8" x14ac:dyDescent="0.3">
      <c r="G5640" s="15">
        <v>15.652777777777779</v>
      </c>
      <c r="H5640" s="3">
        <v>3.9239305555554896E-2</v>
      </c>
    </row>
    <row r="5641" spans="7:8" x14ac:dyDescent="0.3">
      <c r="G5641" s="15">
        <v>15.655555555555555</v>
      </c>
      <c r="H5641" s="3">
        <v>3.9240111111110455E-2</v>
      </c>
    </row>
    <row r="5642" spans="7:8" x14ac:dyDescent="0.3">
      <c r="G5642" s="15">
        <v>15.658333333333333</v>
      </c>
      <c r="H5642" s="3">
        <v>3.9240916666666015E-2</v>
      </c>
    </row>
    <row r="5643" spans="7:8" x14ac:dyDescent="0.3">
      <c r="G5643" s="15">
        <v>15.661111111111111</v>
      </c>
      <c r="H5643" s="3">
        <v>3.9241722222221567E-2</v>
      </c>
    </row>
    <row r="5644" spans="7:8" x14ac:dyDescent="0.3">
      <c r="G5644" s="15">
        <v>15.66388888888889</v>
      </c>
      <c r="H5644" s="3">
        <v>3.924252777777712E-2</v>
      </c>
    </row>
    <row r="5645" spans="7:8" x14ac:dyDescent="0.3">
      <c r="G5645" s="15">
        <v>15.666666666666666</v>
      </c>
      <c r="H5645" s="3">
        <v>3.9243333333332679E-2</v>
      </c>
    </row>
    <row r="5646" spans="7:8" x14ac:dyDescent="0.3">
      <c r="G5646" s="15">
        <v>15.669444444444444</v>
      </c>
      <c r="H5646" s="3">
        <v>3.9244138888888239E-2</v>
      </c>
    </row>
    <row r="5647" spans="7:8" x14ac:dyDescent="0.3">
      <c r="G5647" s="15">
        <v>15.672222222222222</v>
      </c>
      <c r="H5647" s="3">
        <v>3.9244944444443791E-2</v>
      </c>
    </row>
    <row r="5648" spans="7:8" x14ac:dyDescent="0.3">
      <c r="G5648" s="15">
        <v>15.675000000000001</v>
      </c>
      <c r="H5648" s="3">
        <v>3.9245749999999344E-2</v>
      </c>
    </row>
    <row r="5649" spans="7:8" x14ac:dyDescent="0.3">
      <c r="G5649" s="15">
        <v>15.677777777777777</v>
      </c>
      <c r="H5649" s="3">
        <v>3.9246555555554903E-2</v>
      </c>
    </row>
    <row r="5650" spans="7:8" x14ac:dyDescent="0.3">
      <c r="G5650" s="15">
        <v>15.680555555555555</v>
      </c>
      <c r="H5650" s="3">
        <v>3.9247361111110463E-2</v>
      </c>
    </row>
    <row r="5651" spans="7:8" x14ac:dyDescent="0.3">
      <c r="G5651" s="15">
        <v>15.683333333333334</v>
      </c>
      <c r="H5651" s="3">
        <v>3.9248166666666015E-2</v>
      </c>
    </row>
    <row r="5652" spans="7:8" x14ac:dyDescent="0.3">
      <c r="G5652" s="15">
        <v>15.686111111111112</v>
      </c>
      <c r="H5652" s="3">
        <v>3.9248972222221568E-2</v>
      </c>
    </row>
    <row r="5653" spans="7:8" x14ac:dyDescent="0.3">
      <c r="G5653" s="15">
        <v>15.688888888888888</v>
      </c>
      <c r="H5653" s="3">
        <v>3.9249777777777127E-2</v>
      </c>
    </row>
    <row r="5654" spans="7:8" x14ac:dyDescent="0.3">
      <c r="G5654" s="15">
        <v>15.691666666666666</v>
      </c>
      <c r="H5654" s="3">
        <v>3.9250583333332686E-2</v>
      </c>
    </row>
    <row r="5655" spans="7:8" x14ac:dyDescent="0.3">
      <c r="G5655" s="15">
        <v>15.694444444444445</v>
      </c>
      <c r="H5655" s="3">
        <v>3.9251388888888239E-2</v>
      </c>
    </row>
    <row r="5656" spans="7:8" x14ac:dyDescent="0.3">
      <c r="G5656" s="15">
        <v>15.697222222222223</v>
      </c>
      <c r="H5656" s="3">
        <v>3.9252194444443791E-2</v>
      </c>
    </row>
    <row r="5657" spans="7:8" x14ac:dyDescent="0.3">
      <c r="G5657" s="15">
        <v>15.7</v>
      </c>
      <c r="H5657" s="3">
        <v>3.9252999999999351E-2</v>
      </c>
    </row>
    <row r="5658" spans="7:8" x14ac:dyDescent="0.3">
      <c r="G5658" s="15">
        <v>15.702777777777778</v>
      </c>
      <c r="H5658" s="3">
        <v>3.925380555555491E-2</v>
      </c>
    </row>
    <row r="5659" spans="7:8" x14ac:dyDescent="0.3">
      <c r="G5659" s="15">
        <v>15.705555555555556</v>
      </c>
      <c r="H5659" s="3">
        <v>3.9254611111110463E-2</v>
      </c>
    </row>
    <row r="5660" spans="7:8" x14ac:dyDescent="0.3">
      <c r="G5660" s="15">
        <v>15.708333333333334</v>
      </c>
      <c r="H5660" s="3">
        <v>3.9255416666666015E-2</v>
      </c>
    </row>
    <row r="5661" spans="7:8" x14ac:dyDescent="0.3">
      <c r="G5661" s="15">
        <v>15.71111111111111</v>
      </c>
      <c r="H5661" s="3">
        <v>3.9256222222221575E-2</v>
      </c>
    </row>
    <row r="5662" spans="7:8" x14ac:dyDescent="0.3">
      <c r="G5662" s="15">
        <v>15.713888888888889</v>
      </c>
      <c r="H5662" s="3">
        <v>3.9257027777777134E-2</v>
      </c>
    </row>
    <row r="5663" spans="7:8" x14ac:dyDescent="0.3">
      <c r="G5663" s="15">
        <v>15.716666666666667</v>
      </c>
      <c r="H5663" s="3">
        <v>3.9257833333332687E-2</v>
      </c>
    </row>
    <row r="5664" spans="7:8" x14ac:dyDescent="0.3">
      <c r="G5664" s="15">
        <v>15.719444444444445</v>
      </c>
      <c r="H5664" s="3">
        <v>3.9258638888888239E-2</v>
      </c>
    </row>
    <row r="5665" spans="7:8" x14ac:dyDescent="0.3">
      <c r="G5665" s="15">
        <v>15.722222222222221</v>
      </c>
      <c r="H5665" s="3">
        <v>3.9259444444443799E-2</v>
      </c>
    </row>
    <row r="5666" spans="7:8" x14ac:dyDescent="0.3">
      <c r="G5666" s="15">
        <v>15.725</v>
      </c>
      <c r="H5666" s="3">
        <v>3.9260249999999358E-2</v>
      </c>
    </row>
    <row r="5667" spans="7:8" x14ac:dyDescent="0.3">
      <c r="G5667" s="15">
        <v>15.727777777777778</v>
      </c>
      <c r="H5667" s="3">
        <v>3.9261055555554911E-2</v>
      </c>
    </row>
    <row r="5668" spans="7:8" x14ac:dyDescent="0.3">
      <c r="G5668" s="15">
        <v>15.730555555555556</v>
      </c>
      <c r="H5668" s="3">
        <v>3.9261861111110463E-2</v>
      </c>
    </row>
    <row r="5669" spans="7:8" x14ac:dyDescent="0.3">
      <c r="G5669" s="15">
        <v>15.733333333333333</v>
      </c>
      <c r="H5669" s="3">
        <v>3.9262666666666023E-2</v>
      </c>
    </row>
    <row r="5670" spans="7:8" x14ac:dyDescent="0.3">
      <c r="G5670" s="15">
        <v>15.736111111111111</v>
      </c>
      <c r="H5670" s="3">
        <v>3.9263472222221582E-2</v>
      </c>
    </row>
    <row r="5671" spans="7:8" x14ac:dyDescent="0.3">
      <c r="G5671" s="15">
        <v>15.738888888888889</v>
      </c>
      <c r="H5671" s="3">
        <v>3.9264277777777135E-2</v>
      </c>
    </row>
    <row r="5672" spans="7:8" x14ac:dyDescent="0.3">
      <c r="G5672" s="15">
        <v>15.741666666666667</v>
      </c>
      <c r="H5672" s="3">
        <v>3.9265083333332687E-2</v>
      </c>
    </row>
    <row r="5673" spans="7:8" x14ac:dyDescent="0.3">
      <c r="G5673" s="15">
        <v>15.744444444444444</v>
      </c>
      <c r="H5673" s="3">
        <v>3.9265888888888247E-2</v>
      </c>
    </row>
    <row r="5674" spans="7:8" x14ac:dyDescent="0.3">
      <c r="G5674" s="15">
        <v>15.747222222222222</v>
      </c>
      <c r="H5674" s="3">
        <v>3.9266694444443806E-2</v>
      </c>
    </row>
    <row r="5675" spans="7:8" x14ac:dyDescent="0.3">
      <c r="G5675" s="15">
        <v>15.75</v>
      </c>
      <c r="H5675" s="3">
        <v>3.9267499999999358E-2</v>
      </c>
    </row>
    <row r="5676" spans="7:8" x14ac:dyDescent="0.3">
      <c r="G5676" s="15">
        <v>15.752777777777778</v>
      </c>
      <c r="H5676" s="3">
        <v>3.9268305555554911E-2</v>
      </c>
    </row>
    <row r="5677" spans="7:8" x14ac:dyDescent="0.3">
      <c r="G5677" s="15">
        <v>15.755555555555556</v>
      </c>
      <c r="H5677" s="3">
        <v>3.926911111111047E-2</v>
      </c>
    </row>
    <row r="5678" spans="7:8" x14ac:dyDescent="0.3">
      <c r="G5678" s="15">
        <v>15.758333333333333</v>
      </c>
      <c r="H5678" s="3">
        <v>3.926991666666603E-2</v>
      </c>
    </row>
    <row r="5679" spans="7:8" x14ac:dyDescent="0.3">
      <c r="G5679" s="15">
        <v>15.761111111111111</v>
      </c>
      <c r="H5679" s="3">
        <v>3.9270722222221582E-2</v>
      </c>
    </row>
    <row r="5680" spans="7:8" x14ac:dyDescent="0.3">
      <c r="G5680" s="15">
        <v>15.763888888888889</v>
      </c>
      <c r="H5680" s="3">
        <v>3.9271527777777135E-2</v>
      </c>
    </row>
    <row r="5681" spans="7:8" x14ac:dyDescent="0.3">
      <c r="G5681" s="15">
        <v>15.766666666666667</v>
      </c>
      <c r="H5681" s="3">
        <v>3.9272333333332694E-2</v>
      </c>
    </row>
    <row r="5682" spans="7:8" x14ac:dyDescent="0.3">
      <c r="G5682" s="15">
        <v>15.769444444444444</v>
      </c>
      <c r="H5682" s="3">
        <v>3.9273138888888254E-2</v>
      </c>
    </row>
    <row r="5683" spans="7:8" x14ac:dyDescent="0.3">
      <c r="G5683" s="15">
        <v>15.772222222222222</v>
      </c>
      <c r="H5683" s="3">
        <v>3.9273944444443806E-2</v>
      </c>
    </row>
    <row r="5684" spans="7:8" x14ac:dyDescent="0.3">
      <c r="G5684" s="15">
        <v>15.775</v>
      </c>
      <c r="H5684" s="3">
        <v>3.9274749999999359E-2</v>
      </c>
    </row>
    <row r="5685" spans="7:8" x14ac:dyDescent="0.3">
      <c r="G5685" s="15">
        <v>15.777777777777779</v>
      </c>
      <c r="H5685" s="3">
        <v>3.9275555555554918E-2</v>
      </c>
    </row>
    <row r="5686" spans="7:8" x14ac:dyDescent="0.3">
      <c r="G5686" s="15">
        <v>15.780555555555555</v>
      </c>
      <c r="H5686" s="3">
        <v>3.9276361111110478E-2</v>
      </c>
    </row>
    <row r="5687" spans="7:8" x14ac:dyDescent="0.3">
      <c r="G5687" s="15">
        <v>15.783333333333333</v>
      </c>
      <c r="H5687" s="3">
        <v>3.927716666666603E-2</v>
      </c>
    </row>
    <row r="5688" spans="7:8" x14ac:dyDescent="0.3">
      <c r="G5688" s="15">
        <v>15.786111111111111</v>
      </c>
      <c r="H5688" s="3">
        <v>3.9277972222221583E-2</v>
      </c>
    </row>
    <row r="5689" spans="7:8" x14ac:dyDescent="0.3">
      <c r="G5689" s="15">
        <v>15.78888888888889</v>
      </c>
      <c r="H5689" s="3">
        <v>3.9278777777777142E-2</v>
      </c>
    </row>
    <row r="5690" spans="7:8" x14ac:dyDescent="0.3">
      <c r="G5690" s="15">
        <v>15.791666666666666</v>
      </c>
      <c r="H5690" s="3">
        <v>3.9279583333332702E-2</v>
      </c>
    </row>
    <row r="5691" spans="7:8" x14ac:dyDescent="0.3">
      <c r="G5691" s="15">
        <v>15.794444444444444</v>
      </c>
      <c r="H5691" s="3">
        <v>3.9280388888888254E-2</v>
      </c>
    </row>
    <row r="5692" spans="7:8" x14ac:dyDescent="0.3">
      <c r="G5692" s="15">
        <v>15.797222222222222</v>
      </c>
      <c r="H5692" s="3">
        <v>3.9281194444443807E-2</v>
      </c>
    </row>
    <row r="5693" spans="7:8" x14ac:dyDescent="0.3">
      <c r="G5693" s="15">
        <v>15.8</v>
      </c>
      <c r="H5693" s="3">
        <v>3.9281999999999366E-2</v>
      </c>
    </row>
    <row r="5694" spans="7:8" x14ac:dyDescent="0.3">
      <c r="G5694" s="15">
        <v>15.802777777777777</v>
      </c>
      <c r="H5694" s="3">
        <v>3.9282805555554925E-2</v>
      </c>
    </row>
    <row r="5695" spans="7:8" x14ac:dyDescent="0.3">
      <c r="G5695" s="15">
        <v>15.805555555555555</v>
      </c>
      <c r="H5695" s="3">
        <v>3.9283611111110478E-2</v>
      </c>
    </row>
    <row r="5696" spans="7:8" x14ac:dyDescent="0.3">
      <c r="G5696" s="15">
        <v>15.808333333333334</v>
      </c>
      <c r="H5696" s="3">
        <v>3.928441666666603E-2</v>
      </c>
    </row>
    <row r="5697" spans="7:8" x14ac:dyDescent="0.3">
      <c r="G5697" s="15">
        <v>15.811111111111112</v>
      </c>
      <c r="H5697" s="3">
        <v>3.928522222222159E-2</v>
      </c>
    </row>
    <row r="5698" spans="7:8" x14ac:dyDescent="0.3">
      <c r="G5698" s="15">
        <v>15.813888888888888</v>
      </c>
      <c r="H5698" s="3">
        <v>3.9286027777777149E-2</v>
      </c>
    </row>
    <row r="5699" spans="7:8" x14ac:dyDescent="0.3">
      <c r="G5699" s="15">
        <v>15.816666666666666</v>
      </c>
      <c r="H5699" s="3">
        <v>3.9286833333332702E-2</v>
      </c>
    </row>
    <row r="5700" spans="7:8" x14ac:dyDescent="0.3">
      <c r="G5700" s="15">
        <v>15.819444444444445</v>
      </c>
      <c r="H5700" s="3">
        <v>3.9287638888888254E-2</v>
      </c>
    </row>
    <row r="5701" spans="7:8" x14ac:dyDescent="0.3">
      <c r="G5701" s="15">
        <v>15.822222222222223</v>
      </c>
      <c r="H5701" s="3">
        <v>3.9288444444443814E-2</v>
      </c>
    </row>
    <row r="5702" spans="7:8" x14ac:dyDescent="0.3">
      <c r="G5702" s="15">
        <v>15.824999999999999</v>
      </c>
      <c r="H5702" s="3">
        <v>3.9289249999999373E-2</v>
      </c>
    </row>
    <row r="5703" spans="7:8" x14ac:dyDescent="0.3">
      <c r="G5703" s="15">
        <v>15.827777777777778</v>
      </c>
      <c r="H5703" s="3">
        <v>3.9290055555554926E-2</v>
      </c>
    </row>
    <row r="5704" spans="7:8" x14ac:dyDescent="0.3">
      <c r="G5704" s="15">
        <v>15.830555555555556</v>
      </c>
      <c r="H5704" s="3">
        <v>3.9290861111110478E-2</v>
      </c>
    </row>
    <row r="5705" spans="7:8" x14ac:dyDescent="0.3">
      <c r="G5705" s="15">
        <v>15.833333333333334</v>
      </c>
      <c r="H5705" s="3">
        <v>3.9291666666666038E-2</v>
      </c>
    </row>
    <row r="5706" spans="7:8" x14ac:dyDescent="0.3">
      <c r="G5706" s="15">
        <v>15.83611111111111</v>
      </c>
      <c r="H5706" s="3">
        <v>3.9292472222221597E-2</v>
      </c>
    </row>
    <row r="5707" spans="7:8" x14ac:dyDescent="0.3">
      <c r="G5707" s="15">
        <v>15.838888888888889</v>
      </c>
      <c r="H5707" s="3">
        <v>3.929327777777715E-2</v>
      </c>
    </row>
    <row r="5708" spans="7:8" x14ac:dyDescent="0.3">
      <c r="G5708" s="15">
        <v>15.841666666666667</v>
      </c>
      <c r="H5708" s="3">
        <v>3.9294083333332702E-2</v>
      </c>
    </row>
    <row r="5709" spans="7:8" x14ac:dyDescent="0.3">
      <c r="G5709" s="15">
        <v>15.844444444444445</v>
      </c>
      <c r="H5709" s="3">
        <v>3.9294888888888262E-2</v>
      </c>
    </row>
    <row r="5710" spans="7:8" x14ac:dyDescent="0.3">
      <c r="G5710" s="15">
        <v>15.847222222222221</v>
      </c>
      <c r="H5710" s="3">
        <v>3.9295694444443821E-2</v>
      </c>
    </row>
    <row r="5711" spans="7:8" x14ac:dyDescent="0.3">
      <c r="G5711" s="15">
        <v>15.85</v>
      </c>
      <c r="H5711" s="3">
        <v>3.9296499999999374E-2</v>
      </c>
    </row>
    <row r="5712" spans="7:8" x14ac:dyDescent="0.3">
      <c r="G5712" s="15">
        <v>15.852777777777778</v>
      </c>
      <c r="H5712" s="3">
        <v>3.9297305555554926E-2</v>
      </c>
    </row>
    <row r="5713" spans="7:8" x14ac:dyDescent="0.3">
      <c r="G5713" s="15">
        <v>15.855555555555556</v>
      </c>
      <c r="H5713" s="3">
        <v>3.9298111111110486E-2</v>
      </c>
    </row>
    <row r="5714" spans="7:8" x14ac:dyDescent="0.3">
      <c r="G5714" s="15">
        <v>15.858333333333333</v>
      </c>
      <c r="H5714" s="3">
        <v>3.9298916666666045E-2</v>
      </c>
    </row>
    <row r="5715" spans="7:8" x14ac:dyDescent="0.3">
      <c r="G5715" s="15">
        <v>15.861111111111111</v>
      </c>
      <c r="H5715" s="3">
        <v>3.9299722222221598E-2</v>
      </c>
    </row>
    <row r="5716" spans="7:8" x14ac:dyDescent="0.3">
      <c r="G5716" s="15">
        <v>15.863888888888889</v>
      </c>
      <c r="H5716" s="3">
        <v>3.930052777777715E-2</v>
      </c>
    </row>
    <row r="5717" spans="7:8" x14ac:dyDescent="0.3">
      <c r="G5717" s="15">
        <v>15.866666666666667</v>
      </c>
      <c r="H5717" s="3">
        <v>3.9301333333332709E-2</v>
      </c>
    </row>
    <row r="5718" spans="7:8" x14ac:dyDescent="0.3">
      <c r="G5718" s="15">
        <v>15.869444444444444</v>
      </c>
      <c r="H5718" s="3">
        <v>3.9302138888888269E-2</v>
      </c>
    </row>
    <row r="5719" spans="7:8" x14ac:dyDescent="0.3">
      <c r="G5719" s="15">
        <v>15.872222222222222</v>
      </c>
      <c r="H5719" s="3">
        <v>3.9302944444443821E-2</v>
      </c>
    </row>
    <row r="5720" spans="7:8" x14ac:dyDescent="0.3">
      <c r="G5720" s="15">
        <v>15.875</v>
      </c>
      <c r="H5720" s="3">
        <v>3.9303749999999374E-2</v>
      </c>
    </row>
    <row r="5721" spans="7:8" x14ac:dyDescent="0.3">
      <c r="G5721" s="15">
        <v>15.877777777777778</v>
      </c>
      <c r="H5721" s="3">
        <v>3.9304555555554933E-2</v>
      </c>
    </row>
    <row r="5722" spans="7:8" x14ac:dyDescent="0.3">
      <c r="G5722" s="15">
        <v>15.880555555555556</v>
      </c>
      <c r="H5722" s="3">
        <v>3.9305361111110493E-2</v>
      </c>
    </row>
    <row r="5723" spans="7:8" x14ac:dyDescent="0.3">
      <c r="G5723" s="15">
        <v>15.883333333333333</v>
      </c>
      <c r="H5723" s="3">
        <v>3.9306166666666045E-2</v>
      </c>
    </row>
    <row r="5724" spans="7:8" x14ac:dyDescent="0.3">
      <c r="G5724" s="15">
        <v>15.886111111111111</v>
      </c>
      <c r="H5724" s="3">
        <v>3.9306972222221598E-2</v>
      </c>
    </row>
    <row r="5725" spans="7:8" x14ac:dyDescent="0.3">
      <c r="G5725" s="15">
        <v>15.888888888888889</v>
      </c>
      <c r="H5725" s="3">
        <v>3.9307777777777157E-2</v>
      </c>
    </row>
    <row r="5726" spans="7:8" x14ac:dyDescent="0.3">
      <c r="G5726" s="15">
        <v>15.891666666666667</v>
      </c>
      <c r="H5726" s="3">
        <v>3.9308583333332717E-2</v>
      </c>
    </row>
    <row r="5727" spans="7:8" x14ac:dyDescent="0.3">
      <c r="G5727" s="15">
        <v>15.894444444444444</v>
      </c>
      <c r="H5727" s="3">
        <v>3.9309388888888269E-2</v>
      </c>
    </row>
    <row r="5728" spans="7:8" x14ac:dyDescent="0.3">
      <c r="G5728" s="15">
        <v>15.897222222222222</v>
      </c>
      <c r="H5728" s="3">
        <v>3.9310194444443822E-2</v>
      </c>
    </row>
    <row r="5729" spans="7:8" x14ac:dyDescent="0.3">
      <c r="G5729" s="15">
        <v>15.9</v>
      </c>
      <c r="H5729" s="3">
        <v>3.9310999999999381E-2</v>
      </c>
    </row>
    <row r="5730" spans="7:8" x14ac:dyDescent="0.3">
      <c r="G5730" s="15">
        <v>15.902777777777779</v>
      </c>
      <c r="H5730" s="3">
        <v>3.9311805555554941E-2</v>
      </c>
    </row>
    <row r="5731" spans="7:8" x14ac:dyDescent="0.3">
      <c r="G5731" s="15">
        <v>15.905555555555555</v>
      </c>
      <c r="H5731" s="3">
        <v>3.9312611111110493E-2</v>
      </c>
    </row>
    <row r="5732" spans="7:8" x14ac:dyDescent="0.3">
      <c r="G5732" s="15">
        <v>15.908333333333333</v>
      </c>
      <c r="H5732" s="3">
        <v>3.9313416666666046E-2</v>
      </c>
    </row>
    <row r="5733" spans="7:8" x14ac:dyDescent="0.3">
      <c r="G5733" s="15">
        <v>15.911111111111111</v>
      </c>
      <c r="H5733" s="3">
        <v>3.9314222222221605E-2</v>
      </c>
    </row>
    <row r="5734" spans="7:8" x14ac:dyDescent="0.3">
      <c r="G5734" s="15">
        <v>15.91388888888889</v>
      </c>
      <c r="H5734" s="3">
        <v>3.9315027777777165E-2</v>
      </c>
    </row>
    <row r="5735" spans="7:8" x14ac:dyDescent="0.3">
      <c r="G5735" s="15">
        <v>15.916666666666666</v>
      </c>
      <c r="H5735" s="3">
        <v>3.9315833333332717E-2</v>
      </c>
    </row>
    <row r="5736" spans="7:8" x14ac:dyDescent="0.3">
      <c r="G5736" s="15">
        <v>15.919444444444444</v>
      </c>
      <c r="H5736" s="3">
        <v>3.931663888888827E-2</v>
      </c>
    </row>
    <row r="5737" spans="7:8" x14ac:dyDescent="0.3">
      <c r="G5737" s="15">
        <v>15.922222222222222</v>
      </c>
      <c r="H5737" s="3">
        <v>3.9317444444443829E-2</v>
      </c>
    </row>
    <row r="5738" spans="7:8" x14ac:dyDescent="0.3">
      <c r="G5738" s="15">
        <v>15.925000000000001</v>
      </c>
      <c r="H5738" s="3">
        <v>3.9318249999999388E-2</v>
      </c>
    </row>
    <row r="5739" spans="7:8" x14ac:dyDescent="0.3">
      <c r="G5739" s="15">
        <v>15.927777777777777</v>
      </c>
      <c r="H5739" s="3">
        <v>3.9319055555554941E-2</v>
      </c>
    </row>
    <row r="5740" spans="7:8" x14ac:dyDescent="0.3">
      <c r="G5740" s="15">
        <v>15.930555555555555</v>
      </c>
      <c r="H5740" s="3">
        <v>3.9319861111110493E-2</v>
      </c>
    </row>
    <row r="5741" spans="7:8" x14ac:dyDescent="0.3">
      <c r="G5741" s="15">
        <v>15.933333333333334</v>
      </c>
      <c r="H5741" s="3">
        <v>3.9320666666666053E-2</v>
      </c>
    </row>
    <row r="5742" spans="7:8" x14ac:dyDescent="0.3">
      <c r="G5742" s="15">
        <v>15.936111111111112</v>
      </c>
      <c r="H5742" s="3">
        <v>3.9321472222221612E-2</v>
      </c>
    </row>
    <row r="5743" spans="7:8" x14ac:dyDescent="0.3">
      <c r="G5743" s="15">
        <v>15.938888888888888</v>
      </c>
      <c r="H5743" s="3">
        <v>3.9322277777777165E-2</v>
      </c>
    </row>
    <row r="5744" spans="7:8" x14ac:dyDescent="0.3">
      <c r="G5744" s="15">
        <v>15.941666666666666</v>
      </c>
      <c r="H5744" s="3">
        <v>3.9323083333332717E-2</v>
      </c>
    </row>
    <row r="5745" spans="7:8" x14ac:dyDescent="0.3">
      <c r="G5745" s="15">
        <v>15.944444444444445</v>
      </c>
      <c r="H5745" s="3">
        <v>3.9323888888888277E-2</v>
      </c>
    </row>
    <row r="5746" spans="7:8" x14ac:dyDescent="0.3">
      <c r="G5746" s="15">
        <v>15.947222222222223</v>
      </c>
      <c r="H5746" s="3">
        <v>3.9324694444443836E-2</v>
      </c>
    </row>
    <row r="5747" spans="7:8" x14ac:dyDescent="0.3">
      <c r="G5747" s="15">
        <v>15.95</v>
      </c>
      <c r="H5747" s="3">
        <v>3.9325499999999389E-2</v>
      </c>
    </row>
    <row r="5748" spans="7:8" x14ac:dyDescent="0.3">
      <c r="G5748" s="15">
        <v>15.952777777777778</v>
      </c>
      <c r="H5748" s="3">
        <v>3.9326305555554941E-2</v>
      </c>
    </row>
    <row r="5749" spans="7:8" x14ac:dyDescent="0.3">
      <c r="G5749" s="15">
        <v>15.955555555555556</v>
      </c>
      <c r="H5749" s="3">
        <v>3.9327111111110501E-2</v>
      </c>
    </row>
    <row r="5750" spans="7:8" x14ac:dyDescent="0.3">
      <c r="G5750" s="15">
        <v>15.958333333333334</v>
      </c>
      <c r="H5750" s="3">
        <v>3.932791666666606E-2</v>
      </c>
    </row>
    <row r="5751" spans="7:8" x14ac:dyDescent="0.3">
      <c r="G5751" s="15">
        <v>15.96111111111111</v>
      </c>
      <c r="H5751" s="3">
        <v>3.9328722222221613E-2</v>
      </c>
    </row>
    <row r="5752" spans="7:8" x14ac:dyDescent="0.3">
      <c r="G5752" s="15">
        <v>15.963888888888889</v>
      </c>
      <c r="H5752" s="3">
        <v>3.9329527777777165E-2</v>
      </c>
    </row>
    <row r="5753" spans="7:8" x14ac:dyDescent="0.3">
      <c r="G5753" s="15">
        <v>15.966666666666667</v>
      </c>
      <c r="H5753" s="3">
        <v>3.9330333333332725E-2</v>
      </c>
    </row>
    <row r="5754" spans="7:8" x14ac:dyDescent="0.3">
      <c r="G5754" s="15">
        <v>15.969444444444445</v>
      </c>
      <c r="H5754" s="3">
        <v>3.9331138888888284E-2</v>
      </c>
    </row>
    <row r="5755" spans="7:8" x14ac:dyDescent="0.3">
      <c r="G5755" s="15">
        <v>15.972222222222221</v>
      </c>
      <c r="H5755" s="3">
        <v>3.9331944444443837E-2</v>
      </c>
    </row>
    <row r="5756" spans="7:8" x14ac:dyDescent="0.3">
      <c r="G5756" s="15">
        <v>15.975</v>
      </c>
      <c r="H5756" s="3">
        <v>3.9332749999999389E-2</v>
      </c>
    </row>
    <row r="5757" spans="7:8" x14ac:dyDescent="0.3">
      <c r="G5757" s="15">
        <v>15.977777777777778</v>
      </c>
      <c r="H5757" s="3">
        <v>3.9333555555554948E-2</v>
      </c>
    </row>
    <row r="5758" spans="7:8" x14ac:dyDescent="0.3">
      <c r="G5758" s="15">
        <v>15.980555555555556</v>
      </c>
      <c r="H5758" s="3">
        <v>3.9334361111110508E-2</v>
      </c>
    </row>
    <row r="5759" spans="7:8" x14ac:dyDescent="0.3">
      <c r="G5759" s="15">
        <v>15.983333333333333</v>
      </c>
      <c r="H5759" s="3">
        <v>3.933516666666606E-2</v>
      </c>
    </row>
    <row r="5760" spans="7:8" x14ac:dyDescent="0.3">
      <c r="G5760" s="15">
        <v>15.986111111111111</v>
      </c>
      <c r="H5760" s="3">
        <v>3.9335972222221613E-2</v>
      </c>
    </row>
    <row r="5761" spans="7:8" x14ac:dyDescent="0.3">
      <c r="G5761" s="15">
        <v>15.988888888888889</v>
      </c>
      <c r="H5761" s="3">
        <v>3.9336777777777172E-2</v>
      </c>
    </row>
    <row r="5762" spans="7:8" x14ac:dyDescent="0.3">
      <c r="G5762" s="15">
        <v>15.991666666666667</v>
      </c>
      <c r="H5762" s="3">
        <v>3.9337583333332732E-2</v>
      </c>
    </row>
    <row r="5763" spans="7:8" x14ac:dyDescent="0.3">
      <c r="G5763" s="15">
        <v>15.994444444444444</v>
      </c>
      <c r="H5763" s="3">
        <v>3.9338388888888284E-2</v>
      </c>
    </row>
    <row r="5764" spans="7:8" x14ac:dyDescent="0.3">
      <c r="G5764" s="15">
        <v>15.997222222222222</v>
      </c>
      <c r="H5764" s="3">
        <v>3.9339194444443837E-2</v>
      </c>
    </row>
    <row r="5765" spans="7:8" x14ac:dyDescent="0.3">
      <c r="G5765" s="15">
        <v>16</v>
      </c>
      <c r="H5765" s="3">
        <v>3.9339999999999396E-2</v>
      </c>
    </row>
    <row r="5766" spans="7:8" x14ac:dyDescent="0.3">
      <c r="G5766" s="15">
        <v>16.002777777777776</v>
      </c>
      <c r="H5766" s="3">
        <v>3.9340805555554956E-2</v>
      </c>
    </row>
    <row r="5767" spans="7:8" x14ac:dyDescent="0.3">
      <c r="G5767" s="15">
        <v>16.005555555555556</v>
      </c>
      <c r="H5767" s="3">
        <v>3.9341611111110508E-2</v>
      </c>
    </row>
    <row r="5768" spans="7:8" x14ac:dyDescent="0.3">
      <c r="G5768" s="15">
        <v>16.008333333333333</v>
      </c>
      <c r="H5768" s="3">
        <v>3.9342416666666061E-2</v>
      </c>
    </row>
    <row r="5769" spans="7:8" x14ac:dyDescent="0.3">
      <c r="G5769" s="15">
        <v>16.011111111111113</v>
      </c>
      <c r="H5769" s="3">
        <v>3.934322222222162E-2</v>
      </c>
    </row>
    <row r="5770" spans="7:8" x14ac:dyDescent="0.3">
      <c r="G5770" s="15">
        <v>16.013888888888889</v>
      </c>
      <c r="H5770" s="3">
        <v>3.934402777777718E-2</v>
      </c>
    </row>
    <row r="5771" spans="7:8" x14ac:dyDescent="0.3">
      <c r="G5771" s="15">
        <v>16.016666666666666</v>
      </c>
      <c r="H5771" s="3">
        <v>3.9344833333332732E-2</v>
      </c>
    </row>
    <row r="5772" spans="7:8" x14ac:dyDescent="0.3">
      <c r="G5772" s="15">
        <v>16.019444444444446</v>
      </c>
      <c r="H5772" s="3">
        <v>3.9345638888888285E-2</v>
      </c>
    </row>
    <row r="5773" spans="7:8" x14ac:dyDescent="0.3">
      <c r="G5773" s="15">
        <v>16.022222222222222</v>
      </c>
      <c r="H5773" s="3">
        <v>3.9346444444443844E-2</v>
      </c>
    </row>
    <row r="5774" spans="7:8" x14ac:dyDescent="0.3">
      <c r="G5774" s="15">
        <v>16.024999999999999</v>
      </c>
      <c r="H5774" s="3">
        <v>3.9347249999999404E-2</v>
      </c>
    </row>
    <row r="5775" spans="7:8" x14ac:dyDescent="0.3">
      <c r="G5775" s="15">
        <v>16.027777777777779</v>
      </c>
      <c r="H5775" s="3">
        <v>3.9348055555554956E-2</v>
      </c>
    </row>
    <row r="5776" spans="7:8" x14ac:dyDescent="0.3">
      <c r="G5776" s="15">
        <v>16.030555555555555</v>
      </c>
      <c r="H5776" s="3">
        <v>3.9348861111110509E-2</v>
      </c>
    </row>
    <row r="5777" spans="7:8" x14ac:dyDescent="0.3">
      <c r="G5777" s="15">
        <v>16.033333333333335</v>
      </c>
      <c r="H5777" s="3">
        <v>3.9349666666666068E-2</v>
      </c>
    </row>
    <row r="5778" spans="7:8" x14ac:dyDescent="0.3">
      <c r="G5778" s="15">
        <v>16.036111111111111</v>
      </c>
      <c r="H5778" s="3">
        <v>3.9350472222221627E-2</v>
      </c>
    </row>
    <row r="5779" spans="7:8" x14ac:dyDescent="0.3">
      <c r="G5779" s="15">
        <v>16.038888888888888</v>
      </c>
      <c r="H5779" s="3">
        <v>3.935127777777718E-2</v>
      </c>
    </row>
    <row r="5780" spans="7:8" x14ac:dyDescent="0.3">
      <c r="G5780" s="15">
        <v>16.041666666666668</v>
      </c>
      <c r="H5780" s="3">
        <v>3.9352083333332732E-2</v>
      </c>
    </row>
    <row r="5781" spans="7:8" x14ac:dyDescent="0.3">
      <c r="G5781" s="15">
        <v>16.044444444444444</v>
      </c>
      <c r="H5781" s="3">
        <v>3.9352888888888292E-2</v>
      </c>
    </row>
    <row r="5782" spans="7:8" x14ac:dyDescent="0.3">
      <c r="G5782" s="15">
        <v>16.047222222222221</v>
      </c>
      <c r="H5782" s="3">
        <v>3.9353694444443851E-2</v>
      </c>
    </row>
    <row r="5783" spans="7:8" x14ac:dyDescent="0.3">
      <c r="G5783" s="15">
        <v>16.05</v>
      </c>
      <c r="H5783" s="3">
        <v>3.9354499999999404E-2</v>
      </c>
    </row>
    <row r="5784" spans="7:8" x14ac:dyDescent="0.3">
      <c r="G5784" s="15">
        <v>16.052777777777777</v>
      </c>
      <c r="H5784" s="3">
        <v>3.9355305555554956E-2</v>
      </c>
    </row>
    <row r="5785" spans="7:8" x14ac:dyDescent="0.3">
      <c r="G5785" s="15">
        <v>16.055555555555557</v>
      </c>
      <c r="H5785" s="3">
        <v>3.9356111111110516E-2</v>
      </c>
    </row>
    <row r="5786" spans="7:8" x14ac:dyDescent="0.3">
      <c r="G5786" s="15">
        <v>16.058333333333334</v>
      </c>
      <c r="H5786" s="3">
        <v>3.9356916666666075E-2</v>
      </c>
    </row>
    <row r="5787" spans="7:8" x14ac:dyDescent="0.3">
      <c r="G5787" s="15">
        <v>16.06111111111111</v>
      </c>
      <c r="H5787" s="3">
        <v>3.9357722222221628E-2</v>
      </c>
    </row>
    <row r="5788" spans="7:8" x14ac:dyDescent="0.3">
      <c r="G5788" s="15">
        <v>16.06388888888889</v>
      </c>
      <c r="H5788" s="3">
        <v>3.935852777777718E-2</v>
      </c>
    </row>
    <row r="5789" spans="7:8" x14ac:dyDescent="0.3">
      <c r="G5789" s="15">
        <v>16.066666666666666</v>
      </c>
      <c r="H5789" s="3">
        <v>3.935933333333274E-2</v>
      </c>
    </row>
    <row r="5790" spans="7:8" x14ac:dyDescent="0.3">
      <c r="G5790" s="15">
        <v>16.069444444444443</v>
      </c>
      <c r="H5790" s="3">
        <v>3.9360138888888299E-2</v>
      </c>
    </row>
    <row r="5791" spans="7:8" x14ac:dyDescent="0.3">
      <c r="G5791" s="15">
        <v>16.072222222222223</v>
      </c>
      <c r="H5791" s="3">
        <v>3.9360944444443852E-2</v>
      </c>
    </row>
    <row r="5792" spans="7:8" x14ac:dyDescent="0.3">
      <c r="G5792" s="15">
        <v>16.074999999999999</v>
      </c>
      <c r="H5792" s="3">
        <v>3.9361749999999404E-2</v>
      </c>
    </row>
    <row r="5793" spans="7:8" x14ac:dyDescent="0.3">
      <c r="G5793" s="15">
        <v>16.077777777777779</v>
      </c>
      <c r="H5793" s="3">
        <v>3.9362555555554964E-2</v>
      </c>
    </row>
    <row r="5794" spans="7:8" x14ac:dyDescent="0.3">
      <c r="G5794" s="15">
        <v>16.080555555555556</v>
      </c>
      <c r="H5794" s="3">
        <v>3.9363361111110523E-2</v>
      </c>
    </row>
    <row r="5795" spans="7:8" x14ac:dyDescent="0.3">
      <c r="G5795" s="15">
        <v>16.083333333333332</v>
      </c>
      <c r="H5795" s="3">
        <v>3.9364166666666076E-2</v>
      </c>
    </row>
    <row r="5796" spans="7:8" x14ac:dyDescent="0.3">
      <c r="G5796" s="15">
        <v>16.086111111111112</v>
      </c>
      <c r="H5796" s="3">
        <v>3.9364972222221628E-2</v>
      </c>
    </row>
    <row r="5797" spans="7:8" x14ac:dyDescent="0.3">
      <c r="G5797" s="15">
        <v>16.088888888888889</v>
      </c>
      <c r="H5797" s="3">
        <v>3.9365777777777188E-2</v>
      </c>
    </row>
    <row r="5798" spans="7:8" x14ac:dyDescent="0.3">
      <c r="G5798" s="15">
        <v>16.091666666666665</v>
      </c>
      <c r="H5798" s="3">
        <v>3.9366583333332747E-2</v>
      </c>
    </row>
    <row r="5799" spans="7:8" x14ac:dyDescent="0.3">
      <c r="G5799" s="15">
        <v>16.094444444444445</v>
      </c>
      <c r="H5799" s="3">
        <v>3.9367388888888299E-2</v>
      </c>
    </row>
    <row r="5800" spans="7:8" x14ac:dyDescent="0.3">
      <c r="G5800" s="15">
        <v>16.097222222222221</v>
      </c>
      <c r="H5800" s="3">
        <v>3.9368194444443852E-2</v>
      </c>
    </row>
    <row r="5801" spans="7:8" x14ac:dyDescent="0.3">
      <c r="G5801" s="15">
        <v>16.100000000000001</v>
      </c>
      <c r="H5801" s="3">
        <v>3.9368999999999411E-2</v>
      </c>
    </row>
    <row r="5802" spans="7:8" x14ac:dyDescent="0.3">
      <c r="G5802" s="15">
        <v>16.102777777777778</v>
      </c>
      <c r="H5802" s="3">
        <v>3.9369805555554971E-2</v>
      </c>
    </row>
    <row r="5803" spans="7:8" x14ac:dyDescent="0.3">
      <c r="G5803" s="15">
        <v>16.105555555555554</v>
      </c>
      <c r="H5803" s="3">
        <v>3.9370611111110523E-2</v>
      </c>
    </row>
    <row r="5804" spans="7:8" x14ac:dyDescent="0.3">
      <c r="G5804" s="15">
        <v>16.108333333333334</v>
      </c>
      <c r="H5804" s="3">
        <v>3.9371416666666076E-2</v>
      </c>
    </row>
    <row r="5805" spans="7:8" x14ac:dyDescent="0.3">
      <c r="G5805" s="15">
        <v>16.111111111111111</v>
      </c>
      <c r="H5805" s="3">
        <v>3.9372222222221635E-2</v>
      </c>
    </row>
    <row r="5806" spans="7:8" x14ac:dyDescent="0.3">
      <c r="G5806" s="15">
        <v>16.113888888888887</v>
      </c>
      <c r="H5806" s="3">
        <v>3.9373027777777195E-2</v>
      </c>
    </row>
    <row r="5807" spans="7:8" x14ac:dyDescent="0.3">
      <c r="G5807" s="15">
        <v>16.116666666666667</v>
      </c>
      <c r="H5807" s="3">
        <v>3.9373833333332747E-2</v>
      </c>
    </row>
    <row r="5808" spans="7:8" x14ac:dyDescent="0.3">
      <c r="G5808" s="15">
        <v>16.119444444444444</v>
      </c>
      <c r="H5808" s="3">
        <v>3.93746388888883E-2</v>
      </c>
    </row>
    <row r="5809" spans="7:8" x14ac:dyDescent="0.3">
      <c r="G5809" s="15">
        <v>16.122222222222224</v>
      </c>
      <c r="H5809" s="3">
        <v>3.9375444444443859E-2</v>
      </c>
    </row>
    <row r="5810" spans="7:8" x14ac:dyDescent="0.3">
      <c r="G5810" s="15">
        <v>16.125</v>
      </c>
      <c r="H5810" s="3">
        <v>3.9376249999999419E-2</v>
      </c>
    </row>
    <row r="5811" spans="7:8" x14ac:dyDescent="0.3">
      <c r="G5811" s="15">
        <v>16.127777777777776</v>
      </c>
      <c r="H5811" s="3">
        <v>3.9377055555554971E-2</v>
      </c>
    </row>
    <row r="5812" spans="7:8" x14ac:dyDescent="0.3">
      <c r="G5812" s="15">
        <v>16.130555555555556</v>
      </c>
      <c r="H5812" s="3">
        <v>3.9377861111110524E-2</v>
      </c>
    </row>
    <row r="5813" spans="7:8" x14ac:dyDescent="0.3">
      <c r="G5813" s="15">
        <v>16.133333333333333</v>
      </c>
      <c r="H5813" s="3">
        <v>3.9378666666666083E-2</v>
      </c>
    </row>
    <row r="5814" spans="7:8" x14ac:dyDescent="0.3">
      <c r="G5814" s="15">
        <v>16.136111111111113</v>
      </c>
      <c r="H5814" s="3">
        <v>3.9379472222221643E-2</v>
      </c>
    </row>
    <row r="5815" spans="7:8" x14ac:dyDescent="0.3">
      <c r="G5815" s="15">
        <v>16.138888888888889</v>
      </c>
      <c r="H5815" s="3">
        <v>3.9380277777777195E-2</v>
      </c>
    </row>
    <row r="5816" spans="7:8" x14ac:dyDescent="0.3">
      <c r="G5816" s="15">
        <v>16.141666666666666</v>
      </c>
      <c r="H5816" s="3">
        <v>3.9381083333332748E-2</v>
      </c>
    </row>
    <row r="5817" spans="7:8" x14ac:dyDescent="0.3">
      <c r="G5817" s="15">
        <v>16.144444444444446</v>
      </c>
      <c r="H5817" s="3">
        <v>3.9381888888888307E-2</v>
      </c>
    </row>
    <row r="5818" spans="7:8" x14ac:dyDescent="0.3">
      <c r="G5818" s="15">
        <v>16.147222222222222</v>
      </c>
      <c r="H5818" s="3">
        <v>3.9382694444443866E-2</v>
      </c>
    </row>
    <row r="5819" spans="7:8" x14ac:dyDescent="0.3">
      <c r="G5819" s="15">
        <v>16.149999999999999</v>
      </c>
      <c r="H5819" s="3">
        <v>3.9383499999999419E-2</v>
      </c>
    </row>
    <row r="5820" spans="7:8" x14ac:dyDescent="0.3">
      <c r="G5820" s="15">
        <v>16.152777777777779</v>
      </c>
      <c r="H5820" s="3">
        <v>3.9384305555554971E-2</v>
      </c>
    </row>
    <row r="5821" spans="7:8" x14ac:dyDescent="0.3">
      <c r="G5821" s="15">
        <v>16.155555555555555</v>
      </c>
      <c r="H5821" s="3">
        <v>3.9385111111110531E-2</v>
      </c>
    </row>
    <row r="5822" spans="7:8" x14ac:dyDescent="0.3">
      <c r="G5822" s="15">
        <v>16.158333333333335</v>
      </c>
      <c r="H5822" s="3">
        <v>3.938591666666609E-2</v>
      </c>
    </row>
    <row r="5823" spans="7:8" x14ac:dyDescent="0.3">
      <c r="G5823" s="15">
        <v>16.161111111111111</v>
      </c>
      <c r="H5823" s="3">
        <v>3.9386722222221643E-2</v>
      </c>
    </row>
    <row r="5824" spans="7:8" x14ac:dyDescent="0.3">
      <c r="G5824" s="15">
        <v>16.163888888888888</v>
      </c>
      <c r="H5824" s="3">
        <v>3.9387527777777195E-2</v>
      </c>
    </row>
    <row r="5825" spans="7:8" x14ac:dyDescent="0.3">
      <c r="G5825" s="15">
        <v>16.166666666666668</v>
      </c>
      <c r="H5825" s="3">
        <v>3.9388333333332755E-2</v>
      </c>
    </row>
    <row r="5826" spans="7:8" x14ac:dyDescent="0.3">
      <c r="G5826" s="15">
        <v>16.169444444444444</v>
      </c>
      <c r="H5826" s="3">
        <v>3.9389138888888314E-2</v>
      </c>
    </row>
    <row r="5827" spans="7:8" x14ac:dyDescent="0.3">
      <c r="G5827" s="15">
        <v>16.172222222222221</v>
      </c>
      <c r="H5827" s="3">
        <v>3.9389944444443867E-2</v>
      </c>
    </row>
    <row r="5828" spans="7:8" x14ac:dyDescent="0.3">
      <c r="G5828" s="15">
        <v>16.175000000000001</v>
      </c>
      <c r="H5828" s="3">
        <v>3.9390749999999419E-2</v>
      </c>
    </row>
    <row r="5829" spans="7:8" x14ac:dyDescent="0.3">
      <c r="G5829" s="15">
        <v>16.177777777777777</v>
      </c>
      <c r="H5829" s="3">
        <v>3.9391555555554979E-2</v>
      </c>
    </row>
    <row r="5830" spans="7:8" x14ac:dyDescent="0.3">
      <c r="G5830" s="15">
        <v>16.180555555555557</v>
      </c>
      <c r="H5830" s="3">
        <v>3.9392361111110538E-2</v>
      </c>
    </row>
    <row r="5831" spans="7:8" x14ac:dyDescent="0.3">
      <c r="G5831" s="15">
        <v>16.183333333333334</v>
      </c>
      <c r="H5831" s="3">
        <v>3.9393166666666091E-2</v>
      </c>
    </row>
    <row r="5832" spans="7:8" x14ac:dyDescent="0.3">
      <c r="G5832" s="15">
        <v>16.18611111111111</v>
      </c>
      <c r="H5832" s="3">
        <v>3.9393972222221643E-2</v>
      </c>
    </row>
    <row r="5833" spans="7:8" x14ac:dyDescent="0.3">
      <c r="G5833" s="15">
        <v>16.18888888888889</v>
      </c>
      <c r="H5833" s="3">
        <v>3.9394777777777203E-2</v>
      </c>
    </row>
    <row r="5834" spans="7:8" x14ac:dyDescent="0.3">
      <c r="G5834" s="15">
        <v>16.191666666666666</v>
      </c>
      <c r="H5834" s="3">
        <v>3.9395583333332762E-2</v>
      </c>
    </row>
    <row r="5835" spans="7:8" x14ac:dyDescent="0.3">
      <c r="G5835" s="15">
        <v>16.194444444444443</v>
      </c>
      <c r="H5835" s="3">
        <v>3.9396388888888315E-2</v>
      </c>
    </row>
    <row r="5836" spans="7:8" x14ac:dyDescent="0.3">
      <c r="G5836" s="15">
        <v>16.197222222222223</v>
      </c>
      <c r="H5836" s="3">
        <v>3.9397194444443867E-2</v>
      </c>
    </row>
    <row r="5837" spans="7:8" x14ac:dyDescent="0.3">
      <c r="G5837" s="15">
        <v>16.2</v>
      </c>
      <c r="H5837" s="3">
        <v>3.9397999999999427E-2</v>
      </c>
    </row>
    <row r="5838" spans="7:8" x14ac:dyDescent="0.3">
      <c r="G5838" s="15">
        <v>16.202777777777779</v>
      </c>
      <c r="H5838" s="3">
        <v>3.9398805555554986E-2</v>
      </c>
    </row>
    <row r="5839" spans="7:8" x14ac:dyDescent="0.3">
      <c r="G5839" s="15">
        <v>16.205555555555556</v>
      </c>
      <c r="H5839" s="3">
        <v>3.9399611111110538E-2</v>
      </c>
    </row>
    <row r="5840" spans="7:8" x14ac:dyDescent="0.3">
      <c r="G5840" s="15">
        <v>16.208333333333332</v>
      </c>
      <c r="H5840" s="3">
        <v>3.9400416666666091E-2</v>
      </c>
    </row>
    <row r="5841" spans="7:8" x14ac:dyDescent="0.3">
      <c r="G5841" s="15">
        <v>16.211111111111112</v>
      </c>
      <c r="H5841" s="3">
        <v>3.940122222222165E-2</v>
      </c>
    </row>
    <row r="5842" spans="7:8" x14ac:dyDescent="0.3">
      <c r="G5842" s="15">
        <v>16.213888888888889</v>
      </c>
      <c r="H5842" s="3">
        <v>3.940202777777721E-2</v>
      </c>
    </row>
    <row r="5843" spans="7:8" x14ac:dyDescent="0.3">
      <c r="G5843" s="15">
        <v>16.216666666666665</v>
      </c>
      <c r="H5843" s="3">
        <v>3.9402833333332762E-2</v>
      </c>
    </row>
    <row r="5844" spans="7:8" x14ac:dyDescent="0.3">
      <c r="G5844" s="15">
        <v>16.219444444444445</v>
      </c>
      <c r="H5844" s="3">
        <v>3.9403638888888315E-2</v>
      </c>
    </row>
    <row r="5845" spans="7:8" x14ac:dyDescent="0.3">
      <c r="G5845" s="15">
        <v>16.222222222222221</v>
      </c>
      <c r="H5845" s="3">
        <v>3.9404444444443874E-2</v>
      </c>
    </row>
    <row r="5846" spans="7:8" x14ac:dyDescent="0.3">
      <c r="G5846" s="15">
        <v>16.225000000000001</v>
      </c>
      <c r="H5846" s="3">
        <v>3.9405249999999434E-2</v>
      </c>
    </row>
    <row r="5847" spans="7:8" x14ac:dyDescent="0.3">
      <c r="G5847" s="15">
        <v>16.227777777777778</v>
      </c>
      <c r="H5847" s="3">
        <v>3.9406055555554986E-2</v>
      </c>
    </row>
    <row r="5848" spans="7:8" x14ac:dyDescent="0.3">
      <c r="G5848" s="15">
        <v>16.230555555555554</v>
      </c>
      <c r="H5848" s="3">
        <v>3.9406861111110539E-2</v>
      </c>
    </row>
    <row r="5849" spans="7:8" x14ac:dyDescent="0.3">
      <c r="G5849" s="15">
        <v>16.233333333333334</v>
      </c>
      <c r="H5849" s="3">
        <v>3.9407666666666098E-2</v>
      </c>
    </row>
    <row r="5850" spans="7:8" x14ac:dyDescent="0.3">
      <c r="G5850" s="15">
        <v>16.236111111111111</v>
      </c>
      <c r="H5850" s="3">
        <v>3.9408472222221658E-2</v>
      </c>
    </row>
    <row r="5851" spans="7:8" x14ac:dyDescent="0.3">
      <c r="G5851" s="15">
        <v>16.238888888888887</v>
      </c>
      <c r="H5851" s="3">
        <v>3.940927777777721E-2</v>
      </c>
    </row>
    <row r="5852" spans="7:8" x14ac:dyDescent="0.3">
      <c r="G5852" s="15">
        <v>16.241666666666667</v>
      </c>
      <c r="H5852" s="3">
        <v>3.9410083333332763E-2</v>
      </c>
    </row>
    <row r="5853" spans="7:8" x14ac:dyDescent="0.3">
      <c r="G5853" s="15">
        <v>16.244444444444444</v>
      </c>
      <c r="H5853" s="3">
        <v>3.9410888888888322E-2</v>
      </c>
    </row>
    <row r="5854" spans="7:8" x14ac:dyDescent="0.3">
      <c r="G5854" s="15">
        <v>16.247222222222224</v>
      </c>
      <c r="H5854" s="3">
        <v>3.9411694444443882E-2</v>
      </c>
    </row>
    <row r="5855" spans="7:8" x14ac:dyDescent="0.3">
      <c r="G5855" s="15">
        <v>16.25</v>
      </c>
      <c r="H5855" s="3">
        <v>3.9412499999999434E-2</v>
      </c>
    </row>
    <row r="5856" spans="7:8" x14ac:dyDescent="0.3">
      <c r="G5856" s="15">
        <v>16.252777777777776</v>
      </c>
      <c r="H5856" s="3">
        <v>3.9413305555554987E-2</v>
      </c>
    </row>
    <row r="5857" spans="7:8" x14ac:dyDescent="0.3">
      <c r="G5857" s="15">
        <v>16.255555555555556</v>
      </c>
      <c r="H5857" s="3">
        <v>3.9414111111110546E-2</v>
      </c>
    </row>
    <row r="5858" spans="7:8" x14ac:dyDescent="0.3">
      <c r="G5858" s="15">
        <v>16.258333333333333</v>
      </c>
      <c r="H5858" s="3">
        <v>3.9414916666666105E-2</v>
      </c>
    </row>
    <row r="5859" spans="7:8" x14ac:dyDescent="0.3">
      <c r="G5859" s="15">
        <v>16.261111111111113</v>
      </c>
      <c r="H5859" s="3">
        <v>3.9415722222221658E-2</v>
      </c>
    </row>
    <row r="5860" spans="7:8" x14ac:dyDescent="0.3">
      <c r="G5860" s="15">
        <v>16.263888888888889</v>
      </c>
      <c r="H5860" s="3">
        <v>3.9416527777777211E-2</v>
      </c>
    </row>
    <row r="5861" spans="7:8" x14ac:dyDescent="0.3">
      <c r="G5861" s="15">
        <v>16.266666666666666</v>
      </c>
      <c r="H5861" s="3">
        <v>3.941733333333277E-2</v>
      </c>
    </row>
    <row r="5862" spans="7:8" x14ac:dyDescent="0.3">
      <c r="G5862" s="15">
        <v>16.269444444444446</v>
      </c>
      <c r="H5862" s="3">
        <v>3.9418138888888329E-2</v>
      </c>
    </row>
    <row r="5863" spans="7:8" x14ac:dyDescent="0.3">
      <c r="G5863" s="15">
        <v>16.272222222222222</v>
      </c>
      <c r="H5863" s="3">
        <v>3.9418944444443882E-2</v>
      </c>
    </row>
    <row r="5864" spans="7:8" x14ac:dyDescent="0.3">
      <c r="G5864" s="15">
        <v>16.274999999999999</v>
      </c>
      <c r="H5864" s="3">
        <v>3.9419749999999434E-2</v>
      </c>
    </row>
    <row r="5865" spans="7:8" x14ac:dyDescent="0.3">
      <c r="G5865" s="15">
        <v>16.277777777777779</v>
      </c>
      <c r="H5865" s="3">
        <v>3.9420555555554994E-2</v>
      </c>
    </row>
    <row r="5866" spans="7:8" x14ac:dyDescent="0.3">
      <c r="G5866" s="15">
        <v>16.280555555555555</v>
      </c>
      <c r="H5866" s="3">
        <v>3.9421361111110553E-2</v>
      </c>
    </row>
    <row r="5867" spans="7:8" x14ac:dyDescent="0.3">
      <c r="G5867" s="15">
        <v>16.283333333333335</v>
      </c>
      <c r="H5867" s="3">
        <v>3.9422166666666106E-2</v>
      </c>
    </row>
    <row r="5868" spans="7:8" x14ac:dyDescent="0.3">
      <c r="G5868" s="15">
        <v>16.286111111111111</v>
      </c>
      <c r="H5868" s="3">
        <v>3.9422972222221658E-2</v>
      </c>
    </row>
    <row r="5869" spans="7:8" x14ac:dyDescent="0.3">
      <c r="G5869" s="15">
        <v>16.288888888888888</v>
      </c>
      <c r="H5869" s="3">
        <v>3.9423777777777218E-2</v>
      </c>
    </row>
    <row r="5870" spans="7:8" x14ac:dyDescent="0.3">
      <c r="G5870" s="15">
        <v>16.291666666666668</v>
      </c>
      <c r="H5870" s="3">
        <v>3.9424583333332777E-2</v>
      </c>
    </row>
    <row r="5871" spans="7:8" x14ac:dyDescent="0.3">
      <c r="G5871" s="15">
        <v>16.294444444444444</v>
      </c>
      <c r="H5871" s="3">
        <v>3.942538888888833E-2</v>
      </c>
    </row>
    <row r="5872" spans="7:8" x14ac:dyDescent="0.3">
      <c r="G5872" s="15">
        <v>16.297222222222221</v>
      </c>
      <c r="H5872" s="3">
        <v>3.9426194444443882E-2</v>
      </c>
    </row>
    <row r="5873" spans="7:8" x14ac:dyDescent="0.3">
      <c r="G5873" s="15">
        <v>16.3</v>
      </c>
      <c r="H5873" s="3">
        <v>3.9426999999999442E-2</v>
      </c>
    </row>
    <row r="5874" spans="7:8" x14ac:dyDescent="0.3">
      <c r="G5874" s="15">
        <v>16.302777777777777</v>
      </c>
      <c r="H5874" s="3">
        <v>3.9427805555555001E-2</v>
      </c>
    </row>
    <row r="5875" spans="7:8" x14ac:dyDescent="0.3">
      <c r="G5875" s="15">
        <v>16.305555555555557</v>
      </c>
      <c r="H5875" s="3">
        <v>3.9428611111110554E-2</v>
      </c>
    </row>
    <row r="5876" spans="7:8" x14ac:dyDescent="0.3">
      <c r="G5876" s="15">
        <v>16.308333333333334</v>
      </c>
      <c r="H5876" s="3">
        <v>3.9429416666666106E-2</v>
      </c>
    </row>
    <row r="5877" spans="7:8" x14ac:dyDescent="0.3">
      <c r="G5877" s="15">
        <v>16.31111111111111</v>
      </c>
      <c r="H5877" s="3">
        <v>3.9430222222221666E-2</v>
      </c>
    </row>
    <row r="5878" spans="7:8" x14ac:dyDescent="0.3">
      <c r="G5878" s="15">
        <v>16.31388888888889</v>
      </c>
      <c r="H5878" s="3">
        <v>3.9431027777777225E-2</v>
      </c>
    </row>
    <row r="5879" spans="7:8" x14ac:dyDescent="0.3">
      <c r="G5879" s="15">
        <v>16.316666666666666</v>
      </c>
      <c r="H5879" s="3">
        <v>3.9431833333332778E-2</v>
      </c>
    </row>
    <row r="5880" spans="7:8" x14ac:dyDescent="0.3">
      <c r="G5880" s="15">
        <v>16.319444444444443</v>
      </c>
      <c r="H5880" s="3">
        <v>3.943263888888833E-2</v>
      </c>
    </row>
    <row r="5881" spans="7:8" x14ac:dyDescent="0.3">
      <c r="G5881" s="15">
        <v>16.322222222222223</v>
      </c>
      <c r="H5881" s="3">
        <v>3.9433444444443889E-2</v>
      </c>
    </row>
    <row r="5882" spans="7:8" x14ac:dyDescent="0.3">
      <c r="G5882" s="15">
        <v>16.324999999999999</v>
      </c>
      <c r="H5882" s="3">
        <v>3.9434249999999449E-2</v>
      </c>
    </row>
    <row r="5883" spans="7:8" x14ac:dyDescent="0.3">
      <c r="G5883" s="15">
        <v>16.327777777777779</v>
      </c>
      <c r="H5883" s="3">
        <v>3.9435055555555001E-2</v>
      </c>
    </row>
    <row r="5884" spans="7:8" x14ac:dyDescent="0.3">
      <c r="G5884" s="15">
        <v>16.330555555555556</v>
      </c>
      <c r="H5884" s="3">
        <v>3.9435861111110554E-2</v>
      </c>
    </row>
    <row r="5885" spans="7:8" x14ac:dyDescent="0.3">
      <c r="G5885" s="15">
        <v>16.333333333333332</v>
      </c>
      <c r="H5885" s="3">
        <v>3.9436666666666113E-2</v>
      </c>
    </row>
    <row r="5886" spans="7:8" x14ac:dyDescent="0.3">
      <c r="G5886" s="15">
        <v>16.336111111111112</v>
      </c>
      <c r="H5886" s="3">
        <v>3.9437472222221673E-2</v>
      </c>
    </row>
    <row r="5887" spans="7:8" x14ac:dyDescent="0.3">
      <c r="G5887" s="15">
        <v>16.338888888888889</v>
      </c>
      <c r="H5887" s="3">
        <v>3.9438277777777225E-2</v>
      </c>
    </row>
    <row r="5888" spans="7:8" x14ac:dyDescent="0.3">
      <c r="G5888" s="15">
        <v>16.341666666666665</v>
      </c>
      <c r="H5888" s="3">
        <v>3.9439083333332778E-2</v>
      </c>
    </row>
    <row r="5889" spans="7:8" x14ac:dyDescent="0.3">
      <c r="G5889" s="15">
        <v>16.344444444444445</v>
      </c>
      <c r="H5889" s="3">
        <v>3.9439888888888337E-2</v>
      </c>
    </row>
    <row r="5890" spans="7:8" x14ac:dyDescent="0.3">
      <c r="G5890" s="15">
        <v>16.347222222222221</v>
      </c>
      <c r="H5890" s="3">
        <v>3.9440694444443897E-2</v>
      </c>
    </row>
    <row r="5891" spans="7:8" x14ac:dyDescent="0.3">
      <c r="G5891" s="15">
        <v>16.350000000000001</v>
      </c>
      <c r="H5891" s="3">
        <v>3.9441499999999449E-2</v>
      </c>
    </row>
    <row r="5892" spans="7:8" x14ac:dyDescent="0.3">
      <c r="G5892" s="15">
        <v>16.352777777777778</v>
      </c>
      <c r="H5892" s="3">
        <v>3.9442305555555002E-2</v>
      </c>
    </row>
    <row r="5893" spans="7:8" x14ac:dyDescent="0.3">
      <c r="G5893" s="15">
        <v>16.355555555555554</v>
      </c>
      <c r="H5893" s="3">
        <v>3.9443111111110561E-2</v>
      </c>
    </row>
    <row r="5894" spans="7:8" x14ac:dyDescent="0.3">
      <c r="G5894" s="15">
        <v>16.358333333333334</v>
      </c>
      <c r="H5894" s="3">
        <v>3.9443916666666121E-2</v>
      </c>
    </row>
    <row r="5895" spans="7:8" x14ac:dyDescent="0.3">
      <c r="G5895" s="15">
        <v>16.361111111111111</v>
      </c>
      <c r="H5895" s="3">
        <v>3.9444722222221673E-2</v>
      </c>
    </row>
    <row r="5896" spans="7:8" x14ac:dyDescent="0.3">
      <c r="G5896" s="15">
        <v>16.363888888888887</v>
      </c>
      <c r="H5896" s="3">
        <v>3.9445527777777226E-2</v>
      </c>
    </row>
    <row r="5897" spans="7:8" x14ac:dyDescent="0.3">
      <c r="G5897" s="15">
        <v>16.366666666666667</v>
      </c>
      <c r="H5897" s="3">
        <v>3.9446333333332785E-2</v>
      </c>
    </row>
    <row r="5898" spans="7:8" x14ac:dyDescent="0.3">
      <c r="G5898" s="15">
        <v>16.369444444444444</v>
      </c>
      <c r="H5898" s="3">
        <v>3.9447138888888345E-2</v>
      </c>
    </row>
    <row r="5899" spans="7:8" x14ac:dyDescent="0.3">
      <c r="G5899" s="15">
        <v>16.372222222222224</v>
      </c>
      <c r="H5899" s="3">
        <v>3.9447944444443897E-2</v>
      </c>
    </row>
    <row r="5900" spans="7:8" x14ac:dyDescent="0.3">
      <c r="G5900" s="15">
        <v>16.375</v>
      </c>
      <c r="H5900" s="3">
        <v>3.944874999999945E-2</v>
      </c>
    </row>
    <row r="5901" spans="7:8" x14ac:dyDescent="0.3">
      <c r="G5901" s="15">
        <v>16.377777777777776</v>
      </c>
      <c r="H5901" s="3">
        <v>3.9449555555555009E-2</v>
      </c>
    </row>
    <row r="5902" spans="7:8" x14ac:dyDescent="0.3">
      <c r="G5902" s="15">
        <v>16.380555555555556</v>
      </c>
      <c r="H5902" s="3">
        <v>3.9450361111110568E-2</v>
      </c>
    </row>
    <row r="5903" spans="7:8" x14ac:dyDescent="0.3">
      <c r="G5903" s="15">
        <v>16.383333333333333</v>
      </c>
      <c r="H5903" s="3">
        <v>3.9451166666666121E-2</v>
      </c>
    </row>
    <row r="5904" spans="7:8" x14ac:dyDescent="0.3">
      <c r="G5904" s="15">
        <v>16.386111111111113</v>
      </c>
      <c r="H5904" s="3">
        <v>3.9451972222221673E-2</v>
      </c>
    </row>
    <row r="5905" spans="7:8" x14ac:dyDescent="0.3">
      <c r="G5905" s="15">
        <v>16.388888888888889</v>
      </c>
      <c r="H5905" s="3">
        <v>3.9452777777777233E-2</v>
      </c>
    </row>
    <row r="5906" spans="7:8" x14ac:dyDescent="0.3">
      <c r="G5906" s="15">
        <v>16.391666666666666</v>
      </c>
      <c r="H5906" s="3">
        <v>3.9453583333332792E-2</v>
      </c>
    </row>
    <row r="5907" spans="7:8" x14ac:dyDescent="0.3">
      <c r="G5907" s="15">
        <v>16.394444444444446</v>
      </c>
      <c r="H5907" s="3">
        <v>3.9454388888888345E-2</v>
      </c>
    </row>
    <row r="5908" spans="7:8" x14ac:dyDescent="0.3">
      <c r="G5908" s="15">
        <v>16.397222222222222</v>
      </c>
      <c r="H5908" s="3">
        <v>3.9455194444443897E-2</v>
      </c>
    </row>
    <row r="5909" spans="7:8" x14ac:dyDescent="0.3">
      <c r="G5909" s="15">
        <v>16.399999999999999</v>
      </c>
      <c r="H5909" s="3">
        <v>3.9455999999999457E-2</v>
      </c>
    </row>
    <row r="5910" spans="7:8" x14ac:dyDescent="0.3">
      <c r="G5910" s="15">
        <v>16.402777777777779</v>
      </c>
      <c r="H5910" s="3">
        <v>3.9456805555555016E-2</v>
      </c>
    </row>
    <row r="5911" spans="7:8" x14ac:dyDescent="0.3">
      <c r="G5911" s="15">
        <v>16.405555555555555</v>
      </c>
      <c r="H5911" s="3">
        <v>3.9457611111110569E-2</v>
      </c>
    </row>
    <row r="5912" spans="7:8" x14ac:dyDescent="0.3">
      <c r="G5912" s="15">
        <v>16.408333333333335</v>
      </c>
      <c r="H5912" s="3">
        <v>3.9458416666666121E-2</v>
      </c>
    </row>
    <row r="5913" spans="7:8" x14ac:dyDescent="0.3">
      <c r="G5913" s="15">
        <v>16.411111111111111</v>
      </c>
      <c r="H5913" s="3">
        <v>3.9459222222221681E-2</v>
      </c>
    </row>
    <row r="5914" spans="7:8" x14ac:dyDescent="0.3">
      <c r="G5914" s="15">
        <v>16.413888888888888</v>
      </c>
      <c r="H5914" s="3">
        <v>3.946002777777724E-2</v>
      </c>
    </row>
    <row r="5915" spans="7:8" x14ac:dyDescent="0.3">
      <c r="G5915" s="15">
        <v>16.416666666666668</v>
      </c>
      <c r="H5915" s="3">
        <v>3.9460833333332793E-2</v>
      </c>
    </row>
    <row r="5916" spans="7:8" x14ac:dyDescent="0.3">
      <c r="G5916" s="15">
        <v>16.419444444444444</v>
      </c>
      <c r="H5916" s="3">
        <v>3.9461638888888345E-2</v>
      </c>
    </row>
    <row r="5917" spans="7:8" x14ac:dyDescent="0.3">
      <c r="G5917" s="15">
        <v>16.422222222222221</v>
      </c>
      <c r="H5917" s="3">
        <v>3.9462444444443905E-2</v>
      </c>
    </row>
    <row r="5918" spans="7:8" x14ac:dyDescent="0.3">
      <c r="G5918" s="15">
        <v>16.425000000000001</v>
      </c>
      <c r="H5918" s="3">
        <v>3.9463249999999464E-2</v>
      </c>
    </row>
    <row r="5919" spans="7:8" x14ac:dyDescent="0.3">
      <c r="G5919" s="15">
        <v>16.427777777777777</v>
      </c>
      <c r="H5919" s="3">
        <v>3.9464055555555017E-2</v>
      </c>
    </row>
    <row r="5920" spans="7:8" x14ac:dyDescent="0.3">
      <c r="G5920" s="15">
        <v>16.430555555555557</v>
      </c>
      <c r="H5920" s="3">
        <v>3.9464861111110569E-2</v>
      </c>
    </row>
    <row r="5921" spans="7:8" x14ac:dyDescent="0.3">
      <c r="G5921" s="15">
        <v>16.433333333333334</v>
      </c>
      <c r="H5921" s="3">
        <v>3.9465666666666128E-2</v>
      </c>
    </row>
    <row r="5922" spans="7:8" x14ac:dyDescent="0.3">
      <c r="G5922" s="15">
        <v>16.43611111111111</v>
      </c>
      <c r="H5922" s="3">
        <v>3.9466472222221688E-2</v>
      </c>
    </row>
    <row r="5923" spans="7:8" x14ac:dyDescent="0.3">
      <c r="G5923" s="15">
        <v>16.43888888888889</v>
      </c>
      <c r="H5923" s="3">
        <v>3.946727777777724E-2</v>
      </c>
    </row>
    <row r="5924" spans="7:8" x14ac:dyDescent="0.3">
      <c r="G5924" s="15">
        <v>16.441666666666666</v>
      </c>
      <c r="H5924" s="3">
        <v>3.9468083333332793E-2</v>
      </c>
    </row>
    <row r="5925" spans="7:8" x14ac:dyDescent="0.3">
      <c r="G5925" s="15">
        <v>16.444444444444443</v>
      </c>
      <c r="H5925" s="3">
        <v>3.9468888888888352E-2</v>
      </c>
    </row>
    <row r="5926" spans="7:8" x14ac:dyDescent="0.3">
      <c r="G5926" s="15">
        <v>16.447222222222223</v>
      </c>
      <c r="H5926" s="3">
        <v>3.9469694444443912E-2</v>
      </c>
    </row>
    <row r="5927" spans="7:8" x14ac:dyDescent="0.3">
      <c r="G5927" s="15">
        <v>16.45</v>
      </c>
      <c r="H5927" s="3">
        <v>3.9470499999999464E-2</v>
      </c>
    </row>
    <row r="5928" spans="7:8" x14ac:dyDescent="0.3">
      <c r="G5928" s="15">
        <v>16.452777777777779</v>
      </c>
      <c r="H5928" s="3">
        <v>3.9471305555555017E-2</v>
      </c>
    </row>
    <row r="5929" spans="7:8" x14ac:dyDescent="0.3">
      <c r="G5929" s="15">
        <v>16.455555555555556</v>
      </c>
      <c r="H5929" s="3">
        <v>3.9472111111110576E-2</v>
      </c>
    </row>
    <row r="5930" spans="7:8" x14ac:dyDescent="0.3">
      <c r="G5930" s="15">
        <v>16.458333333333332</v>
      </c>
      <c r="H5930" s="3">
        <v>3.9472916666666136E-2</v>
      </c>
    </row>
    <row r="5931" spans="7:8" x14ac:dyDescent="0.3">
      <c r="G5931" s="15">
        <v>16.461111111111112</v>
      </c>
      <c r="H5931" s="3">
        <v>3.9473722222221688E-2</v>
      </c>
    </row>
    <row r="5932" spans="7:8" x14ac:dyDescent="0.3">
      <c r="G5932" s="15">
        <v>16.463888888888889</v>
      </c>
      <c r="H5932" s="3">
        <v>3.9474527777777241E-2</v>
      </c>
    </row>
    <row r="5933" spans="7:8" x14ac:dyDescent="0.3">
      <c r="G5933" s="15">
        <v>16.466666666666665</v>
      </c>
      <c r="H5933" s="3">
        <v>3.94753333333328E-2</v>
      </c>
    </row>
    <row r="5934" spans="7:8" x14ac:dyDescent="0.3">
      <c r="G5934" s="15">
        <v>16.469444444444445</v>
      </c>
      <c r="H5934" s="3">
        <v>3.947613888888836E-2</v>
      </c>
    </row>
    <row r="5935" spans="7:8" x14ac:dyDescent="0.3">
      <c r="G5935" s="15">
        <v>16.472222222222221</v>
      </c>
      <c r="H5935" s="3">
        <v>3.9476944444443912E-2</v>
      </c>
    </row>
    <row r="5936" spans="7:8" x14ac:dyDescent="0.3">
      <c r="G5936" s="15">
        <v>16.475000000000001</v>
      </c>
      <c r="H5936" s="3">
        <v>3.9477749999999465E-2</v>
      </c>
    </row>
    <row r="5937" spans="7:8" x14ac:dyDescent="0.3">
      <c r="G5937" s="15">
        <v>16.477777777777778</v>
      </c>
      <c r="H5937" s="3">
        <v>3.9478555555555024E-2</v>
      </c>
    </row>
    <row r="5938" spans="7:8" x14ac:dyDescent="0.3">
      <c r="G5938" s="15">
        <v>16.480555555555554</v>
      </c>
      <c r="H5938" s="3">
        <v>3.9479361111110584E-2</v>
      </c>
    </row>
    <row r="5939" spans="7:8" x14ac:dyDescent="0.3">
      <c r="G5939" s="15">
        <v>16.483333333333334</v>
      </c>
      <c r="H5939" s="3">
        <v>3.9480166666666136E-2</v>
      </c>
    </row>
    <row r="5940" spans="7:8" x14ac:dyDescent="0.3">
      <c r="G5940" s="15">
        <v>16.486111111111111</v>
      </c>
      <c r="H5940" s="3">
        <v>3.9480972222221689E-2</v>
      </c>
    </row>
    <row r="5941" spans="7:8" x14ac:dyDescent="0.3">
      <c r="G5941" s="15">
        <v>16.488888888888887</v>
      </c>
      <c r="H5941" s="3">
        <v>3.9481777777777248E-2</v>
      </c>
    </row>
    <row r="5942" spans="7:8" x14ac:dyDescent="0.3">
      <c r="G5942" s="15">
        <v>16.491666666666667</v>
      </c>
      <c r="H5942" s="3">
        <v>3.9482583333332807E-2</v>
      </c>
    </row>
    <row r="5943" spans="7:8" x14ac:dyDescent="0.3">
      <c r="G5943" s="15">
        <v>16.494444444444444</v>
      </c>
      <c r="H5943" s="3">
        <v>3.948338888888836E-2</v>
      </c>
    </row>
    <row r="5944" spans="7:8" x14ac:dyDescent="0.3">
      <c r="G5944" s="15">
        <v>16.497222222222224</v>
      </c>
      <c r="H5944" s="3">
        <v>3.9484194444443912E-2</v>
      </c>
    </row>
    <row r="5945" spans="7:8" x14ac:dyDescent="0.3">
      <c r="G5945" s="15">
        <v>16.5</v>
      </c>
      <c r="H5945" s="3">
        <v>3.9484999999999472E-2</v>
      </c>
    </row>
    <row r="5946" spans="7:8" x14ac:dyDescent="0.3">
      <c r="G5946" s="15">
        <v>16.502777777777776</v>
      </c>
      <c r="H5946" s="3">
        <v>3.9485805555555031E-2</v>
      </c>
    </row>
    <row r="5947" spans="7:8" x14ac:dyDescent="0.3">
      <c r="G5947" s="15">
        <v>16.505555555555556</v>
      </c>
      <c r="H5947" s="3">
        <v>3.9486611111110584E-2</v>
      </c>
    </row>
    <row r="5948" spans="7:8" x14ac:dyDescent="0.3">
      <c r="G5948" s="15">
        <v>16.508333333333333</v>
      </c>
      <c r="H5948" s="3">
        <v>3.9487416666666136E-2</v>
      </c>
    </row>
    <row r="5949" spans="7:8" x14ac:dyDescent="0.3">
      <c r="G5949" s="15">
        <v>16.511111111111113</v>
      </c>
      <c r="H5949" s="3">
        <v>3.9488222222221696E-2</v>
      </c>
    </row>
    <row r="5950" spans="7:8" x14ac:dyDescent="0.3">
      <c r="G5950" s="15">
        <v>16.513888888888889</v>
      </c>
      <c r="H5950" s="3">
        <v>3.9489027777777255E-2</v>
      </c>
    </row>
    <row r="5951" spans="7:8" x14ac:dyDescent="0.3">
      <c r="G5951" s="15">
        <v>16.516666666666666</v>
      </c>
      <c r="H5951" s="3">
        <v>3.9489833333332808E-2</v>
      </c>
    </row>
    <row r="5952" spans="7:8" x14ac:dyDescent="0.3">
      <c r="G5952" s="15">
        <v>16.519444444444446</v>
      </c>
      <c r="H5952" s="3">
        <v>3.949063888888836E-2</v>
      </c>
    </row>
    <row r="5953" spans="7:8" x14ac:dyDescent="0.3">
      <c r="G5953" s="15">
        <v>16.522222222222222</v>
      </c>
      <c r="H5953" s="3">
        <v>3.949144444444392E-2</v>
      </c>
    </row>
    <row r="5954" spans="7:8" x14ac:dyDescent="0.3">
      <c r="G5954" s="15">
        <v>16.524999999999999</v>
      </c>
      <c r="H5954" s="3">
        <v>3.9492249999999479E-2</v>
      </c>
    </row>
    <row r="5955" spans="7:8" x14ac:dyDescent="0.3">
      <c r="G5955" s="15">
        <v>16.527777777777779</v>
      </c>
      <c r="H5955" s="3">
        <v>3.9493055555555032E-2</v>
      </c>
    </row>
    <row r="5956" spans="7:8" x14ac:dyDescent="0.3">
      <c r="G5956" s="15">
        <v>16.530555555555555</v>
      </c>
      <c r="H5956" s="3">
        <v>3.9493861111110584E-2</v>
      </c>
    </row>
    <row r="5957" spans="7:8" x14ac:dyDescent="0.3">
      <c r="G5957" s="15">
        <v>16.533333333333335</v>
      </c>
      <c r="H5957" s="3">
        <v>3.9494666666666144E-2</v>
      </c>
    </row>
    <row r="5958" spans="7:8" x14ac:dyDescent="0.3">
      <c r="G5958" s="15">
        <v>16.536111111111111</v>
      </c>
      <c r="H5958" s="3">
        <v>3.9495472222221703E-2</v>
      </c>
    </row>
    <row r="5959" spans="7:8" x14ac:dyDescent="0.3">
      <c r="G5959" s="15">
        <v>16.538888888888888</v>
      </c>
      <c r="H5959" s="3">
        <v>3.9496277777777256E-2</v>
      </c>
    </row>
    <row r="5960" spans="7:8" x14ac:dyDescent="0.3">
      <c r="G5960" s="15">
        <v>16.541666666666668</v>
      </c>
      <c r="H5960" s="3">
        <v>3.9497083333332808E-2</v>
      </c>
    </row>
    <row r="5961" spans="7:8" x14ac:dyDescent="0.3">
      <c r="G5961" s="15">
        <v>16.544444444444444</v>
      </c>
      <c r="H5961" s="3">
        <v>3.9497888888888368E-2</v>
      </c>
    </row>
    <row r="5962" spans="7:8" x14ac:dyDescent="0.3">
      <c r="G5962" s="15">
        <v>16.547222222222221</v>
      </c>
      <c r="H5962" s="3">
        <v>3.9498694444443927E-2</v>
      </c>
    </row>
    <row r="5963" spans="7:8" x14ac:dyDescent="0.3">
      <c r="G5963" s="15">
        <v>16.55</v>
      </c>
      <c r="H5963" s="3">
        <v>3.9499499999999479E-2</v>
      </c>
    </row>
    <row r="5964" spans="7:8" x14ac:dyDescent="0.3">
      <c r="G5964" s="15">
        <v>16.552777777777777</v>
      </c>
      <c r="H5964" s="3">
        <v>3.9500305555555032E-2</v>
      </c>
    </row>
    <row r="5965" spans="7:8" x14ac:dyDescent="0.3">
      <c r="G5965" s="15">
        <v>16.555555555555557</v>
      </c>
      <c r="H5965" s="3">
        <v>3.9501111111110591E-2</v>
      </c>
    </row>
    <row r="5966" spans="7:8" x14ac:dyDescent="0.3">
      <c r="G5966" s="15">
        <v>16.558333333333334</v>
      </c>
      <c r="H5966" s="3">
        <v>3.9501916666666151E-2</v>
      </c>
    </row>
    <row r="5967" spans="7:8" x14ac:dyDescent="0.3">
      <c r="G5967" s="15">
        <v>16.56111111111111</v>
      </c>
      <c r="H5967" s="3">
        <v>3.9502722222221703E-2</v>
      </c>
    </row>
    <row r="5968" spans="7:8" x14ac:dyDescent="0.3">
      <c r="G5968" s="15">
        <v>16.56388888888889</v>
      </c>
      <c r="H5968" s="3">
        <v>3.9503527777777256E-2</v>
      </c>
    </row>
    <row r="5969" spans="7:8" x14ac:dyDescent="0.3">
      <c r="G5969" s="15">
        <v>16.566666666666666</v>
      </c>
      <c r="H5969" s="3">
        <v>3.9504333333332815E-2</v>
      </c>
    </row>
    <row r="5970" spans="7:8" x14ac:dyDescent="0.3">
      <c r="G5970" s="15">
        <v>16.569444444444443</v>
      </c>
      <c r="H5970" s="3">
        <v>3.9505138888888375E-2</v>
      </c>
    </row>
    <row r="5971" spans="7:8" x14ac:dyDescent="0.3">
      <c r="G5971" s="15">
        <v>16.572222222222223</v>
      </c>
      <c r="H5971" s="3">
        <v>3.9505944444443927E-2</v>
      </c>
    </row>
    <row r="5972" spans="7:8" x14ac:dyDescent="0.3">
      <c r="G5972" s="15">
        <v>16.574999999999999</v>
      </c>
      <c r="H5972" s="3">
        <v>3.950674999999948E-2</v>
      </c>
    </row>
    <row r="5973" spans="7:8" x14ac:dyDescent="0.3">
      <c r="G5973" s="15">
        <v>16.577777777777779</v>
      </c>
      <c r="H5973" s="3">
        <v>3.9507555555555039E-2</v>
      </c>
    </row>
    <row r="5974" spans="7:8" x14ac:dyDescent="0.3">
      <c r="G5974" s="15">
        <v>16.580555555555556</v>
      </c>
      <c r="H5974" s="3">
        <v>3.9508361111110599E-2</v>
      </c>
    </row>
    <row r="5975" spans="7:8" x14ac:dyDescent="0.3">
      <c r="G5975" s="15">
        <v>16.583333333333332</v>
      </c>
      <c r="H5975" s="3">
        <v>3.9509166666666151E-2</v>
      </c>
    </row>
    <row r="5976" spans="7:8" x14ac:dyDescent="0.3">
      <c r="G5976" s="15">
        <v>16.586111111111112</v>
      </c>
      <c r="H5976" s="3">
        <v>3.9509972222221704E-2</v>
      </c>
    </row>
    <row r="5977" spans="7:8" x14ac:dyDescent="0.3">
      <c r="G5977" s="15">
        <v>16.588888888888889</v>
      </c>
      <c r="H5977" s="3">
        <v>3.9510777777777263E-2</v>
      </c>
    </row>
    <row r="5978" spans="7:8" x14ac:dyDescent="0.3">
      <c r="G5978" s="15">
        <v>16.591666666666665</v>
      </c>
      <c r="H5978" s="3">
        <v>3.9511583333332823E-2</v>
      </c>
    </row>
    <row r="5979" spans="7:8" x14ac:dyDescent="0.3">
      <c r="G5979" s="15">
        <v>16.594444444444445</v>
      </c>
      <c r="H5979" s="3">
        <v>3.9512388888888375E-2</v>
      </c>
    </row>
    <row r="5980" spans="7:8" x14ac:dyDescent="0.3">
      <c r="G5980" s="15">
        <v>16.597222222222221</v>
      </c>
      <c r="H5980" s="3">
        <v>3.9513194444443928E-2</v>
      </c>
    </row>
    <row r="5981" spans="7:8" x14ac:dyDescent="0.3">
      <c r="G5981" s="15">
        <v>16.600000000000001</v>
      </c>
      <c r="H5981" s="3">
        <v>3.9513999999999487E-2</v>
      </c>
    </row>
    <row r="5982" spans="7:8" x14ac:dyDescent="0.3">
      <c r="G5982" s="15">
        <v>16.602777777777778</v>
      </c>
      <c r="H5982" s="3">
        <v>3.9514805555555046E-2</v>
      </c>
    </row>
    <row r="5983" spans="7:8" x14ac:dyDescent="0.3">
      <c r="G5983" s="15">
        <v>16.605555555555554</v>
      </c>
      <c r="H5983" s="3">
        <v>3.9515611111110599E-2</v>
      </c>
    </row>
    <row r="5984" spans="7:8" x14ac:dyDescent="0.3">
      <c r="G5984" s="15">
        <v>16.608333333333334</v>
      </c>
      <c r="H5984" s="3">
        <v>3.9516416666666151E-2</v>
      </c>
    </row>
    <row r="5985" spans="7:8" x14ac:dyDescent="0.3">
      <c r="G5985" s="15">
        <v>16.611111111111111</v>
      </c>
      <c r="H5985" s="3">
        <v>3.9517222222221711E-2</v>
      </c>
    </row>
    <row r="5986" spans="7:8" x14ac:dyDescent="0.3">
      <c r="G5986" s="15">
        <v>16.613888888888887</v>
      </c>
      <c r="H5986" s="3">
        <v>3.951802777777727E-2</v>
      </c>
    </row>
    <row r="5987" spans="7:8" x14ac:dyDescent="0.3">
      <c r="G5987" s="15">
        <v>16.616666666666667</v>
      </c>
      <c r="H5987" s="3">
        <v>3.9518833333332823E-2</v>
      </c>
    </row>
    <row r="5988" spans="7:8" x14ac:dyDescent="0.3">
      <c r="G5988" s="15">
        <v>16.619444444444444</v>
      </c>
      <c r="H5988" s="3">
        <v>3.9519638888888375E-2</v>
      </c>
    </row>
    <row r="5989" spans="7:8" x14ac:dyDescent="0.3">
      <c r="G5989" s="15">
        <v>16.622222222222224</v>
      </c>
      <c r="H5989" s="3">
        <v>3.9520444444443935E-2</v>
      </c>
    </row>
    <row r="5990" spans="7:8" x14ac:dyDescent="0.3">
      <c r="G5990" s="15">
        <v>16.625</v>
      </c>
      <c r="H5990" s="3">
        <v>3.9521249999999494E-2</v>
      </c>
    </row>
    <row r="5991" spans="7:8" x14ac:dyDescent="0.3">
      <c r="G5991" s="15">
        <v>16.627777777777776</v>
      </c>
      <c r="H5991" s="3">
        <v>3.9522055555555047E-2</v>
      </c>
    </row>
    <row r="5992" spans="7:8" x14ac:dyDescent="0.3">
      <c r="G5992" s="15">
        <v>16.630555555555556</v>
      </c>
      <c r="H5992" s="3">
        <v>3.9522861111110599E-2</v>
      </c>
    </row>
    <row r="5993" spans="7:8" x14ac:dyDescent="0.3">
      <c r="G5993" s="15">
        <v>16.633333333333333</v>
      </c>
      <c r="H5993" s="3">
        <v>3.9523666666666159E-2</v>
      </c>
    </row>
    <row r="5994" spans="7:8" x14ac:dyDescent="0.3">
      <c r="G5994" s="15">
        <v>16.636111111111113</v>
      </c>
      <c r="H5994" s="3">
        <v>3.9524472222221718E-2</v>
      </c>
    </row>
    <row r="5995" spans="7:8" x14ac:dyDescent="0.3">
      <c r="G5995" s="15">
        <v>16.638888888888889</v>
      </c>
      <c r="H5995" s="3">
        <v>3.9525277777777271E-2</v>
      </c>
    </row>
    <row r="5996" spans="7:8" x14ac:dyDescent="0.3">
      <c r="G5996" s="15">
        <v>16.641666666666666</v>
      </c>
      <c r="H5996" s="3">
        <v>3.9526083333332823E-2</v>
      </c>
    </row>
    <row r="5997" spans="7:8" x14ac:dyDescent="0.3">
      <c r="G5997" s="15">
        <v>16.644444444444446</v>
      </c>
      <c r="H5997" s="3">
        <v>3.9526888888888383E-2</v>
      </c>
    </row>
    <row r="5998" spans="7:8" x14ac:dyDescent="0.3">
      <c r="G5998" s="15">
        <v>16.647222222222222</v>
      </c>
      <c r="H5998" s="3">
        <v>3.9527694444443942E-2</v>
      </c>
    </row>
    <row r="5999" spans="7:8" x14ac:dyDescent="0.3">
      <c r="G5999" s="15">
        <v>16.649999999999999</v>
      </c>
      <c r="H5999" s="3">
        <v>3.9528499999999495E-2</v>
      </c>
    </row>
    <row r="6000" spans="7:8" x14ac:dyDescent="0.3">
      <c r="G6000" s="15">
        <v>16.652777777777779</v>
      </c>
      <c r="H6000" s="3">
        <v>3.9529305555555047E-2</v>
      </c>
    </row>
    <row r="6001" spans="7:8" x14ac:dyDescent="0.3">
      <c r="G6001" s="15">
        <v>16.655555555555555</v>
      </c>
      <c r="H6001" s="3">
        <v>3.9530111111110607E-2</v>
      </c>
    </row>
    <row r="6002" spans="7:8" x14ac:dyDescent="0.3">
      <c r="G6002" s="15">
        <v>16.658333333333335</v>
      </c>
      <c r="H6002" s="3">
        <v>3.9530916666666166E-2</v>
      </c>
    </row>
    <row r="6003" spans="7:8" x14ac:dyDescent="0.3">
      <c r="G6003" s="15">
        <v>16.661111111111111</v>
      </c>
      <c r="H6003" s="3">
        <v>3.9531722222221718E-2</v>
      </c>
    </row>
    <row r="6004" spans="7:8" x14ac:dyDescent="0.3">
      <c r="G6004" s="15">
        <v>16.663888888888888</v>
      </c>
      <c r="H6004" s="3">
        <v>3.9532527777777271E-2</v>
      </c>
    </row>
    <row r="6005" spans="7:8" x14ac:dyDescent="0.3">
      <c r="G6005" s="15">
        <v>16.666666666666668</v>
      </c>
      <c r="H6005" s="3">
        <v>3.953333333333283E-2</v>
      </c>
    </row>
    <row r="6006" spans="7:8" x14ac:dyDescent="0.3">
      <c r="G6006" s="15">
        <v>16.669444444444444</v>
      </c>
      <c r="H6006" s="3">
        <v>3.953413888888839E-2</v>
      </c>
    </row>
    <row r="6007" spans="7:8" x14ac:dyDescent="0.3">
      <c r="G6007" s="15">
        <v>16.672222222222221</v>
      </c>
      <c r="H6007" s="3">
        <v>3.9534944444443942E-2</v>
      </c>
    </row>
    <row r="6008" spans="7:8" x14ac:dyDescent="0.3">
      <c r="G6008" s="15">
        <v>16.675000000000001</v>
      </c>
      <c r="H6008" s="3">
        <v>3.9535749999999495E-2</v>
      </c>
    </row>
    <row r="6009" spans="7:8" x14ac:dyDescent="0.3">
      <c r="G6009" s="15">
        <v>16.677777777777777</v>
      </c>
      <c r="H6009" s="3">
        <v>3.9536555555555054E-2</v>
      </c>
    </row>
    <row r="6010" spans="7:8" x14ac:dyDescent="0.3">
      <c r="G6010" s="15">
        <v>16.680555555555557</v>
      </c>
      <c r="H6010" s="3">
        <v>3.9537361111110614E-2</v>
      </c>
    </row>
    <row r="6011" spans="7:8" x14ac:dyDescent="0.3">
      <c r="G6011" s="15">
        <v>16.683333333333334</v>
      </c>
      <c r="H6011" s="3">
        <v>3.9538166666666166E-2</v>
      </c>
    </row>
    <row r="6012" spans="7:8" x14ac:dyDescent="0.3">
      <c r="G6012" s="15">
        <v>16.68611111111111</v>
      </c>
      <c r="H6012" s="3">
        <v>3.9538972222221719E-2</v>
      </c>
    </row>
    <row r="6013" spans="7:8" x14ac:dyDescent="0.3">
      <c r="G6013" s="15">
        <v>16.68888888888889</v>
      </c>
      <c r="H6013" s="3">
        <v>3.9539777777777278E-2</v>
      </c>
    </row>
    <row r="6014" spans="7:8" x14ac:dyDescent="0.3">
      <c r="G6014" s="15">
        <v>16.691666666666666</v>
      </c>
      <c r="H6014" s="3">
        <v>3.9540583333332838E-2</v>
      </c>
    </row>
    <row r="6015" spans="7:8" x14ac:dyDescent="0.3">
      <c r="G6015" s="15">
        <v>16.694444444444443</v>
      </c>
      <c r="H6015" s="3">
        <v>3.954138888888839E-2</v>
      </c>
    </row>
    <row r="6016" spans="7:8" x14ac:dyDescent="0.3">
      <c r="G6016" s="15">
        <v>16.697222222222223</v>
      </c>
      <c r="H6016" s="3">
        <v>3.9542194444443943E-2</v>
      </c>
    </row>
    <row r="6017" spans="7:8" x14ac:dyDescent="0.3">
      <c r="G6017" s="15">
        <v>16.7</v>
      </c>
      <c r="H6017" s="3">
        <v>3.9542999999999502E-2</v>
      </c>
    </row>
    <row r="6018" spans="7:8" x14ac:dyDescent="0.3">
      <c r="G6018" s="15">
        <v>16.702777777777779</v>
      </c>
      <c r="H6018" s="3">
        <v>3.9543805555555062E-2</v>
      </c>
    </row>
    <row r="6019" spans="7:8" x14ac:dyDescent="0.3">
      <c r="G6019" s="15">
        <v>16.705555555555556</v>
      </c>
      <c r="H6019" s="3">
        <v>3.9544611111110614E-2</v>
      </c>
    </row>
    <row r="6020" spans="7:8" x14ac:dyDescent="0.3">
      <c r="G6020" s="15">
        <v>16.708333333333332</v>
      </c>
      <c r="H6020" s="3">
        <v>3.9545416666666167E-2</v>
      </c>
    </row>
    <row r="6021" spans="7:8" x14ac:dyDescent="0.3">
      <c r="G6021" s="15">
        <v>16.711111111111112</v>
      </c>
      <c r="H6021" s="3">
        <v>3.9546222222221726E-2</v>
      </c>
    </row>
    <row r="6022" spans="7:8" x14ac:dyDescent="0.3">
      <c r="G6022" s="15">
        <v>16.713888888888889</v>
      </c>
      <c r="H6022" s="3">
        <v>3.9547027777777286E-2</v>
      </c>
    </row>
    <row r="6023" spans="7:8" x14ac:dyDescent="0.3">
      <c r="G6023" s="15">
        <v>16.716666666666665</v>
      </c>
      <c r="H6023" s="3">
        <v>3.9547833333332838E-2</v>
      </c>
    </row>
    <row r="6024" spans="7:8" x14ac:dyDescent="0.3">
      <c r="G6024" s="15">
        <v>16.719444444444445</v>
      </c>
      <c r="H6024" s="3">
        <v>3.9548638888888391E-2</v>
      </c>
    </row>
    <row r="6025" spans="7:8" x14ac:dyDescent="0.3">
      <c r="G6025" s="15">
        <v>16.722222222222221</v>
      </c>
      <c r="H6025" s="3">
        <v>3.954944444444395E-2</v>
      </c>
    </row>
    <row r="6026" spans="7:8" x14ac:dyDescent="0.3">
      <c r="G6026" s="15">
        <v>16.725000000000001</v>
      </c>
      <c r="H6026" s="3">
        <v>3.9550249999999509E-2</v>
      </c>
    </row>
    <row r="6027" spans="7:8" x14ac:dyDescent="0.3">
      <c r="G6027" s="15">
        <v>16.727777777777778</v>
      </c>
      <c r="H6027" s="3">
        <v>3.9551055555555062E-2</v>
      </c>
    </row>
    <row r="6028" spans="7:8" x14ac:dyDescent="0.3">
      <c r="G6028" s="15">
        <v>16.730555555555554</v>
      </c>
      <c r="H6028" s="3">
        <v>3.9551861111110614E-2</v>
      </c>
    </row>
    <row r="6029" spans="7:8" x14ac:dyDescent="0.3">
      <c r="G6029" s="15">
        <v>16.733333333333334</v>
      </c>
      <c r="H6029" s="3">
        <v>3.9552666666666174E-2</v>
      </c>
    </row>
    <row r="6030" spans="7:8" x14ac:dyDescent="0.3">
      <c r="G6030" s="15">
        <v>16.736111111111111</v>
      </c>
      <c r="H6030" s="3">
        <v>3.9553472222221733E-2</v>
      </c>
    </row>
    <row r="6031" spans="7:8" x14ac:dyDescent="0.3">
      <c r="G6031" s="15">
        <v>16.738888888888887</v>
      </c>
      <c r="H6031" s="3">
        <v>3.9554277777777286E-2</v>
      </c>
    </row>
    <row r="6032" spans="7:8" x14ac:dyDescent="0.3">
      <c r="G6032" s="15">
        <v>16.741666666666667</v>
      </c>
      <c r="H6032" s="3">
        <v>3.9555083333332838E-2</v>
      </c>
    </row>
    <row r="6033" spans="7:8" x14ac:dyDescent="0.3">
      <c r="G6033" s="15">
        <v>16.744444444444444</v>
      </c>
      <c r="H6033" s="3">
        <v>3.9555888888888398E-2</v>
      </c>
    </row>
    <row r="6034" spans="7:8" x14ac:dyDescent="0.3">
      <c r="G6034" s="15">
        <v>16.747222222222224</v>
      </c>
      <c r="H6034" s="3">
        <v>3.9556694444443957E-2</v>
      </c>
    </row>
    <row r="6035" spans="7:8" x14ac:dyDescent="0.3">
      <c r="G6035" s="15">
        <v>16.75</v>
      </c>
      <c r="H6035" s="3">
        <v>3.955749999999951E-2</v>
      </c>
    </row>
    <row r="6036" spans="7:8" x14ac:dyDescent="0.3">
      <c r="G6036" s="15">
        <v>16.752777777777776</v>
      </c>
      <c r="H6036" s="3">
        <v>3.9558305555555062E-2</v>
      </c>
    </row>
    <row r="6037" spans="7:8" x14ac:dyDescent="0.3">
      <c r="G6037" s="15">
        <v>16.755555555555556</v>
      </c>
      <c r="H6037" s="3">
        <v>3.9559111111110622E-2</v>
      </c>
    </row>
    <row r="6038" spans="7:8" x14ac:dyDescent="0.3">
      <c r="G6038" s="15">
        <v>16.758333333333333</v>
      </c>
      <c r="H6038" s="3">
        <v>3.9559916666666181E-2</v>
      </c>
    </row>
    <row r="6039" spans="7:8" x14ac:dyDescent="0.3">
      <c r="G6039" s="15">
        <v>16.761111111111113</v>
      </c>
      <c r="H6039" s="3">
        <v>3.9560722222221734E-2</v>
      </c>
    </row>
    <row r="6040" spans="7:8" x14ac:dyDescent="0.3">
      <c r="G6040" s="15">
        <v>16.763888888888889</v>
      </c>
      <c r="H6040" s="3">
        <v>3.9561527777777286E-2</v>
      </c>
    </row>
    <row r="6041" spans="7:8" x14ac:dyDescent="0.3">
      <c r="G6041" s="15">
        <v>16.766666666666666</v>
      </c>
      <c r="H6041" s="3">
        <v>3.9562333333332846E-2</v>
      </c>
    </row>
    <row r="6042" spans="7:8" x14ac:dyDescent="0.3">
      <c r="G6042" s="15">
        <v>16.769444444444446</v>
      </c>
      <c r="H6042" s="3">
        <v>3.9563138888888405E-2</v>
      </c>
    </row>
    <row r="6043" spans="7:8" x14ac:dyDescent="0.3">
      <c r="G6043" s="15">
        <v>16.772222222222222</v>
      </c>
      <c r="H6043" s="3">
        <v>3.9563944444443958E-2</v>
      </c>
    </row>
    <row r="6044" spans="7:8" x14ac:dyDescent="0.3">
      <c r="G6044" s="15">
        <v>16.774999999999999</v>
      </c>
      <c r="H6044" s="3">
        <v>3.956474999999951E-2</v>
      </c>
    </row>
    <row r="6045" spans="7:8" x14ac:dyDescent="0.3">
      <c r="G6045" s="15">
        <v>16.777777777777779</v>
      </c>
      <c r="H6045" s="3">
        <v>3.9565555555555069E-2</v>
      </c>
    </row>
    <row r="6046" spans="7:8" x14ac:dyDescent="0.3">
      <c r="G6046" s="15">
        <v>16.780555555555555</v>
      </c>
      <c r="H6046" s="3">
        <v>3.9566361111110629E-2</v>
      </c>
    </row>
    <row r="6047" spans="7:8" x14ac:dyDescent="0.3">
      <c r="G6047" s="15">
        <v>16.783333333333335</v>
      </c>
      <c r="H6047" s="3">
        <v>3.9567166666666181E-2</v>
      </c>
    </row>
    <row r="6048" spans="7:8" x14ac:dyDescent="0.3">
      <c r="G6048" s="15">
        <v>16.786111111111111</v>
      </c>
      <c r="H6048" s="3">
        <v>3.9567972222221734E-2</v>
      </c>
    </row>
    <row r="6049" spans="7:8" x14ac:dyDescent="0.3">
      <c r="G6049" s="15">
        <v>16.788888888888888</v>
      </c>
      <c r="H6049" s="3">
        <v>3.9568777777777293E-2</v>
      </c>
    </row>
    <row r="6050" spans="7:8" x14ac:dyDescent="0.3">
      <c r="G6050" s="15">
        <v>16.791666666666668</v>
      </c>
      <c r="H6050" s="3">
        <v>3.9569583333332853E-2</v>
      </c>
    </row>
    <row r="6051" spans="7:8" x14ac:dyDescent="0.3">
      <c r="G6051" s="15">
        <v>16.794444444444444</v>
      </c>
      <c r="H6051" s="3">
        <v>3.9570388888888405E-2</v>
      </c>
    </row>
    <row r="6052" spans="7:8" x14ac:dyDescent="0.3">
      <c r="G6052" s="15">
        <v>16.797222222222221</v>
      </c>
      <c r="H6052" s="3">
        <v>3.9571194444443958E-2</v>
      </c>
    </row>
    <row r="6053" spans="7:8" x14ac:dyDescent="0.3">
      <c r="G6053" s="15">
        <v>16.8</v>
      </c>
      <c r="H6053" s="3">
        <v>3.9571999999999517E-2</v>
      </c>
    </row>
    <row r="6054" spans="7:8" x14ac:dyDescent="0.3">
      <c r="G6054" s="15">
        <v>16.802777777777777</v>
      </c>
      <c r="H6054" s="3">
        <v>3.9572805555555077E-2</v>
      </c>
    </row>
    <row r="6055" spans="7:8" x14ac:dyDescent="0.3">
      <c r="G6055" s="15">
        <v>16.805555555555557</v>
      </c>
      <c r="H6055" s="3">
        <v>3.9573611111110629E-2</v>
      </c>
    </row>
    <row r="6056" spans="7:8" x14ac:dyDescent="0.3">
      <c r="G6056" s="15">
        <v>16.808333333333334</v>
      </c>
      <c r="H6056" s="3">
        <v>3.9574416666666182E-2</v>
      </c>
    </row>
    <row r="6057" spans="7:8" x14ac:dyDescent="0.3">
      <c r="G6057" s="15">
        <v>16.81111111111111</v>
      </c>
      <c r="H6057" s="3">
        <v>3.9575222222221741E-2</v>
      </c>
    </row>
    <row r="6058" spans="7:8" x14ac:dyDescent="0.3">
      <c r="G6058" s="15">
        <v>16.81388888888889</v>
      </c>
      <c r="H6058" s="3">
        <v>3.9576027777777301E-2</v>
      </c>
    </row>
    <row r="6059" spans="7:8" x14ac:dyDescent="0.3">
      <c r="G6059" s="15">
        <v>16.816666666666666</v>
      </c>
      <c r="H6059" s="3">
        <v>3.9576833333332853E-2</v>
      </c>
    </row>
    <row r="6060" spans="7:8" x14ac:dyDescent="0.3">
      <c r="G6060" s="15">
        <v>16.819444444444443</v>
      </c>
      <c r="H6060" s="3">
        <v>3.9577638888888406E-2</v>
      </c>
    </row>
    <row r="6061" spans="7:8" x14ac:dyDescent="0.3">
      <c r="G6061" s="15">
        <v>16.822222222222223</v>
      </c>
      <c r="H6061" s="3">
        <v>3.9578444444443965E-2</v>
      </c>
    </row>
    <row r="6062" spans="7:8" x14ac:dyDescent="0.3">
      <c r="G6062" s="15">
        <v>16.824999999999999</v>
      </c>
      <c r="H6062" s="3">
        <v>3.9579249999999525E-2</v>
      </c>
    </row>
    <row r="6063" spans="7:8" x14ac:dyDescent="0.3">
      <c r="G6063" s="15">
        <v>16.827777777777779</v>
      </c>
      <c r="H6063" s="3">
        <v>3.9580055555555077E-2</v>
      </c>
    </row>
    <row r="6064" spans="7:8" x14ac:dyDescent="0.3">
      <c r="G6064" s="15">
        <v>16.830555555555556</v>
      </c>
      <c r="H6064" s="3">
        <v>3.958086111111063E-2</v>
      </c>
    </row>
    <row r="6065" spans="7:8" x14ac:dyDescent="0.3">
      <c r="G6065" s="15">
        <v>16.833333333333332</v>
      </c>
      <c r="H6065" s="3">
        <v>3.9581666666666189E-2</v>
      </c>
    </row>
    <row r="6066" spans="7:8" x14ac:dyDescent="0.3">
      <c r="G6066" s="15">
        <v>16.836111111111112</v>
      </c>
      <c r="H6066" s="3">
        <v>3.9582472222221748E-2</v>
      </c>
    </row>
    <row r="6067" spans="7:8" x14ac:dyDescent="0.3">
      <c r="G6067" s="15">
        <v>16.838888888888889</v>
      </c>
      <c r="H6067" s="3">
        <v>3.9583277777777301E-2</v>
      </c>
    </row>
    <row r="6068" spans="7:8" x14ac:dyDescent="0.3">
      <c r="G6068" s="15">
        <v>16.841666666666665</v>
      </c>
      <c r="H6068" s="3">
        <v>3.9584083333332853E-2</v>
      </c>
    </row>
    <row r="6069" spans="7:8" x14ac:dyDescent="0.3">
      <c r="G6069" s="15">
        <v>16.844444444444445</v>
      </c>
      <c r="H6069" s="3">
        <v>3.9584888888888413E-2</v>
      </c>
    </row>
    <row r="6070" spans="7:8" x14ac:dyDescent="0.3">
      <c r="G6070" s="15">
        <v>16.847222222222221</v>
      </c>
      <c r="H6070" s="3">
        <v>3.9585694444443972E-2</v>
      </c>
    </row>
    <row r="6071" spans="7:8" x14ac:dyDescent="0.3">
      <c r="G6071" s="15">
        <v>16.850000000000001</v>
      </c>
      <c r="H6071" s="3">
        <v>3.9586499999999525E-2</v>
      </c>
    </row>
    <row r="6072" spans="7:8" x14ac:dyDescent="0.3">
      <c r="G6072" s="15">
        <v>16.852777777777778</v>
      </c>
      <c r="H6072" s="3">
        <v>3.9587305555555077E-2</v>
      </c>
    </row>
    <row r="6073" spans="7:8" x14ac:dyDescent="0.3">
      <c r="G6073" s="15">
        <v>16.855555555555554</v>
      </c>
      <c r="H6073" s="3">
        <v>3.9588111111110637E-2</v>
      </c>
    </row>
    <row r="6074" spans="7:8" x14ac:dyDescent="0.3">
      <c r="G6074" s="15">
        <v>16.858333333333334</v>
      </c>
      <c r="H6074" s="3">
        <v>3.9588916666666196E-2</v>
      </c>
    </row>
    <row r="6075" spans="7:8" x14ac:dyDescent="0.3">
      <c r="G6075" s="15">
        <v>16.861111111111111</v>
      </c>
      <c r="H6075" s="3">
        <v>3.9589722222221749E-2</v>
      </c>
    </row>
    <row r="6076" spans="7:8" x14ac:dyDescent="0.3">
      <c r="G6076" s="15">
        <v>16.863888888888887</v>
      </c>
      <c r="H6076" s="3">
        <v>3.9590527777777301E-2</v>
      </c>
    </row>
    <row r="6077" spans="7:8" x14ac:dyDescent="0.3">
      <c r="G6077" s="15">
        <v>16.866666666666667</v>
      </c>
      <c r="H6077" s="3">
        <v>3.9591333333332861E-2</v>
      </c>
    </row>
    <row r="6078" spans="7:8" x14ac:dyDescent="0.3">
      <c r="G6078" s="15">
        <v>16.869444444444444</v>
      </c>
      <c r="H6078" s="3">
        <v>3.959213888888842E-2</v>
      </c>
    </row>
    <row r="6079" spans="7:8" x14ac:dyDescent="0.3">
      <c r="G6079" s="15">
        <v>16.872222222222224</v>
      </c>
      <c r="H6079" s="3">
        <v>3.9592944444443973E-2</v>
      </c>
    </row>
    <row r="6080" spans="7:8" x14ac:dyDescent="0.3">
      <c r="G6080" s="15">
        <v>16.875</v>
      </c>
      <c r="H6080" s="3">
        <v>3.9593749999999525E-2</v>
      </c>
    </row>
    <row r="6081" spans="7:8" x14ac:dyDescent="0.3">
      <c r="G6081" s="15">
        <v>16.877777777777776</v>
      </c>
      <c r="H6081" s="3">
        <v>3.9594555555555085E-2</v>
      </c>
    </row>
    <row r="6082" spans="7:8" x14ac:dyDescent="0.3">
      <c r="G6082" s="15">
        <v>16.880555555555556</v>
      </c>
      <c r="H6082" s="3">
        <v>3.9595361111110644E-2</v>
      </c>
    </row>
    <row r="6083" spans="7:8" x14ac:dyDescent="0.3">
      <c r="G6083" s="15">
        <v>16.883333333333333</v>
      </c>
      <c r="H6083" s="3">
        <v>3.9596166666666197E-2</v>
      </c>
    </row>
    <row r="6084" spans="7:8" x14ac:dyDescent="0.3">
      <c r="G6084" s="15">
        <v>16.886111111111113</v>
      </c>
      <c r="H6084" s="3">
        <v>3.9596972222221749E-2</v>
      </c>
    </row>
    <row r="6085" spans="7:8" x14ac:dyDescent="0.3">
      <c r="G6085" s="15">
        <v>16.888888888888889</v>
      </c>
      <c r="H6085" s="3">
        <v>3.9597777777777309E-2</v>
      </c>
    </row>
    <row r="6086" spans="7:8" x14ac:dyDescent="0.3">
      <c r="G6086" s="15">
        <v>16.891666666666666</v>
      </c>
      <c r="H6086" s="3">
        <v>3.9598583333332868E-2</v>
      </c>
    </row>
    <row r="6087" spans="7:8" x14ac:dyDescent="0.3">
      <c r="G6087" s="15">
        <v>16.894444444444446</v>
      </c>
      <c r="H6087" s="3">
        <v>3.959938888888842E-2</v>
      </c>
    </row>
    <row r="6088" spans="7:8" x14ac:dyDescent="0.3">
      <c r="G6088" s="15">
        <v>16.897222222222222</v>
      </c>
      <c r="H6088" s="3">
        <v>3.9600194444443973E-2</v>
      </c>
    </row>
    <row r="6089" spans="7:8" x14ac:dyDescent="0.3">
      <c r="G6089" s="15">
        <v>16.899999999999999</v>
      </c>
      <c r="H6089" s="3">
        <v>3.9600999999999532E-2</v>
      </c>
    </row>
    <row r="6090" spans="7:8" x14ac:dyDescent="0.3">
      <c r="G6090" s="15">
        <v>16.902777777777779</v>
      </c>
      <c r="H6090" s="3">
        <v>3.9601805555555092E-2</v>
      </c>
    </row>
    <row r="6091" spans="7:8" x14ac:dyDescent="0.3">
      <c r="G6091" s="15">
        <v>16.905555555555555</v>
      </c>
      <c r="H6091" s="3">
        <v>3.9602611111110644E-2</v>
      </c>
    </row>
    <row r="6092" spans="7:8" x14ac:dyDescent="0.3">
      <c r="G6092" s="15">
        <v>16.908333333333335</v>
      </c>
      <c r="H6092" s="3">
        <v>3.9603416666666197E-2</v>
      </c>
    </row>
    <row r="6093" spans="7:8" x14ac:dyDescent="0.3">
      <c r="G6093" s="15">
        <v>16.911111111111111</v>
      </c>
      <c r="H6093" s="3">
        <v>3.9604222222221756E-2</v>
      </c>
    </row>
    <row r="6094" spans="7:8" x14ac:dyDescent="0.3">
      <c r="G6094" s="15">
        <v>16.913888888888888</v>
      </c>
      <c r="H6094" s="3">
        <v>3.9605027777777316E-2</v>
      </c>
    </row>
    <row r="6095" spans="7:8" x14ac:dyDescent="0.3">
      <c r="G6095" s="15">
        <v>16.916666666666668</v>
      </c>
      <c r="H6095" s="3">
        <v>3.9605833333332868E-2</v>
      </c>
    </row>
    <row r="6096" spans="7:8" x14ac:dyDescent="0.3">
      <c r="G6096" s="15">
        <v>16.919444444444444</v>
      </c>
      <c r="H6096" s="3">
        <v>3.9606638888888421E-2</v>
      </c>
    </row>
    <row r="6097" spans="7:8" x14ac:dyDescent="0.3">
      <c r="G6097" s="15">
        <v>16.922222222222221</v>
      </c>
      <c r="H6097" s="3">
        <v>3.960744444444398E-2</v>
      </c>
    </row>
    <row r="6098" spans="7:8" x14ac:dyDescent="0.3">
      <c r="G6098" s="15">
        <v>16.925000000000001</v>
      </c>
      <c r="H6098" s="3">
        <v>3.960824999999954E-2</v>
      </c>
    </row>
    <row r="6099" spans="7:8" x14ac:dyDescent="0.3">
      <c r="G6099" s="15">
        <v>16.927777777777777</v>
      </c>
      <c r="H6099" s="3">
        <v>3.9609055555555092E-2</v>
      </c>
    </row>
    <row r="6100" spans="7:8" x14ac:dyDescent="0.3">
      <c r="G6100" s="15">
        <v>16.930555555555557</v>
      </c>
      <c r="H6100" s="3">
        <v>3.9609861111110645E-2</v>
      </c>
    </row>
    <row r="6101" spans="7:8" x14ac:dyDescent="0.3">
      <c r="G6101" s="15">
        <v>16.933333333333334</v>
      </c>
      <c r="H6101" s="3">
        <v>3.9610666666666204E-2</v>
      </c>
    </row>
    <row r="6102" spans="7:8" x14ac:dyDescent="0.3">
      <c r="G6102" s="15">
        <v>16.93611111111111</v>
      </c>
      <c r="H6102" s="3">
        <v>3.9611472222221764E-2</v>
      </c>
    </row>
    <row r="6103" spans="7:8" x14ac:dyDescent="0.3">
      <c r="G6103" s="15">
        <v>16.93888888888889</v>
      </c>
      <c r="H6103" s="3">
        <v>3.9612277777777316E-2</v>
      </c>
    </row>
    <row r="6104" spans="7:8" x14ac:dyDescent="0.3">
      <c r="G6104" s="15">
        <v>16.941666666666666</v>
      </c>
      <c r="H6104" s="3">
        <v>3.9613083333332869E-2</v>
      </c>
    </row>
    <row r="6105" spans="7:8" x14ac:dyDescent="0.3">
      <c r="G6105" s="15">
        <v>16.944444444444443</v>
      </c>
      <c r="H6105" s="3">
        <v>3.9613888888888428E-2</v>
      </c>
    </row>
    <row r="6106" spans="7:8" x14ac:dyDescent="0.3">
      <c r="G6106" s="15">
        <v>16.947222222222223</v>
      </c>
      <c r="H6106" s="3">
        <v>3.9614694444443987E-2</v>
      </c>
    </row>
    <row r="6107" spans="7:8" x14ac:dyDescent="0.3">
      <c r="G6107" s="15">
        <v>16.95</v>
      </c>
      <c r="H6107" s="3">
        <v>3.961549999999954E-2</v>
      </c>
    </row>
    <row r="6108" spans="7:8" x14ac:dyDescent="0.3">
      <c r="G6108" s="15">
        <v>16.952777777777779</v>
      </c>
      <c r="H6108" s="3">
        <v>3.9616305555555092E-2</v>
      </c>
    </row>
    <row r="6109" spans="7:8" x14ac:dyDescent="0.3">
      <c r="G6109" s="15">
        <v>16.955555555555556</v>
      </c>
      <c r="H6109" s="3">
        <v>3.9617111111110652E-2</v>
      </c>
    </row>
    <row r="6110" spans="7:8" x14ac:dyDescent="0.3">
      <c r="G6110" s="15">
        <v>16.958333333333332</v>
      </c>
      <c r="H6110" s="3">
        <v>3.9617916666666211E-2</v>
      </c>
    </row>
    <row r="6111" spans="7:8" x14ac:dyDescent="0.3">
      <c r="G6111" s="15">
        <v>16.961111111111112</v>
      </c>
      <c r="H6111" s="3">
        <v>3.9618722222221764E-2</v>
      </c>
    </row>
    <row r="6112" spans="7:8" x14ac:dyDescent="0.3">
      <c r="G6112" s="15">
        <v>16.963888888888889</v>
      </c>
      <c r="H6112" s="3">
        <v>3.9619527777777316E-2</v>
      </c>
    </row>
    <row r="6113" spans="7:8" x14ac:dyDescent="0.3">
      <c r="G6113" s="15">
        <v>16.966666666666665</v>
      </c>
      <c r="H6113" s="3">
        <v>3.9620333333332876E-2</v>
      </c>
    </row>
    <row r="6114" spans="7:8" x14ac:dyDescent="0.3">
      <c r="G6114" s="15">
        <v>16.969444444444445</v>
      </c>
      <c r="H6114" s="3">
        <v>3.9621138888888435E-2</v>
      </c>
    </row>
    <row r="6115" spans="7:8" x14ac:dyDescent="0.3">
      <c r="G6115" s="15">
        <v>16.972222222222221</v>
      </c>
      <c r="H6115" s="3">
        <v>3.9621944444443988E-2</v>
      </c>
    </row>
    <row r="6116" spans="7:8" x14ac:dyDescent="0.3">
      <c r="G6116" s="15">
        <v>16.975000000000001</v>
      </c>
      <c r="H6116" s="3">
        <v>3.962274999999954E-2</v>
      </c>
    </row>
    <row r="6117" spans="7:8" x14ac:dyDescent="0.3">
      <c r="G6117" s="15">
        <v>16.977777777777778</v>
      </c>
      <c r="H6117" s="3">
        <v>3.96235555555551E-2</v>
      </c>
    </row>
    <row r="6118" spans="7:8" x14ac:dyDescent="0.3">
      <c r="G6118" s="15">
        <v>16.980555555555554</v>
      </c>
      <c r="H6118" s="3">
        <v>3.9624361111110659E-2</v>
      </c>
    </row>
    <row r="6119" spans="7:8" x14ac:dyDescent="0.3">
      <c r="G6119" s="15">
        <v>16.983333333333334</v>
      </c>
      <c r="H6119" s="3">
        <v>3.9625166666666212E-2</v>
      </c>
    </row>
    <row r="6120" spans="7:8" x14ac:dyDescent="0.3">
      <c r="G6120" s="15">
        <v>16.986111111111111</v>
      </c>
      <c r="H6120" s="3">
        <v>3.9625972222221764E-2</v>
      </c>
    </row>
    <row r="6121" spans="7:8" x14ac:dyDescent="0.3">
      <c r="G6121" s="15">
        <v>16.988888888888887</v>
      </c>
      <c r="H6121" s="3">
        <v>3.9626777777777324E-2</v>
      </c>
    </row>
    <row r="6122" spans="7:8" x14ac:dyDescent="0.3">
      <c r="G6122" s="15">
        <v>16.991666666666667</v>
      </c>
      <c r="H6122" s="3">
        <v>3.9627583333332883E-2</v>
      </c>
    </row>
    <row r="6123" spans="7:8" x14ac:dyDescent="0.3">
      <c r="G6123" s="15">
        <v>16.994444444444444</v>
      </c>
      <c r="H6123" s="3">
        <v>3.9628388888888436E-2</v>
      </c>
    </row>
    <row r="6124" spans="7:8" x14ac:dyDescent="0.3">
      <c r="G6124" s="15">
        <v>16.997222222222224</v>
      </c>
      <c r="H6124" s="3">
        <v>3.9629194444443988E-2</v>
      </c>
    </row>
    <row r="6125" spans="7:8" x14ac:dyDescent="0.3">
      <c r="G6125" s="15">
        <v>17</v>
      </c>
      <c r="H6125" s="3">
        <v>3.9629999999999548E-2</v>
      </c>
    </row>
    <row r="6126" spans="7:8" x14ac:dyDescent="0.3">
      <c r="G6126" s="15">
        <v>17.002777777777776</v>
      </c>
      <c r="H6126" s="3">
        <v>3.9630805555555107E-2</v>
      </c>
    </row>
    <row r="6127" spans="7:8" x14ac:dyDescent="0.3">
      <c r="G6127" s="15">
        <v>17.005555555555556</v>
      </c>
      <c r="H6127" s="3">
        <v>3.9631611111110659E-2</v>
      </c>
    </row>
    <row r="6128" spans="7:8" x14ac:dyDescent="0.3">
      <c r="G6128" s="15">
        <v>17.008333333333333</v>
      </c>
      <c r="H6128" s="3">
        <v>3.9632416666666212E-2</v>
      </c>
    </row>
    <row r="6129" spans="7:8" x14ac:dyDescent="0.3">
      <c r="G6129" s="15">
        <v>17.011111111111113</v>
      </c>
      <c r="H6129" s="3">
        <v>3.9633222222221771E-2</v>
      </c>
    </row>
    <row r="6130" spans="7:8" x14ac:dyDescent="0.3">
      <c r="G6130" s="15">
        <v>17.013888888888889</v>
      </c>
      <c r="H6130" s="3">
        <v>3.9634027777777331E-2</v>
      </c>
    </row>
    <row r="6131" spans="7:8" x14ac:dyDescent="0.3">
      <c r="G6131" s="15">
        <v>17.016666666666666</v>
      </c>
      <c r="H6131" s="3">
        <v>3.9634833333332883E-2</v>
      </c>
    </row>
    <row r="6132" spans="7:8" x14ac:dyDescent="0.3">
      <c r="G6132" s="15">
        <v>17.019444444444446</v>
      </c>
      <c r="H6132" s="3">
        <v>3.9635638888888436E-2</v>
      </c>
    </row>
    <row r="6133" spans="7:8" x14ac:dyDescent="0.3">
      <c r="G6133" s="15">
        <v>17.022222222222222</v>
      </c>
      <c r="H6133" s="3">
        <v>3.9636444444443995E-2</v>
      </c>
    </row>
    <row r="6134" spans="7:8" x14ac:dyDescent="0.3">
      <c r="G6134" s="15">
        <v>17.024999999999999</v>
      </c>
      <c r="H6134" s="3">
        <v>3.9637249999999555E-2</v>
      </c>
    </row>
    <row r="6135" spans="7:8" x14ac:dyDescent="0.3">
      <c r="G6135" s="15">
        <v>17.027777777777779</v>
      </c>
      <c r="H6135" s="3">
        <v>3.9638055555555107E-2</v>
      </c>
    </row>
    <row r="6136" spans="7:8" x14ac:dyDescent="0.3">
      <c r="G6136" s="15">
        <v>17.030555555555555</v>
      </c>
      <c r="H6136" s="3">
        <v>3.963886111111066E-2</v>
      </c>
    </row>
    <row r="6137" spans="7:8" x14ac:dyDescent="0.3">
      <c r="G6137" s="15">
        <v>17.033333333333335</v>
      </c>
      <c r="H6137" s="3">
        <v>3.9639666666666219E-2</v>
      </c>
    </row>
    <row r="6138" spans="7:8" x14ac:dyDescent="0.3">
      <c r="G6138" s="15">
        <v>17.036111111111111</v>
      </c>
      <c r="H6138" s="3">
        <v>3.9640472222221779E-2</v>
      </c>
    </row>
    <row r="6139" spans="7:8" x14ac:dyDescent="0.3">
      <c r="G6139" s="15">
        <v>17.038888888888888</v>
      </c>
      <c r="H6139" s="3">
        <v>3.9641277777777331E-2</v>
      </c>
    </row>
    <row r="6140" spans="7:8" x14ac:dyDescent="0.3">
      <c r="G6140" s="15">
        <v>17.041666666666668</v>
      </c>
      <c r="H6140" s="3">
        <v>3.9642083333332884E-2</v>
      </c>
    </row>
    <row r="6141" spans="7:8" x14ac:dyDescent="0.3">
      <c r="G6141" s="15">
        <v>17.044444444444444</v>
      </c>
      <c r="H6141" s="3">
        <v>3.9642888888888443E-2</v>
      </c>
    </row>
    <row r="6142" spans="7:8" x14ac:dyDescent="0.3">
      <c r="G6142" s="15">
        <v>17.047222222222221</v>
      </c>
      <c r="H6142" s="3">
        <v>3.9643694444444003E-2</v>
      </c>
    </row>
    <row r="6143" spans="7:8" x14ac:dyDescent="0.3">
      <c r="G6143" s="15">
        <v>17.05</v>
      </c>
      <c r="H6143" s="3">
        <v>3.9644499999999555E-2</v>
      </c>
    </row>
    <row r="6144" spans="7:8" x14ac:dyDescent="0.3">
      <c r="G6144" s="15">
        <v>17.052777777777777</v>
      </c>
      <c r="H6144" s="3">
        <v>3.9645305555555108E-2</v>
      </c>
    </row>
    <row r="6145" spans="7:8" x14ac:dyDescent="0.3">
      <c r="G6145" s="15">
        <v>17.055555555555557</v>
      </c>
      <c r="H6145" s="3">
        <v>3.9646111111110667E-2</v>
      </c>
    </row>
    <row r="6146" spans="7:8" x14ac:dyDescent="0.3">
      <c r="G6146" s="15">
        <v>17.058333333333334</v>
      </c>
      <c r="H6146" s="3">
        <v>3.9646916666666226E-2</v>
      </c>
    </row>
    <row r="6147" spans="7:8" x14ac:dyDescent="0.3">
      <c r="G6147" s="15">
        <v>17.06111111111111</v>
      </c>
      <c r="H6147" s="3">
        <v>3.9647722222221779E-2</v>
      </c>
    </row>
    <row r="6148" spans="7:8" x14ac:dyDescent="0.3">
      <c r="G6148" s="15">
        <v>17.06388888888889</v>
      </c>
      <c r="H6148" s="3">
        <v>3.9648527777777332E-2</v>
      </c>
    </row>
    <row r="6149" spans="7:8" x14ac:dyDescent="0.3">
      <c r="G6149" s="15">
        <v>17.066666666666666</v>
      </c>
      <c r="H6149" s="3">
        <v>3.9649333333332891E-2</v>
      </c>
    </row>
    <row r="6150" spans="7:8" x14ac:dyDescent="0.3">
      <c r="G6150" s="15">
        <v>17.069444444444443</v>
      </c>
      <c r="H6150" s="3">
        <v>3.965013888888845E-2</v>
      </c>
    </row>
    <row r="6151" spans="7:8" x14ac:dyDescent="0.3">
      <c r="G6151" s="15">
        <v>17.072222222222223</v>
      </c>
      <c r="H6151" s="3">
        <v>3.9650944444444003E-2</v>
      </c>
    </row>
    <row r="6152" spans="7:8" x14ac:dyDescent="0.3">
      <c r="G6152" s="15">
        <v>17.074999999999999</v>
      </c>
      <c r="H6152" s="3">
        <v>3.9651749999999555E-2</v>
      </c>
    </row>
    <row r="6153" spans="7:8" x14ac:dyDescent="0.3">
      <c r="G6153" s="15">
        <v>17.077777777777779</v>
      </c>
      <c r="H6153" s="3">
        <v>3.9652555555555115E-2</v>
      </c>
    </row>
    <row r="6154" spans="7:8" x14ac:dyDescent="0.3">
      <c r="G6154" s="15">
        <v>17.080555555555556</v>
      </c>
      <c r="H6154" s="3">
        <v>3.9653361111110674E-2</v>
      </c>
    </row>
    <row r="6155" spans="7:8" x14ac:dyDescent="0.3">
      <c r="G6155" s="15">
        <v>17.083333333333332</v>
      </c>
      <c r="H6155" s="3">
        <v>3.9654166666666227E-2</v>
      </c>
    </row>
    <row r="6156" spans="7:8" x14ac:dyDescent="0.3">
      <c r="G6156" s="15">
        <v>17.086111111111112</v>
      </c>
      <c r="H6156" s="3">
        <v>3.9654972222221779E-2</v>
      </c>
    </row>
    <row r="6157" spans="7:8" x14ac:dyDescent="0.3">
      <c r="G6157" s="15">
        <v>17.088888888888889</v>
      </c>
      <c r="H6157" s="3">
        <v>3.9655777777777339E-2</v>
      </c>
    </row>
    <row r="6158" spans="7:8" x14ac:dyDescent="0.3">
      <c r="G6158" s="15">
        <v>17.091666666666665</v>
      </c>
      <c r="H6158" s="3">
        <v>3.9656583333332898E-2</v>
      </c>
    </row>
    <row r="6159" spans="7:8" x14ac:dyDescent="0.3">
      <c r="G6159" s="15">
        <v>17.094444444444445</v>
      </c>
      <c r="H6159" s="3">
        <v>3.9657388888888451E-2</v>
      </c>
    </row>
    <row r="6160" spans="7:8" x14ac:dyDescent="0.3">
      <c r="G6160" s="15">
        <v>17.097222222222221</v>
      </c>
      <c r="H6160" s="3">
        <v>3.9658194444444003E-2</v>
      </c>
    </row>
    <row r="6161" spans="7:8" x14ac:dyDescent="0.3">
      <c r="G6161" s="15">
        <v>17.100000000000001</v>
      </c>
      <c r="H6161" s="3">
        <v>3.9658999999999563E-2</v>
      </c>
    </row>
    <row r="6162" spans="7:8" x14ac:dyDescent="0.3">
      <c r="G6162" s="15">
        <v>17.102777777777778</v>
      </c>
      <c r="H6162" s="3">
        <v>3.9659805555555122E-2</v>
      </c>
    </row>
    <row r="6163" spans="7:8" x14ac:dyDescent="0.3">
      <c r="G6163" s="15">
        <v>17.105555555555554</v>
      </c>
      <c r="H6163" s="3">
        <v>3.9660611111110675E-2</v>
      </c>
    </row>
    <row r="6164" spans="7:8" x14ac:dyDescent="0.3">
      <c r="G6164" s="15">
        <v>17.108333333333334</v>
      </c>
      <c r="H6164" s="3">
        <v>3.9661416666666227E-2</v>
      </c>
    </row>
    <row r="6165" spans="7:8" x14ac:dyDescent="0.3">
      <c r="G6165" s="15">
        <v>17.111111111111111</v>
      </c>
      <c r="H6165" s="3">
        <v>3.9662222222221787E-2</v>
      </c>
    </row>
    <row r="6166" spans="7:8" x14ac:dyDescent="0.3">
      <c r="G6166" s="15">
        <v>17.113888888888887</v>
      </c>
      <c r="H6166" s="3">
        <v>3.9663027777777346E-2</v>
      </c>
    </row>
    <row r="6167" spans="7:8" x14ac:dyDescent="0.3">
      <c r="G6167" s="15">
        <v>17.116666666666667</v>
      </c>
      <c r="H6167" s="3">
        <v>3.9663833333332899E-2</v>
      </c>
    </row>
    <row r="6168" spans="7:8" x14ac:dyDescent="0.3">
      <c r="G6168" s="15">
        <v>17.119444444444444</v>
      </c>
      <c r="H6168" s="3">
        <v>3.9664638888888451E-2</v>
      </c>
    </row>
    <row r="6169" spans="7:8" x14ac:dyDescent="0.3">
      <c r="G6169" s="15">
        <v>17.122222222222224</v>
      </c>
      <c r="H6169" s="3">
        <v>3.966544444444401E-2</v>
      </c>
    </row>
    <row r="6170" spans="7:8" x14ac:dyDescent="0.3">
      <c r="G6170" s="15">
        <v>17.125</v>
      </c>
      <c r="H6170" s="3">
        <v>3.966624999999957E-2</v>
      </c>
    </row>
    <row r="6171" spans="7:8" x14ac:dyDescent="0.3">
      <c r="G6171" s="15">
        <v>17.127777777777776</v>
      </c>
      <c r="H6171" s="3">
        <v>3.9667055555555122E-2</v>
      </c>
    </row>
    <row r="6172" spans="7:8" x14ac:dyDescent="0.3">
      <c r="G6172" s="15">
        <v>17.130555555555556</v>
      </c>
      <c r="H6172" s="3">
        <v>3.9667861111110675E-2</v>
      </c>
    </row>
    <row r="6173" spans="7:8" x14ac:dyDescent="0.3">
      <c r="G6173" s="15">
        <v>17.133333333333333</v>
      </c>
      <c r="H6173" s="3">
        <v>3.9668666666666234E-2</v>
      </c>
    </row>
    <row r="6174" spans="7:8" x14ac:dyDescent="0.3">
      <c r="G6174" s="15">
        <v>17.136111111111113</v>
      </c>
      <c r="H6174" s="3">
        <v>3.9669472222221794E-2</v>
      </c>
    </row>
    <row r="6175" spans="7:8" x14ac:dyDescent="0.3">
      <c r="G6175" s="15">
        <v>17.138888888888889</v>
      </c>
      <c r="H6175" s="3">
        <v>3.9670277777777346E-2</v>
      </c>
    </row>
    <row r="6176" spans="7:8" x14ac:dyDescent="0.3">
      <c r="G6176" s="15">
        <v>17.141666666666666</v>
      </c>
      <c r="H6176" s="3">
        <v>3.9671083333332899E-2</v>
      </c>
    </row>
    <row r="6177" spans="7:8" x14ac:dyDescent="0.3">
      <c r="G6177" s="15">
        <v>17.144444444444446</v>
      </c>
      <c r="H6177" s="3">
        <v>3.9671888888888458E-2</v>
      </c>
    </row>
    <row r="6178" spans="7:8" x14ac:dyDescent="0.3">
      <c r="G6178" s="15">
        <v>17.147222222222222</v>
      </c>
      <c r="H6178" s="3">
        <v>3.9672694444444018E-2</v>
      </c>
    </row>
    <row r="6179" spans="7:8" x14ac:dyDescent="0.3">
      <c r="G6179" s="15">
        <v>17.149999999999999</v>
      </c>
      <c r="H6179" s="3">
        <v>3.967349999999957E-2</v>
      </c>
    </row>
    <row r="6180" spans="7:8" x14ac:dyDescent="0.3">
      <c r="G6180" s="15">
        <v>17.152777777777779</v>
      </c>
      <c r="H6180" s="3">
        <v>3.9674305555555123E-2</v>
      </c>
    </row>
    <row r="6181" spans="7:8" x14ac:dyDescent="0.3">
      <c r="G6181" s="15">
        <v>17.155555555555555</v>
      </c>
      <c r="H6181" s="3">
        <v>3.9675111111110682E-2</v>
      </c>
    </row>
    <row r="6182" spans="7:8" x14ac:dyDescent="0.3">
      <c r="G6182" s="15">
        <v>17.158333333333335</v>
      </c>
      <c r="H6182" s="3">
        <v>3.9675916666666242E-2</v>
      </c>
    </row>
    <row r="6183" spans="7:8" x14ac:dyDescent="0.3">
      <c r="G6183" s="15">
        <v>17.161111111111111</v>
      </c>
      <c r="H6183" s="3">
        <v>3.9676722222221794E-2</v>
      </c>
    </row>
    <row r="6184" spans="7:8" x14ac:dyDescent="0.3">
      <c r="G6184" s="15">
        <v>17.163888888888888</v>
      </c>
      <c r="H6184" s="3">
        <v>3.9677527777777347E-2</v>
      </c>
    </row>
    <row r="6185" spans="7:8" x14ac:dyDescent="0.3">
      <c r="G6185" s="15">
        <v>17.166666666666668</v>
      </c>
      <c r="H6185" s="3">
        <v>3.9678333333332906E-2</v>
      </c>
    </row>
    <row r="6186" spans="7:8" x14ac:dyDescent="0.3">
      <c r="G6186" s="15">
        <v>17.169444444444444</v>
      </c>
      <c r="H6186" s="3">
        <v>3.9679138888888466E-2</v>
      </c>
    </row>
    <row r="6187" spans="7:8" x14ac:dyDescent="0.3">
      <c r="G6187" s="15">
        <v>17.172222222222221</v>
      </c>
      <c r="H6187" s="3">
        <v>3.9679944444444018E-2</v>
      </c>
    </row>
    <row r="6188" spans="7:8" x14ac:dyDescent="0.3">
      <c r="G6188" s="15">
        <v>17.175000000000001</v>
      </c>
      <c r="H6188" s="3">
        <v>3.9680749999999571E-2</v>
      </c>
    </row>
    <row r="6189" spans="7:8" x14ac:dyDescent="0.3">
      <c r="G6189" s="15">
        <v>17.177777777777777</v>
      </c>
      <c r="H6189" s="3">
        <v>3.968155555555513E-2</v>
      </c>
    </row>
    <row r="6190" spans="7:8" x14ac:dyDescent="0.3">
      <c r="G6190" s="15">
        <v>17.180555555555557</v>
      </c>
      <c r="H6190" s="3">
        <v>3.9682361111110689E-2</v>
      </c>
    </row>
    <row r="6191" spans="7:8" x14ac:dyDescent="0.3">
      <c r="G6191" s="15">
        <v>17.183333333333334</v>
      </c>
      <c r="H6191" s="3">
        <v>3.9683166666666242E-2</v>
      </c>
    </row>
    <row r="6192" spans="7:8" x14ac:dyDescent="0.3">
      <c r="G6192" s="15">
        <v>17.18611111111111</v>
      </c>
      <c r="H6192" s="3">
        <v>3.9683972222221794E-2</v>
      </c>
    </row>
    <row r="6193" spans="7:8" x14ac:dyDescent="0.3">
      <c r="G6193" s="15">
        <v>17.18888888888889</v>
      </c>
      <c r="H6193" s="3">
        <v>3.9684777777777354E-2</v>
      </c>
    </row>
    <row r="6194" spans="7:8" x14ac:dyDescent="0.3">
      <c r="G6194" s="15">
        <v>17.191666666666666</v>
      </c>
      <c r="H6194" s="3">
        <v>3.9685583333332913E-2</v>
      </c>
    </row>
    <row r="6195" spans="7:8" x14ac:dyDescent="0.3">
      <c r="G6195" s="15">
        <v>17.194444444444443</v>
      </c>
      <c r="H6195" s="3">
        <v>3.9686388888888466E-2</v>
      </c>
    </row>
    <row r="6196" spans="7:8" x14ac:dyDescent="0.3">
      <c r="G6196" s="15">
        <v>17.197222222222223</v>
      </c>
      <c r="H6196" s="3">
        <v>3.9687194444444018E-2</v>
      </c>
    </row>
    <row r="6197" spans="7:8" x14ac:dyDescent="0.3">
      <c r="G6197" s="15">
        <v>17.2</v>
      </c>
      <c r="H6197" s="3">
        <v>3.9687999999999578E-2</v>
      </c>
    </row>
    <row r="6198" spans="7:8" x14ac:dyDescent="0.3">
      <c r="G6198" s="15">
        <v>17.202777777777779</v>
      </c>
      <c r="H6198" s="3">
        <v>3.9688805555555137E-2</v>
      </c>
    </row>
    <row r="6199" spans="7:8" x14ac:dyDescent="0.3">
      <c r="G6199" s="15">
        <v>17.205555555555556</v>
      </c>
      <c r="H6199" s="3">
        <v>3.968961111111069E-2</v>
      </c>
    </row>
    <row r="6200" spans="7:8" x14ac:dyDescent="0.3">
      <c r="G6200" s="15">
        <v>17.208333333333332</v>
      </c>
      <c r="H6200" s="3">
        <v>3.9690416666666242E-2</v>
      </c>
    </row>
    <row r="6201" spans="7:8" x14ac:dyDescent="0.3">
      <c r="G6201" s="15">
        <v>17.211111111111112</v>
      </c>
      <c r="H6201" s="3">
        <v>3.9691222222221802E-2</v>
      </c>
    </row>
    <row r="6202" spans="7:8" x14ac:dyDescent="0.3">
      <c r="G6202" s="15">
        <v>17.213888888888889</v>
      </c>
      <c r="H6202" s="3">
        <v>3.9692027777777361E-2</v>
      </c>
    </row>
    <row r="6203" spans="7:8" x14ac:dyDescent="0.3">
      <c r="G6203" s="15">
        <v>17.216666666666665</v>
      </c>
      <c r="H6203" s="3">
        <v>3.9692833333332914E-2</v>
      </c>
    </row>
    <row r="6204" spans="7:8" x14ac:dyDescent="0.3">
      <c r="G6204" s="15">
        <v>17.219444444444445</v>
      </c>
      <c r="H6204" s="3">
        <v>3.9693638888888466E-2</v>
      </c>
    </row>
    <row r="6205" spans="7:8" x14ac:dyDescent="0.3">
      <c r="G6205" s="15">
        <v>17.222222222222221</v>
      </c>
      <c r="H6205" s="3">
        <v>3.9694444444444026E-2</v>
      </c>
    </row>
    <row r="6206" spans="7:8" x14ac:dyDescent="0.3">
      <c r="G6206" s="15">
        <v>17.225000000000001</v>
      </c>
      <c r="H6206" s="3">
        <v>3.9695249999999585E-2</v>
      </c>
    </row>
    <row r="6207" spans="7:8" x14ac:dyDescent="0.3">
      <c r="G6207" s="15">
        <v>17.227777777777778</v>
      </c>
      <c r="H6207" s="3">
        <v>3.9696055555555138E-2</v>
      </c>
    </row>
    <row r="6208" spans="7:8" x14ac:dyDescent="0.3">
      <c r="G6208" s="15">
        <v>17.230555555555554</v>
      </c>
      <c r="H6208" s="3">
        <v>3.969686111111069E-2</v>
      </c>
    </row>
    <row r="6209" spans="7:8" x14ac:dyDescent="0.3">
      <c r="G6209" s="15">
        <v>17.233333333333334</v>
      </c>
      <c r="H6209" s="3">
        <v>3.9697666666666249E-2</v>
      </c>
    </row>
    <row r="6210" spans="7:8" x14ac:dyDescent="0.3">
      <c r="G6210" s="15">
        <v>17.236111111111111</v>
      </c>
      <c r="H6210" s="3">
        <v>3.9698472222221809E-2</v>
      </c>
    </row>
    <row r="6211" spans="7:8" x14ac:dyDescent="0.3">
      <c r="G6211" s="15">
        <v>17.238888888888887</v>
      </c>
      <c r="H6211" s="3">
        <v>3.9699277777777361E-2</v>
      </c>
    </row>
    <row r="6212" spans="7:8" x14ac:dyDescent="0.3">
      <c r="G6212" s="15">
        <v>17.241666666666667</v>
      </c>
      <c r="H6212" s="3">
        <v>3.9700083333332914E-2</v>
      </c>
    </row>
    <row r="6213" spans="7:8" x14ac:dyDescent="0.3">
      <c r="G6213" s="15">
        <v>17.244444444444444</v>
      </c>
      <c r="H6213" s="3">
        <v>3.9700888888888473E-2</v>
      </c>
    </row>
    <row r="6214" spans="7:8" x14ac:dyDescent="0.3">
      <c r="G6214" s="15">
        <v>17.247222222222224</v>
      </c>
      <c r="H6214" s="3">
        <v>3.9701694444444033E-2</v>
      </c>
    </row>
    <row r="6215" spans="7:8" x14ac:dyDescent="0.3">
      <c r="G6215" s="15">
        <v>17.25</v>
      </c>
      <c r="H6215" s="3">
        <v>3.9702499999999585E-2</v>
      </c>
    </row>
    <row r="6216" spans="7:8" x14ac:dyDescent="0.3">
      <c r="G6216" s="15">
        <v>17.252777777777776</v>
      </c>
      <c r="H6216" s="3">
        <v>3.9703305555555138E-2</v>
      </c>
    </row>
    <row r="6217" spans="7:8" x14ac:dyDescent="0.3">
      <c r="G6217" s="15">
        <v>17.255555555555556</v>
      </c>
      <c r="H6217" s="3">
        <v>3.9704111111110697E-2</v>
      </c>
    </row>
    <row r="6218" spans="7:8" x14ac:dyDescent="0.3">
      <c r="G6218" s="15">
        <v>17.258333333333333</v>
      </c>
      <c r="H6218" s="3">
        <v>3.9704916666666257E-2</v>
      </c>
    </row>
    <row r="6219" spans="7:8" x14ac:dyDescent="0.3">
      <c r="G6219" s="15">
        <v>17.261111111111113</v>
      </c>
      <c r="H6219" s="3">
        <v>3.9705722222221809E-2</v>
      </c>
    </row>
    <row r="6220" spans="7:8" x14ac:dyDescent="0.3">
      <c r="G6220" s="15">
        <v>17.263888888888889</v>
      </c>
      <c r="H6220" s="3">
        <v>3.9706527777777362E-2</v>
      </c>
    </row>
    <row r="6221" spans="7:8" x14ac:dyDescent="0.3">
      <c r="G6221" s="15">
        <v>17.266666666666666</v>
      </c>
      <c r="H6221" s="3">
        <v>3.9707333333332921E-2</v>
      </c>
    </row>
    <row r="6222" spans="7:8" x14ac:dyDescent="0.3">
      <c r="G6222" s="15">
        <v>17.269444444444446</v>
      </c>
      <c r="H6222" s="3">
        <v>3.9708138888888481E-2</v>
      </c>
    </row>
    <row r="6223" spans="7:8" x14ac:dyDescent="0.3">
      <c r="G6223" s="15">
        <v>17.272222222222222</v>
      </c>
      <c r="H6223" s="3">
        <v>3.9708944444444033E-2</v>
      </c>
    </row>
    <row r="6224" spans="7:8" x14ac:dyDescent="0.3">
      <c r="G6224" s="15">
        <v>17.274999999999999</v>
      </c>
      <c r="H6224" s="3">
        <v>3.9709749999999586E-2</v>
      </c>
    </row>
    <row r="6225" spans="7:8" x14ac:dyDescent="0.3">
      <c r="G6225" s="15">
        <v>17.277777777777779</v>
      </c>
      <c r="H6225" s="3">
        <v>3.9710555555555145E-2</v>
      </c>
    </row>
    <row r="6226" spans="7:8" x14ac:dyDescent="0.3">
      <c r="G6226" s="15">
        <v>17.280555555555555</v>
      </c>
      <c r="H6226" s="3">
        <v>3.9711361111110705E-2</v>
      </c>
    </row>
    <row r="6227" spans="7:8" x14ac:dyDescent="0.3">
      <c r="G6227" s="15">
        <v>17.283333333333335</v>
      </c>
      <c r="H6227" s="3">
        <v>3.9712166666666257E-2</v>
      </c>
    </row>
    <row r="6228" spans="7:8" x14ac:dyDescent="0.3">
      <c r="G6228" s="15">
        <v>17.286111111111111</v>
      </c>
      <c r="H6228" s="3">
        <v>3.971297222222181E-2</v>
      </c>
    </row>
    <row r="6229" spans="7:8" x14ac:dyDescent="0.3">
      <c r="G6229" s="15">
        <v>17.288888888888888</v>
      </c>
      <c r="H6229" s="3">
        <v>3.9713777777777369E-2</v>
      </c>
    </row>
    <row r="6230" spans="7:8" x14ac:dyDescent="0.3">
      <c r="G6230" s="15">
        <v>17.291666666666668</v>
      </c>
      <c r="H6230" s="3">
        <v>3.9714583333332928E-2</v>
      </c>
    </row>
    <row r="6231" spans="7:8" x14ac:dyDescent="0.3">
      <c r="G6231" s="15">
        <v>17.294444444444444</v>
      </c>
      <c r="H6231" s="3">
        <v>3.9715388888888481E-2</v>
      </c>
    </row>
    <row r="6232" spans="7:8" x14ac:dyDescent="0.3">
      <c r="G6232" s="15">
        <v>17.297222222222221</v>
      </c>
      <c r="H6232" s="3">
        <v>3.9716194444444033E-2</v>
      </c>
    </row>
    <row r="6233" spans="7:8" x14ac:dyDescent="0.3">
      <c r="G6233" s="15">
        <v>17.3</v>
      </c>
      <c r="H6233" s="3">
        <v>3.9716999999999593E-2</v>
      </c>
    </row>
    <row r="6234" spans="7:8" x14ac:dyDescent="0.3">
      <c r="G6234" s="15">
        <v>17.302777777777777</v>
      </c>
      <c r="H6234" s="3">
        <v>3.9717805555555152E-2</v>
      </c>
    </row>
    <row r="6235" spans="7:8" x14ac:dyDescent="0.3">
      <c r="G6235" s="15">
        <v>17.305555555555557</v>
      </c>
      <c r="H6235" s="3">
        <v>3.9718611111110705E-2</v>
      </c>
    </row>
    <row r="6236" spans="7:8" x14ac:dyDescent="0.3">
      <c r="G6236" s="15">
        <v>17.308333333333334</v>
      </c>
      <c r="H6236" s="3">
        <v>3.9719416666666257E-2</v>
      </c>
    </row>
    <row r="6237" spans="7:8" x14ac:dyDescent="0.3">
      <c r="G6237" s="15">
        <v>17.31111111111111</v>
      </c>
      <c r="H6237" s="3">
        <v>3.9720222222221817E-2</v>
      </c>
    </row>
    <row r="6238" spans="7:8" x14ac:dyDescent="0.3">
      <c r="G6238" s="15">
        <v>17.31388888888889</v>
      </c>
      <c r="H6238" s="3">
        <v>3.9721027777777376E-2</v>
      </c>
    </row>
    <row r="6239" spans="7:8" x14ac:dyDescent="0.3">
      <c r="G6239" s="15">
        <v>17.316666666666666</v>
      </c>
      <c r="H6239" s="3">
        <v>3.9721833333332929E-2</v>
      </c>
    </row>
    <row r="6240" spans="7:8" x14ac:dyDescent="0.3">
      <c r="G6240" s="15">
        <v>17.319444444444443</v>
      </c>
      <c r="H6240" s="3">
        <v>3.9722638888888481E-2</v>
      </c>
    </row>
    <row r="6241" spans="7:8" x14ac:dyDescent="0.3">
      <c r="G6241" s="15">
        <v>17.322222222222223</v>
      </c>
      <c r="H6241" s="3">
        <v>3.9723444444444041E-2</v>
      </c>
    </row>
    <row r="6242" spans="7:8" x14ac:dyDescent="0.3">
      <c r="G6242" s="15">
        <v>17.324999999999999</v>
      </c>
      <c r="H6242" s="3">
        <v>3.97242499999996E-2</v>
      </c>
    </row>
    <row r="6243" spans="7:8" x14ac:dyDescent="0.3">
      <c r="G6243" s="15">
        <v>17.327777777777779</v>
      </c>
      <c r="H6243" s="3">
        <v>3.9725055555555153E-2</v>
      </c>
    </row>
    <row r="6244" spans="7:8" x14ac:dyDescent="0.3">
      <c r="G6244" s="15">
        <v>17.330555555555556</v>
      </c>
      <c r="H6244" s="3">
        <v>3.9725861111110705E-2</v>
      </c>
    </row>
    <row r="6245" spans="7:8" x14ac:dyDescent="0.3">
      <c r="G6245" s="15">
        <v>17.333333333333332</v>
      </c>
      <c r="H6245" s="3">
        <v>3.9726666666666265E-2</v>
      </c>
    </row>
    <row r="6246" spans="7:8" x14ac:dyDescent="0.3">
      <c r="G6246" s="15">
        <v>17.336111111111112</v>
      </c>
      <c r="H6246" s="3">
        <v>3.9727472222221824E-2</v>
      </c>
    </row>
    <row r="6247" spans="7:8" x14ac:dyDescent="0.3">
      <c r="G6247" s="15">
        <v>17.338888888888889</v>
      </c>
      <c r="H6247" s="3">
        <v>3.9728277777777377E-2</v>
      </c>
    </row>
    <row r="6248" spans="7:8" x14ac:dyDescent="0.3">
      <c r="G6248" s="15">
        <v>17.341666666666665</v>
      </c>
      <c r="H6248" s="3">
        <v>3.9729083333332929E-2</v>
      </c>
    </row>
    <row r="6249" spans="7:8" x14ac:dyDescent="0.3">
      <c r="G6249" s="15">
        <v>17.344444444444445</v>
      </c>
      <c r="H6249" s="3">
        <v>3.9729888888888489E-2</v>
      </c>
    </row>
    <row r="6250" spans="7:8" x14ac:dyDescent="0.3">
      <c r="G6250" s="15">
        <v>17.347222222222221</v>
      </c>
      <c r="H6250" s="3">
        <v>3.9730694444444048E-2</v>
      </c>
    </row>
    <row r="6251" spans="7:8" x14ac:dyDescent="0.3">
      <c r="G6251" s="15">
        <v>17.350000000000001</v>
      </c>
      <c r="H6251" s="3">
        <v>3.97314999999996E-2</v>
      </c>
    </row>
    <row r="6252" spans="7:8" x14ac:dyDescent="0.3">
      <c r="G6252" s="15">
        <v>17.352777777777778</v>
      </c>
      <c r="H6252" s="3">
        <v>3.9732305555555153E-2</v>
      </c>
    </row>
    <row r="6253" spans="7:8" x14ac:dyDescent="0.3">
      <c r="G6253" s="15">
        <v>17.355555555555554</v>
      </c>
      <c r="H6253" s="3">
        <v>3.9733111111110712E-2</v>
      </c>
    </row>
    <row r="6254" spans="7:8" x14ac:dyDescent="0.3">
      <c r="G6254" s="15">
        <v>17.358333333333334</v>
      </c>
      <c r="H6254" s="3">
        <v>3.9733916666666272E-2</v>
      </c>
    </row>
    <row r="6255" spans="7:8" x14ac:dyDescent="0.3">
      <c r="G6255" s="15">
        <v>17.361111111111111</v>
      </c>
      <c r="H6255" s="3">
        <v>3.9734722222221824E-2</v>
      </c>
    </row>
    <row r="6256" spans="7:8" x14ac:dyDescent="0.3">
      <c r="G6256" s="15">
        <v>17.363888888888887</v>
      </c>
      <c r="H6256" s="3">
        <v>3.9735527777777377E-2</v>
      </c>
    </row>
    <row r="6257" spans="7:8" x14ac:dyDescent="0.3">
      <c r="G6257" s="15">
        <v>17.366666666666667</v>
      </c>
      <c r="H6257" s="3">
        <v>3.9736333333332936E-2</v>
      </c>
    </row>
    <row r="6258" spans="7:8" x14ac:dyDescent="0.3">
      <c r="G6258" s="15">
        <v>17.369444444444444</v>
      </c>
      <c r="H6258" s="3">
        <v>3.9737138888888496E-2</v>
      </c>
    </row>
    <row r="6259" spans="7:8" x14ac:dyDescent="0.3">
      <c r="G6259" s="15">
        <v>17.372222222222224</v>
      </c>
      <c r="H6259" s="3">
        <v>3.9737944444444048E-2</v>
      </c>
    </row>
    <row r="6260" spans="7:8" x14ac:dyDescent="0.3">
      <c r="G6260" s="15">
        <v>17.375</v>
      </c>
      <c r="H6260" s="3">
        <v>3.9738749999999601E-2</v>
      </c>
    </row>
    <row r="6261" spans="7:8" x14ac:dyDescent="0.3">
      <c r="G6261" s="15">
        <v>17.377777777777776</v>
      </c>
      <c r="H6261" s="3">
        <v>3.973955555555516E-2</v>
      </c>
    </row>
    <row r="6262" spans="7:8" x14ac:dyDescent="0.3">
      <c r="G6262" s="15">
        <v>17.380555555555556</v>
      </c>
      <c r="H6262" s="3">
        <v>3.974036111111072E-2</v>
      </c>
    </row>
    <row r="6263" spans="7:8" x14ac:dyDescent="0.3">
      <c r="G6263" s="15">
        <v>17.383333333333333</v>
      </c>
      <c r="H6263" s="3">
        <v>3.9741166666666272E-2</v>
      </c>
    </row>
    <row r="6264" spans="7:8" x14ac:dyDescent="0.3">
      <c r="G6264" s="15">
        <v>17.386111111111113</v>
      </c>
      <c r="H6264" s="3">
        <v>3.9741972222221825E-2</v>
      </c>
    </row>
    <row r="6265" spans="7:8" x14ac:dyDescent="0.3">
      <c r="G6265" s="15">
        <v>17.388888888888889</v>
      </c>
      <c r="H6265" s="3">
        <v>3.9742777777777384E-2</v>
      </c>
    </row>
    <row r="6266" spans="7:8" x14ac:dyDescent="0.3">
      <c r="G6266" s="15">
        <v>17.391666666666666</v>
      </c>
      <c r="H6266" s="3">
        <v>3.9743583333332944E-2</v>
      </c>
    </row>
    <row r="6267" spans="7:8" x14ac:dyDescent="0.3">
      <c r="G6267" s="15">
        <v>17.394444444444446</v>
      </c>
      <c r="H6267" s="3">
        <v>3.9744388888888496E-2</v>
      </c>
    </row>
    <row r="6268" spans="7:8" x14ac:dyDescent="0.3">
      <c r="G6268" s="15">
        <v>17.397222222222222</v>
      </c>
      <c r="H6268" s="3">
        <v>3.9745194444444049E-2</v>
      </c>
    </row>
    <row r="6269" spans="7:8" x14ac:dyDescent="0.3">
      <c r="G6269" s="15">
        <v>17.399999999999999</v>
      </c>
      <c r="H6269" s="3">
        <v>3.9745999999999608E-2</v>
      </c>
    </row>
    <row r="6270" spans="7:8" x14ac:dyDescent="0.3">
      <c r="G6270" s="15">
        <v>17.402777777777779</v>
      </c>
      <c r="H6270" s="3">
        <v>3.9746805555555167E-2</v>
      </c>
    </row>
    <row r="6271" spans="7:8" x14ac:dyDescent="0.3">
      <c r="G6271" s="15">
        <v>17.405555555555555</v>
      </c>
      <c r="H6271" s="3">
        <v>3.974761111111072E-2</v>
      </c>
    </row>
    <row r="6272" spans="7:8" x14ac:dyDescent="0.3">
      <c r="G6272" s="15">
        <v>17.408333333333335</v>
      </c>
      <c r="H6272" s="3">
        <v>3.9748416666666272E-2</v>
      </c>
    </row>
    <row r="6273" spans="7:8" x14ac:dyDescent="0.3">
      <c r="G6273" s="15">
        <v>17.411111111111111</v>
      </c>
      <c r="H6273" s="3">
        <v>3.9749222222221832E-2</v>
      </c>
    </row>
    <row r="6274" spans="7:8" x14ac:dyDescent="0.3">
      <c r="G6274" s="15">
        <v>17.413888888888888</v>
      </c>
      <c r="H6274" s="3">
        <v>3.9750027777777391E-2</v>
      </c>
    </row>
    <row r="6275" spans="7:8" x14ac:dyDescent="0.3">
      <c r="G6275" s="15">
        <v>17.416666666666668</v>
      </c>
      <c r="H6275" s="3">
        <v>3.9750833333332944E-2</v>
      </c>
    </row>
    <row r="6276" spans="7:8" x14ac:dyDescent="0.3">
      <c r="G6276" s="15">
        <v>17.419444444444444</v>
      </c>
      <c r="H6276" s="3">
        <v>3.9751638888888496E-2</v>
      </c>
    </row>
    <row r="6277" spans="7:8" x14ac:dyDescent="0.3">
      <c r="G6277" s="15">
        <v>17.422222222222221</v>
      </c>
      <c r="H6277" s="3">
        <v>3.9752444444444056E-2</v>
      </c>
    </row>
    <row r="6278" spans="7:8" x14ac:dyDescent="0.3">
      <c r="G6278" s="15">
        <v>17.425000000000001</v>
      </c>
      <c r="H6278" s="3">
        <v>3.9753249999999615E-2</v>
      </c>
    </row>
    <row r="6279" spans="7:8" x14ac:dyDescent="0.3">
      <c r="G6279" s="15">
        <v>17.427777777777777</v>
      </c>
      <c r="H6279" s="3">
        <v>3.9754055555555168E-2</v>
      </c>
    </row>
    <row r="6280" spans="7:8" x14ac:dyDescent="0.3">
      <c r="G6280" s="15">
        <v>17.430555555555557</v>
      </c>
      <c r="H6280" s="3">
        <v>3.975486111111072E-2</v>
      </c>
    </row>
    <row r="6281" spans="7:8" x14ac:dyDescent="0.3">
      <c r="G6281" s="15">
        <v>17.433333333333334</v>
      </c>
      <c r="H6281" s="3">
        <v>3.975566666666628E-2</v>
      </c>
    </row>
    <row r="6282" spans="7:8" x14ac:dyDescent="0.3">
      <c r="G6282" s="15">
        <v>17.43611111111111</v>
      </c>
      <c r="H6282" s="3">
        <v>3.9756472222221839E-2</v>
      </c>
    </row>
    <row r="6283" spans="7:8" x14ac:dyDescent="0.3">
      <c r="G6283" s="15">
        <v>17.43888888888889</v>
      </c>
      <c r="H6283" s="3">
        <v>3.9757277777777392E-2</v>
      </c>
    </row>
    <row r="6284" spans="7:8" x14ac:dyDescent="0.3">
      <c r="G6284" s="15">
        <v>17.441666666666666</v>
      </c>
      <c r="H6284" s="3">
        <v>3.9758083333332944E-2</v>
      </c>
    </row>
    <row r="6285" spans="7:8" x14ac:dyDescent="0.3">
      <c r="G6285" s="15">
        <v>17.444444444444443</v>
      </c>
      <c r="H6285" s="3">
        <v>3.9758888888888504E-2</v>
      </c>
    </row>
    <row r="6286" spans="7:8" x14ac:dyDescent="0.3">
      <c r="G6286" s="15">
        <v>17.447222222222223</v>
      </c>
      <c r="H6286" s="3">
        <v>3.9759694444444063E-2</v>
      </c>
    </row>
    <row r="6287" spans="7:8" x14ac:dyDescent="0.3">
      <c r="G6287" s="15">
        <v>17.45</v>
      </c>
      <c r="H6287" s="3">
        <v>3.9760499999999616E-2</v>
      </c>
    </row>
    <row r="6288" spans="7:8" x14ac:dyDescent="0.3">
      <c r="G6288" s="15">
        <v>17.452777777777779</v>
      </c>
      <c r="H6288" s="3">
        <v>3.9761305555555168E-2</v>
      </c>
    </row>
    <row r="6289" spans="7:8" x14ac:dyDescent="0.3">
      <c r="G6289" s="15">
        <v>17.455555555555556</v>
      </c>
      <c r="H6289" s="3">
        <v>3.9762111111110728E-2</v>
      </c>
    </row>
    <row r="6290" spans="7:8" x14ac:dyDescent="0.3">
      <c r="G6290" s="15">
        <v>17.458333333333332</v>
      </c>
      <c r="H6290" s="3">
        <v>3.9762916666666287E-2</v>
      </c>
    </row>
    <row r="6291" spans="7:8" x14ac:dyDescent="0.3">
      <c r="G6291" s="15">
        <v>17.461111111111112</v>
      </c>
      <c r="H6291" s="3">
        <v>3.9763722222221839E-2</v>
      </c>
    </row>
    <row r="6292" spans="7:8" x14ac:dyDescent="0.3">
      <c r="G6292" s="15">
        <v>17.463888888888889</v>
      </c>
      <c r="H6292" s="3">
        <v>3.9764527777777392E-2</v>
      </c>
    </row>
    <row r="6293" spans="7:8" x14ac:dyDescent="0.3">
      <c r="G6293" s="15">
        <v>17.466666666666665</v>
      </c>
      <c r="H6293" s="3">
        <v>3.9765333333332951E-2</v>
      </c>
    </row>
    <row r="6294" spans="7:8" x14ac:dyDescent="0.3">
      <c r="G6294" s="15">
        <v>17.469444444444445</v>
      </c>
      <c r="H6294" s="3">
        <v>3.9766138888888511E-2</v>
      </c>
    </row>
    <row r="6295" spans="7:8" x14ac:dyDescent="0.3">
      <c r="G6295" s="15">
        <v>17.472222222222221</v>
      </c>
      <c r="H6295" s="3">
        <v>3.9766944444444063E-2</v>
      </c>
    </row>
    <row r="6296" spans="7:8" x14ac:dyDescent="0.3">
      <c r="G6296" s="15">
        <v>17.475000000000001</v>
      </c>
      <c r="H6296" s="3">
        <v>3.9767749999999616E-2</v>
      </c>
    </row>
    <row r="6297" spans="7:8" x14ac:dyDescent="0.3">
      <c r="G6297" s="15">
        <v>17.477777777777778</v>
      </c>
      <c r="H6297" s="3">
        <v>3.9768555555555175E-2</v>
      </c>
    </row>
    <row r="6298" spans="7:8" x14ac:dyDescent="0.3">
      <c r="G6298" s="15">
        <v>17.480555555555554</v>
      </c>
      <c r="H6298" s="3">
        <v>3.9769361111110735E-2</v>
      </c>
    </row>
    <row r="6299" spans="7:8" x14ac:dyDescent="0.3">
      <c r="G6299" s="15">
        <v>17.483333333333334</v>
      </c>
      <c r="H6299" s="3">
        <v>3.9770166666666287E-2</v>
      </c>
    </row>
    <row r="6300" spans="7:8" x14ac:dyDescent="0.3">
      <c r="G6300" s="15">
        <v>17.486111111111111</v>
      </c>
      <c r="H6300" s="3">
        <v>3.977097222222184E-2</v>
      </c>
    </row>
    <row r="6301" spans="7:8" x14ac:dyDescent="0.3">
      <c r="G6301" s="15">
        <v>17.488888888888887</v>
      </c>
      <c r="H6301" s="3">
        <v>3.9771777777777399E-2</v>
      </c>
    </row>
    <row r="6302" spans="7:8" x14ac:dyDescent="0.3">
      <c r="G6302" s="15">
        <v>17.491666666666667</v>
      </c>
      <c r="H6302" s="3">
        <v>3.9772583333332959E-2</v>
      </c>
    </row>
    <row r="6303" spans="7:8" x14ac:dyDescent="0.3">
      <c r="G6303" s="15">
        <v>17.494444444444444</v>
      </c>
      <c r="H6303" s="3">
        <v>3.9773388888888511E-2</v>
      </c>
    </row>
    <row r="6304" spans="7:8" x14ac:dyDescent="0.3">
      <c r="G6304" s="15">
        <v>17.497222222222224</v>
      </c>
      <c r="H6304" s="3">
        <v>3.9774194444444064E-2</v>
      </c>
    </row>
    <row r="6305" spans="7:8" x14ac:dyDescent="0.3">
      <c r="G6305" s="15">
        <v>17.5</v>
      </c>
      <c r="H6305" s="3">
        <v>3.9774999999999623E-2</v>
      </c>
    </row>
    <row r="6306" spans="7:8" x14ac:dyDescent="0.3">
      <c r="G6306" s="15">
        <v>17.502777777777776</v>
      </c>
      <c r="H6306" s="3">
        <v>3.9775805555555183E-2</v>
      </c>
    </row>
    <row r="6307" spans="7:8" x14ac:dyDescent="0.3">
      <c r="G6307" s="15">
        <v>17.505555555555556</v>
      </c>
      <c r="H6307" s="3">
        <v>3.9776611111110735E-2</v>
      </c>
    </row>
    <row r="6308" spans="7:8" x14ac:dyDescent="0.3">
      <c r="G6308" s="15">
        <v>17.508333333333333</v>
      </c>
      <c r="H6308" s="3">
        <v>3.9777416666666288E-2</v>
      </c>
    </row>
    <row r="6309" spans="7:8" x14ac:dyDescent="0.3">
      <c r="G6309" s="15">
        <v>17.511111111111113</v>
      </c>
      <c r="H6309" s="3">
        <v>3.9778222222221847E-2</v>
      </c>
    </row>
    <row r="6310" spans="7:8" x14ac:dyDescent="0.3">
      <c r="G6310" s="15">
        <v>17.513888888888889</v>
      </c>
      <c r="H6310" s="3">
        <v>3.9779027777777407E-2</v>
      </c>
    </row>
    <row r="6311" spans="7:8" x14ac:dyDescent="0.3">
      <c r="G6311" s="15">
        <v>17.516666666666666</v>
      </c>
      <c r="H6311" s="3">
        <v>3.9779833333332959E-2</v>
      </c>
    </row>
    <row r="6312" spans="7:8" x14ac:dyDescent="0.3">
      <c r="G6312" s="15">
        <v>17.519444444444446</v>
      </c>
      <c r="H6312" s="3">
        <v>3.9780638888888512E-2</v>
      </c>
    </row>
    <row r="6313" spans="7:8" x14ac:dyDescent="0.3">
      <c r="G6313" s="15">
        <v>17.522222222222222</v>
      </c>
      <c r="H6313" s="3">
        <v>3.9781444444444071E-2</v>
      </c>
    </row>
    <row r="6314" spans="7:8" x14ac:dyDescent="0.3">
      <c r="G6314" s="15">
        <v>17.524999999999999</v>
      </c>
      <c r="H6314" s="3">
        <v>3.978224999999963E-2</v>
      </c>
    </row>
    <row r="6315" spans="7:8" x14ac:dyDescent="0.3">
      <c r="G6315" s="15">
        <v>17.527777777777779</v>
      </c>
      <c r="H6315" s="3">
        <v>3.9783055555555183E-2</v>
      </c>
    </row>
    <row r="6316" spans="7:8" x14ac:dyDescent="0.3">
      <c r="G6316" s="15">
        <v>17.530555555555555</v>
      </c>
      <c r="H6316" s="3">
        <v>3.9783861111110735E-2</v>
      </c>
    </row>
    <row r="6317" spans="7:8" x14ac:dyDescent="0.3">
      <c r="G6317" s="15">
        <v>17.533333333333335</v>
      </c>
      <c r="H6317" s="3">
        <v>3.9784666666666295E-2</v>
      </c>
    </row>
    <row r="6318" spans="7:8" x14ac:dyDescent="0.3">
      <c r="G6318" s="15">
        <v>17.536111111111111</v>
      </c>
      <c r="H6318" s="3">
        <v>3.9785472222221854E-2</v>
      </c>
    </row>
    <row r="6319" spans="7:8" x14ac:dyDescent="0.3">
      <c r="G6319" s="15">
        <v>17.538888888888888</v>
      </c>
      <c r="H6319" s="3">
        <v>3.9786277777777407E-2</v>
      </c>
    </row>
    <row r="6320" spans="7:8" x14ac:dyDescent="0.3">
      <c r="G6320" s="15">
        <v>17.541666666666668</v>
      </c>
      <c r="H6320" s="3">
        <v>3.9787083333332959E-2</v>
      </c>
    </row>
    <row r="6321" spans="7:8" x14ac:dyDescent="0.3">
      <c r="G6321" s="15">
        <v>17.544444444444444</v>
      </c>
      <c r="H6321" s="3">
        <v>3.9787888888888519E-2</v>
      </c>
    </row>
    <row r="6322" spans="7:8" x14ac:dyDescent="0.3">
      <c r="G6322" s="15">
        <v>17.547222222222221</v>
      </c>
      <c r="H6322" s="3">
        <v>3.9788694444444078E-2</v>
      </c>
    </row>
    <row r="6323" spans="7:8" x14ac:dyDescent="0.3">
      <c r="G6323" s="15">
        <v>17.55</v>
      </c>
      <c r="H6323" s="3">
        <v>3.9789499999999631E-2</v>
      </c>
    </row>
    <row r="6324" spans="7:8" x14ac:dyDescent="0.3">
      <c r="G6324" s="15">
        <v>17.552777777777777</v>
      </c>
      <c r="H6324" s="3">
        <v>3.9790305555555183E-2</v>
      </c>
    </row>
    <row r="6325" spans="7:8" x14ac:dyDescent="0.3">
      <c r="G6325" s="15">
        <v>17.555555555555557</v>
      </c>
      <c r="H6325" s="3">
        <v>3.9791111111110743E-2</v>
      </c>
    </row>
    <row r="6326" spans="7:8" x14ac:dyDescent="0.3">
      <c r="G6326" s="15">
        <v>17.558333333333334</v>
      </c>
      <c r="H6326" s="3">
        <v>3.9791916666666302E-2</v>
      </c>
    </row>
    <row r="6327" spans="7:8" x14ac:dyDescent="0.3">
      <c r="G6327" s="15">
        <v>17.56111111111111</v>
      </c>
      <c r="H6327" s="3">
        <v>3.9792722222221855E-2</v>
      </c>
    </row>
    <row r="6328" spans="7:8" x14ac:dyDescent="0.3">
      <c r="G6328" s="15">
        <v>17.56388888888889</v>
      </c>
      <c r="H6328" s="3">
        <v>3.9793527777777407E-2</v>
      </c>
    </row>
    <row r="6329" spans="7:8" x14ac:dyDescent="0.3">
      <c r="G6329" s="15">
        <v>17.566666666666666</v>
      </c>
      <c r="H6329" s="3">
        <v>3.9794333333332967E-2</v>
      </c>
    </row>
    <row r="6330" spans="7:8" x14ac:dyDescent="0.3">
      <c r="G6330" s="15">
        <v>17.569444444444443</v>
      </c>
      <c r="H6330" s="3">
        <v>3.9795138888888526E-2</v>
      </c>
    </row>
    <row r="6331" spans="7:8" x14ac:dyDescent="0.3">
      <c r="G6331" s="15">
        <v>17.572222222222223</v>
      </c>
      <c r="H6331" s="3">
        <v>3.9795944444444079E-2</v>
      </c>
    </row>
    <row r="6332" spans="7:8" x14ac:dyDescent="0.3">
      <c r="G6332" s="15">
        <v>17.574999999999999</v>
      </c>
      <c r="H6332" s="3">
        <v>3.9796749999999631E-2</v>
      </c>
    </row>
    <row r="6333" spans="7:8" x14ac:dyDescent="0.3">
      <c r="G6333" s="15">
        <v>17.577777777777779</v>
      </c>
      <c r="H6333" s="3">
        <v>3.979755555555519E-2</v>
      </c>
    </row>
    <row r="6334" spans="7:8" x14ac:dyDescent="0.3">
      <c r="G6334" s="15">
        <v>17.580555555555556</v>
      </c>
      <c r="H6334" s="3">
        <v>3.979836111111075E-2</v>
      </c>
    </row>
    <row r="6335" spans="7:8" x14ac:dyDescent="0.3">
      <c r="G6335" s="15">
        <v>17.583333333333332</v>
      </c>
      <c r="H6335" s="3">
        <v>3.9799166666666302E-2</v>
      </c>
    </row>
    <row r="6336" spans="7:8" x14ac:dyDescent="0.3">
      <c r="G6336" s="15">
        <v>17.586111111111112</v>
      </c>
      <c r="H6336" s="3">
        <v>3.9799972222221855E-2</v>
      </c>
    </row>
    <row r="6337" spans="7:8" x14ac:dyDescent="0.3">
      <c r="G6337" s="15">
        <v>17.588888888888889</v>
      </c>
      <c r="H6337" s="3">
        <v>3.9800777777777414E-2</v>
      </c>
    </row>
    <row r="6338" spans="7:8" x14ac:dyDescent="0.3">
      <c r="G6338" s="15">
        <v>17.591666666666665</v>
      </c>
      <c r="H6338" s="3">
        <v>3.9801583333332974E-2</v>
      </c>
    </row>
    <row r="6339" spans="7:8" x14ac:dyDescent="0.3">
      <c r="G6339" s="15">
        <v>17.594444444444445</v>
      </c>
      <c r="H6339" s="3">
        <v>3.9802388888888526E-2</v>
      </c>
    </row>
    <row r="6340" spans="7:8" x14ac:dyDescent="0.3">
      <c r="G6340" s="15">
        <v>17.597222222222221</v>
      </c>
      <c r="H6340" s="3">
        <v>3.9803194444444079E-2</v>
      </c>
    </row>
    <row r="6341" spans="7:8" x14ac:dyDescent="0.3">
      <c r="G6341" s="15">
        <v>17.600000000000001</v>
      </c>
      <c r="H6341" s="3">
        <v>3.9803999999999638E-2</v>
      </c>
    </row>
    <row r="6342" spans="7:8" x14ac:dyDescent="0.3">
      <c r="G6342" s="15">
        <v>17.602777777777778</v>
      </c>
      <c r="H6342" s="3">
        <v>3.9804805555555198E-2</v>
      </c>
    </row>
    <row r="6343" spans="7:8" x14ac:dyDescent="0.3">
      <c r="G6343" s="15">
        <v>17.605555555555554</v>
      </c>
      <c r="H6343" s="3">
        <v>3.980561111111075E-2</v>
      </c>
    </row>
    <row r="6344" spans="7:8" x14ac:dyDescent="0.3">
      <c r="G6344" s="15">
        <v>17.608333333333334</v>
      </c>
      <c r="H6344" s="3">
        <v>3.9806416666666303E-2</v>
      </c>
    </row>
    <row r="6345" spans="7:8" x14ac:dyDescent="0.3">
      <c r="G6345" s="15">
        <v>17.611111111111111</v>
      </c>
      <c r="H6345" s="3">
        <v>3.9807222222221862E-2</v>
      </c>
    </row>
    <row r="6346" spans="7:8" x14ac:dyDescent="0.3">
      <c r="G6346" s="15">
        <v>17.613888888888887</v>
      </c>
      <c r="H6346" s="3">
        <v>3.9808027777777422E-2</v>
      </c>
    </row>
    <row r="6347" spans="7:8" x14ac:dyDescent="0.3">
      <c r="G6347" s="15">
        <v>17.616666666666667</v>
      </c>
      <c r="H6347" s="3">
        <v>3.9808833333332974E-2</v>
      </c>
    </row>
    <row r="6348" spans="7:8" x14ac:dyDescent="0.3">
      <c r="G6348" s="15">
        <v>17.619444444444444</v>
      </c>
      <c r="H6348" s="3">
        <v>3.9809638888888527E-2</v>
      </c>
    </row>
    <row r="6349" spans="7:8" x14ac:dyDescent="0.3">
      <c r="G6349" s="15">
        <v>17.622222222222224</v>
      </c>
      <c r="H6349" s="3">
        <v>3.9810444444444086E-2</v>
      </c>
    </row>
    <row r="6350" spans="7:8" x14ac:dyDescent="0.3">
      <c r="G6350" s="15">
        <v>17.625</v>
      </c>
      <c r="H6350" s="3">
        <v>3.9811249999999646E-2</v>
      </c>
    </row>
    <row r="6351" spans="7:8" x14ac:dyDescent="0.3">
      <c r="G6351" s="15">
        <v>17.627777777777776</v>
      </c>
      <c r="H6351" s="3">
        <v>3.9812055555555198E-2</v>
      </c>
    </row>
    <row r="6352" spans="7:8" x14ac:dyDescent="0.3">
      <c r="G6352" s="15">
        <v>17.630555555555556</v>
      </c>
      <c r="H6352" s="3">
        <v>3.9812861111110751E-2</v>
      </c>
    </row>
    <row r="6353" spans="7:8" x14ac:dyDescent="0.3">
      <c r="G6353" s="15">
        <v>17.633333333333333</v>
      </c>
      <c r="H6353" s="3">
        <v>3.981366666666631E-2</v>
      </c>
    </row>
    <row r="6354" spans="7:8" x14ac:dyDescent="0.3">
      <c r="G6354" s="15">
        <v>17.636111111111113</v>
      </c>
      <c r="H6354" s="3">
        <v>3.9814472222221869E-2</v>
      </c>
    </row>
    <row r="6355" spans="7:8" x14ac:dyDescent="0.3">
      <c r="G6355" s="15">
        <v>17.638888888888889</v>
      </c>
      <c r="H6355" s="3">
        <v>3.9815277777777422E-2</v>
      </c>
    </row>
    <row r="6356" spans="7:8" x14ac:dyDescent="0.3">
      <c r="G6356" s="15">
        <v>17.641666666666666</v>
      </c>
      <c r="H6356" s="3">
        <v>3.9816083333332974E-2</v>
      </c>
    </row>
    <row r="6357" spans="7:8" x14ac:dyDescent="0.3">
      <c r="G6357" s="15">
        <v>17.644444444444446</v>
      </c>
      <c r="H6357" s="3">
        <v>3.9816888888888534E-2</v>
      </c>
    </row>
    <row r="6358" spans="7:8" x14ac:dyDescent="0.3">
      <c r="G6358" s="15">
        <v>17.647222222222222</v>
      </c>
      <c r="H6358" s="3">
        <v>3.9817694444444093E-2</v>
      </c>
    </row>
    <row r="6359" spans="7:8" x14ac:dyDescent="0.3">
      <c r="G6359" s="15">
        <v>17.649999999999999</v>
      </c>
      <c r="H6359" s="3">
        <v>3.9818499999999646E-2</v>
      </c>
    </row>
    <row r="6360" spans="7:8" x14ac:dyDescent="0.3">
      <c r="G6360" s="15">
        <v>17.652777777777779</v>
      </c>
      <c r="H6360" s="3">
        <v>3.9819305555555198E-2</v>
      </c>
    </row>
    <row r="6361" spans="7:8" x14ac:dyDescent="0.3">
      <c r="G6361" s="15">
        <v>17.655555555555555</v>
      </c>
      <c r="H6361" s="3">
        <v>3.9820111111110758E-2</v>
      </c>
    </row>
    <row r="6362" spans="7:8" x14ac:dyDescent="0.3">
      <c r="G6362" s="15">
        <v>17.658333333333335</v>
      </c>
      <c r="H6362" s="3">
        <v>3.9820916666666317E-2</v>
      </c>
    </row>
    <row r="6363" spans="7:8" x14ac:dyDescent="0.3">
      <c r="G6363" s="15">
        <v>17.661111111111111</v>
      </c>
      <c r="H6363" s="3">
        <v>3.982172222222187E-2</v>
      </c>
    </row>
    <row r="6364" spans="7:8" x14ac:dyDescent="0.3">
      <c r="G6364" s="15">
        <v>17.663888888888888</v>
      </c>
      <c r="H6364" s="3">
        <v>3.9822527777777422E-2</v>
      </c>
    </row>
    <row r="6365" spans="7:8" x14ac:dyDescent="0.3">
      <c r="G6365" s="15">
        <v>17.666666666666668</v>
      </c>
      <c r="H6365" s="3">
        <v>3.9823333333332982E-2</v>
      </c>
    </row>
    <row r="6366" spans="7:8" x14ac:dyDescent="0.3">
      <c r="G6366" s="15">
        <v>17.669444444444444</v>
      </c>
      <c r="H6366" s="3">
        <v>3.9824138888888541E-2</v>
      </c>
    </row>
    <row r="6367" spans="7:8" x14ac:dyDescent="0.3">
      <c r="G6367" s="15">
        <v>17.672222222222221</v>
      </c>
      <c r="H6367" s="3">
        <v>3.9824944444444094E-2</v>
      </c>
    </row>
    <row r="6368" spans="7:8" x14ac:dyDescent="0.3">
      <c r="G6368" s="15">
        <v>17.675000000000001</v>
      </c>
      <c r="H6368" s="3">
        <v>3.9825749999999646E-2</v>
      </c>
    </row>
    <row r="6369" spans="7:8" x14ac:dyDescent="0.3">
      <c r="G6369" s="15">
        <v>17.677777777777777</v>
      </c>
      <c r="H6369" s="3">
        <v>3.9826555555555206E-2</v>
      </c>
    </row>
    <row r="6370" spans="7:8" x14ac:dyDescent="0.3">
      <c r="G6370" s="15">
        <v>17.680555555555557</v>
      </c>
      <c r="H6370" s="3">
        <v>3.9827361111110765E-2</v>
      </c>
    </row>
    <row r="6371" spans="7:8" x14ac:dyDescent="0.3">
      <c r="G6371" s="15">
        <v>17.683333333333334</v>
      </c>
      <c r="H6371" s="3">
        <v>3.9828166666666318E-2</v>
      </c>
    </row>
    <row r="6372" spans="7:8" x14ac:dyDescent="0.3">
      <c r="G6372" s="15">
        <v>17.68611111111111</v>
      </c>
      <c r="H6372" s="3">
        <v>3.982897222222187E-2</v>
      </c>
    </row>
    <row r="6373" spans="7:8" x14ac:dyDescent="0.3">
      <c r="G6373" s="15">
        <v>17.68888888888889</v>
      </c>
      <c r="H6373" s="3">
        <v>3.982977777777743E-2</v>
      </c>
    </row>
    <row r="6374" spans="7:8" x14ac:dyDescent="0.3">
      <c r="G6374" s="15">
        <v>17.691666666666666</v>
      </c>
      <c r="H6374" s="3">
        <v>3.9830583333332989E-2</v>
      </c>
    </row>
    <row r="6375" spans="7:8" x14ac:dyDescent="0.3">
      <c r="G6375" s="15">
        <v>17.694444444444443</v>
      </c>
      <c r="H6375" s="3">
        <v>3.9831388888888541E-2</v>
      </c>
    </row>
    <row r="6376" spans="7:8" x14ac:dyDescent="0.3">
      <c r="G6376" s="15">
        <v>17.697222222222223</v>
      </c>
      <c r="H6376" s="3">
        <v>3.9832194444444094E-2</v>
      </c>
    </row>
    <row r="6377" spans="7:8" x14ac:dyDescent="0.3">
      <c r="G6377" s="15">
        <v>17.7</v>
      </c>
      <c r="H6377" s="3">
        <v>3.9832999999999653E-2</v>
      </c>
    </row>
    <row r="6378" spans="7:8" x14ac:dyDescent="0.3">
      <c r="G6378" s="15">
        <v>17.702777777777779</v>
      </c>
      <c r="H6378" s="3">
        <v>3.9833805555555213E-2</v>
      </c>
    </row>
    <row r="6379" spans="7:8" x14ac:dyDescent="0.3">
      <c r="G6379" s="15">
        <v>17.705555555555556</v>
      </c>
      <c r="H6379" s="3">
        <v>3.9834611111110765E-2</v>
      </c>
    </row>
    <row r="6380" spans="7:8" x14ac:dyDescent="0.3">
      <c r="G6380" s="15">
        <v>17.708333333333332</v>
      </c>
      <c r="H6380" s="3">
        <v>3.9835416666666318E-2</v>
      </c>
    </row>
    <row r="6381" spans="7:8" x14ac:dyDescent="0.3">
      <c r="G6381" s="15">
        <v>17.711111111111112</v>
      </c>
      <c r="H6381" s="3">
        <v>3.9836222222221877E-2</v>
      </c>
    </row>
    <row r="6382" spans="7:8" x14ac:dyDescent="0.3">
      <c r="G6382" s="15">
        <v>17.713888888888889</v>
      </c>
      <c r="H6382" s="3">
        <v>3.9837027777777437E-2</v>
      </c>
    </row>
    <row r="6383" spans="7:8" x14ac:dyDescent="0.3">
      <c r="G6383" s="15">
        <v>17.716666666666665</v>
      </c>
      <c r="H6383" s="3">
        <v>3.9837833333332989E-2</v>
      </c>
    </row>
    <row r="6384" spans="7:8" x14ac:dyDescent="0.3">
      <c r="G6384" s="15">
        <v>17.719444444444445</v>
      </c>
      <c r="H6384" s="3">
        <v>3.9838638888888542E-2</v>
      </c>
    </row>
    <row r="6385" spans="7:8" x14ac:dyDescent="0.3">
      <c r="G6385" s="15">
        <v>17.722222222222221</v>
      </c>
      <c r="H6385" s="3">
        <v>3.9839444444444101E-2</v>
      </c>
    </row>
    <row r="6386" spans="7:8" x14ac:dyDescent="0.3">
      <c r="G6386" s="15">
        <v>17.725000000000001</v>
      </c>
      <c r="H6386" s="3">
        <v>3.9840249999999661E-2</v>
      </c>
    </row>
    <row r="6387" spans="7:8" x14ac:dyDescent="0.3">
      <c r="G6387" s="15">
        <v>17.727777777777778</v>
      </c>
      <c r="H6387" s="3">
        <v>3.9841055555555213E-2</v>
      </c>
    </row>
    <row r="6388" spans="7:8" x14ac:dyDescent="0.3">
      <c r="G6388" s="15">
        <v>17.730555555555554</v>
      </c>
      <c r="H6388" s="3">
        <v>3.9841861111110766E-2</v>
      </c>
    </row>
    <row r="6389" spans="7:8" x14ac:dyDescent="0.3">
      <c r="G6389" s="15">
        <v>17.733333333333334</v>
      </c>
      <c r="H6389" s="3">
        <v>3.9842666666666325E-2</v>
      </c>
    </row>
    <row r="6390" spans="7:8" x14ac:dyDescent="0.3">
      <c r="G6390" s="15">
        <v>17.736111111111111</v>
      </c>
      <c r="H6390" s="3">
        <v>3.9843472222221885E-2</v>
      </c>
    </row>
    <row r="6391" spans="7:8" x14ac:dyDescent="0.3">
      <c r="G6391" s="15">
        <v>17.738888888888887</v>
      </c>
      <c r="H6391" s="3">
        <v>3.9844277777777437E-2</v>
      </c>
    </row>
    <row r="6392" spans="7:8" x14ac:dyDescent="0.3">
      <c r="G6392" s="15">
        <v>17.741666666666667</v>
      </c>
      <c r="H6392" s="3">
        <v>3.984508333333299E-2</v>
      </c>
    </row>
    <row r="6393" spans="7:8" x14ac:dyDescent="0.3">
      <c r="G6393" s="15">
        <v>17.744444444444444</v>
      </c>
      <c r="H6393" s="3">
        <v>3.9845888888888549E-2</v>
      </c>
    </row>
    <row r="6394" spans="7:8" x14ac:dyDescent="0.3">
      <c r="G6394" s="15">
        <v>17.747222222222224</v>
      </c>
      <c r="H6394" s="3">
        <v>3.9846694444444108E-2</v>
      </c>
    </row>
    <row r="6395" spans="7:8" x14ac:dyDescent="0.3">
      <c r="G6395" s="15">
        <v>17.75</v>
      </c>
      <c r="H6395" s="3">
        <v>3.9847499999999661E-2</v>
      </c>
    </row>
    <row r="6396" spans="7:8" x14ac:dyDescent="0.3">
      <c r="G6396" s="15">
        <v>17.752777777777776</v>
      </c>
      <c r="H6396" s="3">
        <v>3.9848305555555213E-2</v>
      </c>
    </row>
    <row r="6397" spans="7:8" x14ac:dyDescent="0.3">
      <c r="G6397" s="15">
        <v>17.755555555555556</v>
      </c>
      <c r="H6397" s="3">
        <v>3.9849111111110773E-2</v>
      </c>
    </row>
    <row r="6398" spans="7:8" x14ac:dyDescent="0.3">
      <c r="G6398" s="15">
        <v>17.758333333333333</v>
      </c>
      <c r="H6398" s="3">
        <v>3.9849916666666332E-2</v>
      </c>
    </row>
    <row r="6399" spans="7:8" x14ac:dyDescent="0.3">
      <c r="G6399" s="15">
        <v>17.761111111111113</v>
      </c>
      <c r="H6399" s="3">
        <v>3.9850722222221885E-2</v>
      </c>
    </row>
    <row r="6400" spans="7:8" x14ac:dyDescent="0.3">
      <c r="G6400" s="15">
        <v>17.763888888888889</v>
      </c>
      <c r="H6400" s="3">
        <v>3.9851527777777437E-2</v>
      </c>
    </row>
    <row r="6401" spans="7:8" x14ac:dyDescent="0.3">
      <c r="G6401" s="15">
        <v>17.766666666666666</v>
      </c>
      <c r="H6401" s="3">
        <v>3.9852333333332997E-2</v>
      </c>
    </row>
    <row r="6402" spans="7:8" x14ac:dyDescent="0.3">
      <c r="G6402" s="15">
        <v>17.769444444444446</v>
      </c>
      <c r="H6402" s="3">
        <v>3.9853138888888556E-2</v>
      </c>
    </row>
    <row r="6403" spans="7:8" x14ac:dyDescent="0.3">
      <c r="G6403" s="15">
        <v>17.772222222222222</v>
      </c>
      <c r="H6403" s="3">
        <v>3.9853944444444109E-2</v>
      </c>
    </row>
    <row r="6404" spans="7:8" x14ac:dyDescent="0.3">
      <c r="G6404" s="15">
        <v>17.774999999999999</v>
      </c>
      <c r="H6404" s="3">
        <v>3.9854749999999661E-2</v>
      </c>
    </row>
    <row r="6405" spans="7:8" x14ac:dyDescent="0.3">
      <c r="G6405" s="15">
        <v>17.777777777777779</v>
      </c>
      <c r="H6405" s="3">
        <v>3.9855555555555221E-2</v>
      </c>
    </row>
    <row r="6406" spans="7:8" x14ac:dyDescent="0.3">
      <c r="G6406" s="15">
        <v>17.780555555555555</v>
      </c>
      <c r="H6406" s="3">
        <v>3.985636111111078E-2</v>
      </c>
    </row>
    <row r="6407" spans="7:8" x14ac:dyDescent="0.3">
      <c r="G6407" s="15">
        <v>17.783333333333335</v>
      </c>
      <c r="H6407" s="3">
        <v>3.9857166666666333E-2</v>
      </c>
    </row>
    <row r="6408" spans="7:8" x14ac:dyDescent="0.3">
      <c r="G6408" s="15">
        <v>17.786111111111111</v>
      </c>
      <c r="H6408" s="3">
        <v>3.9857972222221885E-2</v>
      </c>
    </row>
    <row r="6409" spans="7:8" x14ac:dyDescent="0.3">
      <c r="G6409" s="15">
        <v>17.788888888888888</v>
      </c>
      <c r="H6409" s="3">
        <v>3.9858777777777445E-2</v>
      </c>
    </row>
    <row r="6410" spans="7:8" x14ac:dyDescent="0.3">
      <c r="G6410" s="15">
        <v>17.791666666666668</v>
      </c>
      <c r="H6410" s="3">
        <v>3.9859583333333004E-2</v>
      </c>
    </row>
    <row r="6411" spans="7:8" x14ac:dyDescent="0.3">
      <c r="G6411" s="15">
        <v>17.794444444444444</v>
      </c>
      <c r="H6411" s="3">
        <v>3.9860388888888557E-2</v>
      </c>
    </row>
    <row r="6412" spans="7:8" x14ac:dyDescent="0.3">
      <c r="G6412" s="15">
        <v>17.797222222222221</v>
      </c>
      <c r="H6412" s="3">
        <v>3.9861194444444109E-2</v>
      </c>
    </row>
    <row r="6413" spans="7:8" x14ac:dyDescent="0.3">
      <c r="G6413" s="15">
        <v>17.8</v>
      </c>
      <c r="H6413" s="3">
        <v>3.9861999999999669E-2</v>
      </c>
    </row>
    <row r="6414" spans="7:8" x14ac:dyDescent="0.3">
      <c r="G6414" s="15">
        <v>17.802777777777777</v>
      </c>
      <c r="H6414" s="3">
        <v>3.9862805555555228E-2</v>
      </c>
    </row>
    <row r="6415" spans="7:8" x14ac:dyDescent="0.3">
      <c r="G6415" s="15">
        <v>17.805555555555557</v>
      </c>
      <c r="H6415" s="3">
        <v>3.986361111111078E-2</v>
      </c>
    </row>
    <row r="6416" spans="7:8" x14ac:dyDescent="0.3">
      <c r="G6416" s="15">
        <v>17.808333333333334</v>
      </c>
      <c r="H6416" s="3">
        <v>3.9864416666666333E-2</v>
      </c>
    </row>
    <row r="6417" spans="7:8" x14ac:dyDescent="0.3">
      <c r="G6417" s="15">
        <v>17.81111111111111</v>
      </c>
      <c r="H6417" s="3">
        <v>3.9865222222221892E-2</v>
      </c>
    </row>
    <row r="6418" spans="7:8" x14ac:dyDescent="0.3">
      <c r="G6418" s="15">
        <v>17.81388888888889</v>
      </c>
      <c r="H6418" s="3">
        <v>3.9866027777777452E-2</v>
      </c>
    </row>
    <row r="6419" spans="7:8" x14ac:dyDescent="0.3">
      <c r="G6419" s="15">
        <v>17.816666666666666</v>
      </c>
      <c r="H6419" s="3">
        <v>3.9866833333333004E-2</v>
      </c>
    </row>
    <row r="6420" spans="7:8" x14ac:dyDescent="0.3">
      <c r="G6420" s="15">
        <v>17.819444444444443</v>
      </c>
      <c r="H6420" s="3">
        <v>3.9867638888888557E-2</v>
      </c>
    </row>
    <row r="6421" spans="7:8" x14ac:dyDescent="0.3">
      <c r="G6421" s="15">
        <v>17.822222222222223</v>
      </c>
      <c r="H6421" s="3">
        <v>3.9868444444444116E-2</v>
      </c>
    </row>
    <row r="6422" spans="7:8" x14ac:dyDescent="0.3">
      <c r="G6422" s="15">
        <v>17.824999999999999</v>
      </c>
      <c r="H6422" s="3">
        <v>3.9869249999999676E-2</v>
      </c>
    </row>
    <row r="6423" spans="7:8" x14ac:dyDescent="0.3">
      <c r="G6423" s="15">
        <v>17.827777777777779</v>
      </c>
      <c r="H6423" s="3">
        <v>3.9870055555555228E-2</v>
      </c>
    </row>
    <row r="6424" spans="7:8" x14ac:dyDescent="0.3">
      <c r="G6424" s="15">
        <v>17.830555555555556</v>
      </c>
      <c r="H6424" s="3">
        <v>3.9870861111110781E-2</v>
      </c>
    </row>
    <row r="6425" spans="7:8" x14ac:dyDescent="0.3">
      <c r="G6425" s="15">
        <v>17.833333333333332</v>
      </c>
      <c r="H6425" s="3">
        <v>3.987166666666634E-2</v>
      </c>
    </row>
    <row r="6426" spans="7:8" x14ac:dyDescent="0.3">
      <c r="G6426" s="15">
        <v>17.836111111111112</v>
      </c>
      <c r="H6426" s="3">
        <v>3.98724722222219E-2</v>
      </c>
    </row>
    <row r="6427" spans="7:8" x14ac:dyDescent="0.3">
      <c r="G6427" s="15">
        <v>17.838888888888889</v>
      </c>
      <c r="H6427" s="3">
        <v>3.9873277777777452E-2</v>
      </c>
    </row>
    <row r="6428" spans="7:8" x14ac:dyDescent="0.3">
      <c r="G6428" s="15">
        <v>17.841666666666665</v>
      </c>
      <c r="H6428" s="3">
        <v>3.9874083333333005E-2</v>
      </c>
    </row>
    <row r="6429" spans="7:8" x14ac:dyDescent="0.3">
      <c r="G6429" s="15">
        <v>17.844444444444445</v>
      </c>
      <c r="H6429" s="3">
        <v>3.9874888888888564E-2</v>
      </c>
    </row>
    <row r="6430" spans="7:8" x14ac:dyDescent="0.3">
      <c r="G6430" s="15">
        <v>17.847222222222221</v>
      </c>
      <c r="H6430" s="3">
        <v>3.9875694444444124E-2</v>
      </c>
    </row>
    <row r="6431" spans="7:8" x14ac:dyDescent="0.3">
      <c r="G6431" s="15">
        <v>17.850000000000001</v>
      </c>
      <c r="H6431" s="3">
        <v>3.9876499999999676E-2</v>
      </c>
    </row>
    <row r="6432" spans="7:8" x14ac:dyDescent="0.3">
      <c r="G6432" s="15">
        <v>17.852777777777778</v>
      </c>
      <c r="H6432" s="3">
        <v>3.9877305555555229E-2</v>
      </c>
    </row>
    <row r="6433" spans="7:8" x14ac:dyDescent="0.3">
      <c r="G6433" s="15">
        <v>17.855555555555554</v>
      </c>
      <c r="H6433" s="3">
        <v>3.9878111111110788E-2</v>
      </c>
    </row>
    <row r="6434" spans="7:8" x14ac:dyDescent="0.3">
      <c r="G6434" s="15">
        <v>17.858333333333334</v>
      </c>
      <c r="H6434" s="3">
        <v>3.9878916666666347E-2</v>
      </c>
    </row>
    <row r="6435" spans="7:8" x14ac:dyDescent="0.3">
      <c r="G6435" s="15">
        <v>17.861111111111111</v>
      </c>
      <c r="H6435" s="3">
        <v>3.98797222222219E-2</v>
      </c>
    </row>
    <row r="6436" spans="7:8" x14ac:dyDescent="0.3">
      <c r="G6436" s="15">
        <v>17.863888888888887</v>
      </c>
      <c r="H6436" s="3">
        <v>3.9880527777777453E-2</v>
      </c>
    </row>
    <row r="6437" spans="7:8" x14ac:dyDescent="0.3">
      <c r="G6437" s="15">
        <v>17.866666666666667</v>
      </c>
      <c r="H6437" s="3">
        <v>3.9881333333333012E-2</v>
      </c>
    </row>
    <row r="6438" spans="7:8" x14ac:dyDescent="0.3">
      <c r="G6438" s="15">
        <v>17.869444444444444</v>
      </c>
      <c r="H6438" s="3">
        <v>3.9882138888888571E-2</v>
      </c>
    </row>
    <row r="6439" spans="7:8" x14ac:dyDescent="0.3">
      <c r="G6439" s="15">
        <v>17.872222222222224</v>
      </c>
      <c r="H6439" s="3">
        <v>3.9882944444444124E-2</v>
      </c>
    </row>
    <row r="6440" spans="7:8" x14ac:dyDescent="0.3">
      <c r="G6440" s="15">
        <v>17.875</v>
      </c>
      <c r="H6440" s="3">
        <v>3.9883749999999676E-2</v>
      </c>
    </row>
    <row r="6441" spans="7:8" x14ac:dyDescent="0.3">
      <c r="G6441" s="15">
        <v>17.877777777777776</v>
      </c>
      <c r="H6441" s="3">
        <v>3.9884555555555236E-2</v>
      </c>
    </row>
    <row r="6442" spans="7:8" x14ac:dyDescent="0.3">
      <c r="G6442" s="15">
        <v>17.880555555555556</v>
      </c>
      <c r="H6442" s="3">
        <v>3.9885361111110795E-2</v>
      </c>
    </row>
    <row r="6443" spans="7:8" x14ac:dyDescent="0.3">
      <c r="G6443" s="15">
        <v>17.883333333333333</v>
      </c>
      <c r="H6443" s="3">
        <v>3.9886166666666348E-2</v>
      </c>
    </row>
    <row r="6444" spans="7:8" x14ac:dyDescent="0.3">
      <c r="G6444" s="15">
        <v>17.886111111111113</v>
      </c>
      <c r="H6444" s="3">
        <v>3.98869722222219E-2</v>
      </c>
    </row>
    <row r="6445" spans="7:8" x14ac:dyDescent="0.3">
      <c r="G6445" s="15">
        <v>17.888888888888889</v>
      </c>
      <c r="H6445" s="3">
        <v>3.988777777777746E-2</v>
      </c>
    </row>
    <row r="6446" spans="7:8" x14ac:dyDescent="0.3">
      <c r="G6446" s="15">
        <v>17.891666666666666</v>
      </c>
      <c r="H6446" s="3">
        <v>3.9888583333333019E-2</v>
      </c>
    </row>
    <row r="6447" spans="7:8" x14ac:dyDescent="0.3">
      <c r="G6447" s="15">
        <v>17.894444444444446</v>
      </c>
      <c r="H6447" s="3">
        <v>3.9889388888888572E-2</v>
      </c>
    </row>
    <row r="6448" spans="7:8" x14ac:dyDescent="0.3">
      <c r="G6448" s="15">
        <v>17.897222222222222</v>
      </c>
      <c r="H6448" s="3">
        <v>3.9890194444444124E-2</v>
      </c>
    </row>
    <row r="6449" spans="7:8" x14ac:dyDescent="0.3">
      <c r="G6449" s="15">
        <v>17.899999999999999</v>
      </c>
      <c r="H6449" s="3">
        <v>3.9890999999999684E-2</v>
      </c>
    </row>
    <row r="6450" spans="7:8" x14ac:dyDescent="0.3">
      <c r="G6450" s="15">
        <v>17.902777777777779</v>
      </c>
      <c r="H6450" s="3">
        <v>3.9891805555555243E-2</v>
      </c>
    </row>
    <row r="6451" spans="7:8" x14ac:dyDescent="0.3">
      <c r="G6451" s="15">
        <v>17.905555555555555</v>
      </c>
      <c r="H6451" s="3">
        <v>3.9892611111110796E-2</v>
      </c>
    </row>
    <row r="6452" spans="7:8" x14ac:dyDescent="0.3">
      <c r="G6452" s="15">
        <v>17.908333333333335</v>
      </c>
      <c r="H6452" s="3">
        <v>3.9893416666666348E-2</v>
      </c>
    </row>
    <row r="6453" spans="7:8" x14ac:dyDescent="0.3">
      <c r="G6453" s="15">
        <v>17.911111111111111</v>
      </c>
      <c r="H6453" s="3">
        <v>3.9894222222221908E-2</v>
      </c>
    </row>
    <row r="6454" spans="7:8" x14ac:dyDescent="0.3">
      <c r="G6454" s="15">
        <v>17.913888888888888</v>
      </c>
      <c r="H6454" s="3">
        <v>3.9895027777777467E-2</v>
      </c>
    </row>
    <row r="6455" spans="7:8" x14ac:dyDescent="0.3">
      <c r="G6455" s="15">
        <v>17.916666666666668</v>
      </c>
      <c r="H6455" s="3">
        <v>3.989583333333302E-2</v>
      </c>
    </row>
    <row r="6456" spans="7:8" x14ac:dyDescent="0.3">
      <c r="G6456" s="15">
        <v>17.919444444444444</v>
      </c>
      <c r="H6456" s="3">
        <v>3.9896638888888572E-2</v>
      </c>
    </row>
    <row r="6457" spans="7:8" x14ac:dyDescent="0.3">
      <c r="G6457" s="15">
        <v>17.922222222222221</v>
      </c>
      <c r="H6457" s="3">
        <v>3.9897444444444131E-2</v>
      </c>
    </row>
    <row r="6458" spans="7:8" x14ac:dyDescent="0.3">
      <c r="G6458" s="15">
        <v>17.925000000000001</v>
      </c>
      <c r="H6458" s="3">
        <v>3.9898249999999691E-2</v>
      </c>
    </row>
    <row r="6459" spans="7:8" x14ac:dyDescent="0.3">
      <c r="G6459" s="15">
        <v>17.927777777777777</v>
      </c>
      <c r="H6459" s="3">
        <v>3.9899055555555243E-2</v>
      </c>
    </row>
    <row r="6460" spans="7:8" x14ac:dyDescent="0.3">
      <c r="G6460" s="15">
        <v>17.930555555555557</v>
      </c>
      <c r="H6460" s="3">
        <v>3.9899861111110796E-2</v>
      </c>
    </row>
    <row r="6461" spans="7:8" x14ac:dyDescent="0.3">
      <c r="G6461" s="15">
        <v>17.933333333333334</v>
      </c>
      <c r="H6461" s="3">
        <v>3.9900666666666355E-2</v>
      </c>
    </row>
    <row r="6462" spans="7:8" x14ac:dyDescent="0.3">
      <c r="G6462" s="15">
        <v>17.93611111111111</v>
      </c>
      <c r="H6462" s="3">
        <v>3.9901472222221915E-2</v>
      </c>
    </row>
    <row r="6463" spans="7:8" x14ac:dyDescent="0.3">
      <c r="G6463" s="15">
        <v>17.93888888888889</v>
      </c>
      <c r="H6463" s="3">
        <v>3.9902277777777467E-2</v>
      </c>
    </row>
    <row r="6464" spans="7:8" x14ac:dyDescent="0.3">
      <c r="G6464" s="15">
        <v>17.941666666666666</v>
      </c>
      <c r="H6464" s="3">
        <v>3.990308333333302E-2</v>
      </c>
    </row>
    <row r="6465" spans="7:8" x14ac:dyDescent="0.3">
      <c r="G6465" s="15">
        <v>17.944444444444443</v>
      </c>
      <c r="H6465" s="3">
        <v>3.9903888888888579E-2</v>
      </c>
    </row>
    <row r="6466" spans="7:8" x14ac:dyDescent="0.3">
      <c r="G6466" s="15">
        <v>17.947222222222223</v>
      </c>
      <c r="H6466" s="3">
        <v>3.9904694444444139E-2</v>
      </c>
    </row>
    <row r="6467" spans="7:8" x14ac:dyDescent="0.3">
      <c r="G6467" s="15">
        <v>17.95</v>
      </c>
      <c r="H6467" s="3">
        <v>3.9905499999999691E-2</v>
      </c>
    </row>
    <row r="6468" spans="7:8" x14ac:dyDescent="0.3">
      <c r="G6468" s="15">
        <v>17.952777777777779</v>
      </c>
      <c r="H6468" s="3">
        <v>3.9906305555555244E-2</v>
      </c>
    </row>
    <row r="6469" spans="7:8" x14ac:dyDescent="0.3">
      <c r="G6469" s="15">
        <v>17.955555555555556</v>
      </c>
      <c r="H6469" s="3">
        <v>3.9907111111110803E-2</v>
      </c>
    </row>
    <row r="6470" spans="7:8" x14ac:dyDescent="0.3">
      <c r="G6470" s="15">
        <v>17.958333333333332</v>
      </c>
      <c r="H6470" s="3">
        <v>3.9907916666666363E-2</v>
      </c>
    </row>
    <row r="6471" spans="7:8" x14ac:dyDescent="0.3">
      <c r="G6471" s="15">
        <v>17.961111111111112</v>
      </c>
      <c r="H6471" s="3">
        <v>3.9908722222221915E-2</v>
      </c>
    </row>
    <row r="6472" spans="7:8" x14ac:dyDescent="0.3">
      <c r="G6472" s="15">
        <v>17.963888888888889</v>
      </c>
      <c r="H6472" s="3">
        <v>3.9909527777777468E-2</v>
      </c>
    </row>
    <row r="6473" spans="7:8" x14ac:dyDescent="0.3">
      <c r="G6473" s="15">
        <v>17.966666666666665</v>
      </c>
      <c r="H6473" s="3">
        <v>3.9910333333333027E-2</v>
      </c>
    </row>
    <row r="6474" spans="7:8" x14ac:dyDescent="0.3">
      <c r="G6474" s="15">
        <v>17.969444444444445</v>
      </c>
      <c r="H6474" s="3">
        <v>3.9911138888888587E-2</v>
      </c>
    </row>
    <row r="6475" spans="7:8" x14ac:dyDescent="0.3">
      <c r="G6475" s="15">
        <v>17.972222222222221</v>
      </c>
      <c r="H6475" s="3">
        <v>3.9911944444444139E-2</v>
      </c>
    </row>
    <row r="6476" spans="7:8" x14ac:dyDescent="0.3">
      <c r="G6476" s="15">
        <v>17.975000000000001</v>
      </c>
      <c r="H6476" s="3">
        <v>3.9912749999999692E-2</v>
      </c>
    </row>
    <row r="6477" spans="7:8" x14ac:dyDescent="0.3">
      <c r="G6477" s="15">
        <v>17.977777777777778</v>
      </c>
      <c r="H6477" s="3">
        <v>3.9913555555555251E-2</v>
      </c>
    </row>
    <row r="6478" spans="7:8" x14ac:dyDescent="0.3">
      <c r="G6478" s="15">
        <v>17.980555555555554</v>
      </c>
      <c r="H6478" s="3">
        <v>3.991436111111081E-2</v>
      </c>
    </row>
    <row r="6479" spans="7:8" x14ac:dyDescent="0.3">
      <c r="G6479" s="15">
        <v>17.983333333333334</v>
      </c>
      <c r="H6479" s="3">
        <v>3.9915166666666363E-2</v>
      </c>
    </row>
    <row r="6480" spans="7:8" x14ac:dyDescent="0.3">
      <c r="G6480" s="15">
        <v>17.986111111111111</v>
      </c>
      <c r="H6480" s="3">
        <v>3.9915972222221915E-2</v>
      </c>
    </row>
    <row r="6481" spans="7:8" x14ac:dyDescent="0.3">
      <c r="G6481" s="15">
        <v>17.988888888888887</v>
      </c>
      <c r="H6481" s="3">
        <v>3.9916777777777475E-2</v>
      </c>
    </row>
    <row r="6482" spans="7:8" x14ac:dyDescent="0.3">
      <c r="G6482" s="15">
        <v>17.991666666666667</v>
      </c>
      <c r="H6482" s="3">
        <v>3.9917583333333034E-2</v>
      </c>
    </row>
    <row r="6483" spans="7:8" x14ac:dyDescent="0.3">
      <c r="G6483" s="15">
        <v>17.994444444444444</v>
      </c>
      <c r="H6483" s="3">
        <v>3.9918388888888587E-2</v>
      </c>
    </row>
    <row r="6484" spans="7:8" x14ac:dyDescent="0.3">
      <c r="G6484" s="15">
        <v>17.997222222222224</v>
      </c>
      <c r="H6484" s="3">
        <v>3.9919194444444139E-2</v>
      </c>
    </row>
    <row r="6485" spans="7:8" x14ac:dyDescent="0.3">
      <c r="G6485" s="15">
        <v>18</v>
      </c>
      <c r="H6485" s="3">
        <v>3.9919999999999699E-2</v>
      </c>
    </row>
    <row r="6486" spans="7:8" x14ac:dyDescent="0.3">
      <c r="G6486" s="15">
        <v>18.002777777777776</v>
      </c>
      <c r="H6486" s="3">
        <v>3.9920805555555258E-2</v>
      </c>
    </row>
    <row r="6487" spans="7:8" x14ac:dyDescent="0.3">
      <c r="G6487" s="15">
        <v>18.005555555555556</v>
      </c>
      <c r="H6487" s="3">
        <v>3.9921611111110811E-2</v>
      </c>
    </row>
    <row r="6488" spans="7:8" x14ac:dyDescent="0.3">
      <c r="G6488" s="15">
        <v>18.008333333333333</v>
      </c>
      <c r="H6488" s="3">
        <v>3.9922416666666363E-2</v>
      </c>
    </row>
    <row r="6489" spans="7:8" x14ac:dyDescent="0.3">
      <c r="G6489" s="15">
        <v>18.011111111111113</v>
      </c>
      <c r="H6489" s="3">
        <v>3.9923222222221923E-2</v>
      </c>
    </row>
    <row r="6490" spans="7:8" x14ac:dyDescent="0.3">
      <c r="G6490" s="15">
        <v>18.013888888888889</v>
      </c>
      <c r="H6490" s="3">
        <v>3.9924027777777482E-2</v>
      </c>
    </row>
    <row r="6491" spans="7:8" x14ac:dyDescent="0.3">
      <c r="G6491" s="15">
        <v>18.016666666666666</v>
      </c>
      <c r="H6491" s="3">
        <v>3.9924833333333035E-2</v>
      </c>
    </row>
    <row r="6492" spans="7:8" x14ac:dyDescent="0.3">
      <c r="G6492" s="15">
        <v>18.019444444444446</v>
      </c>
      <c r="H6492" s="3">
        <v>3.9925638888888587E-2</v>
      </c>
    </row>
    <row r="6493" spans="7:8" x14ac:dyDescent="0.3">
      <c r="G6493" s="15">
        <v>18.022222222222222</v>
      </c>
      <c r="H6493" s="3">
        <v>3.9926444444444147E-2</v>
      </c>
    </row>
    <row r="6494" spans="7:8" x14ac:dyDescent="0.3">
      <c r="G6494" s="15">
        <v>18.024999999999999</v>
      </c>
      <c r="H6494" s="3">
        <v>3.9927249999999706E-2</v>
      </c>
    </row>
    <row r="6495" spans="7:8" x14ac:dyDescent="0.3">
      <c r="G6495" s="15">
        <v>18.027777777777779</v>
      </c>
      <c r="H6495" s="3">
        <v>3.9928055555555259E-2</v>
      </c>
    </row>
    <row r="6496" spans="7:8" x14ac:dyDescent="0.3">
      <c r="G6496" s="15">
        <v>18.030555555555555</v>
      </c>
      <c r="H6496" s="3">
        <v>3.9928861111110811E-2</v>
      </c>
    </row>
    <row r="6497" spans="7:8" x14ac:dyDescent="0.3">
      <c r="G6497" s="15">
        <v>18.033333333333335</v>
      </c>
      <c r="H6497" s="3">
        <v>3.992966666666637E-2</v>
      </c>
    </row>
    <row r="6498" spans="7:8" x14ac:dyDescent="0.3">
      <c r="G6498" s="15">
        <v>18.036111111111111</v>
      </c>
      <c r="H6498" s="3">
        <v>3.993047222222193E-2</v>
      </c>
    </row>
    <row r="6499" spans="7:8" x14ac:dyDescent="0.3">
      <c r="G6499" s="15">
        <v>18.038888888888888</v>
      </c>
      <c r="H6499" s="3">
        <v>3.9931277777777482E-2</v>
      </c>
    </row>
    <row r="6500" spans="7:8" x14ac:dyDescent="0.3">
      <c r="G6500" s="15">
        <v>18.041666666666668</v>
      </c>
      <c r="H6500" s="3">
        <v>3.9932083333333035E-2</v>
      </c>
    </row>
    <row r="6501" spans="7:8" x14ac:dyDescent="0.3">
      <c r="G6501" s="15">
        <v>18.044444444444444</v>
      </c>
      <c r="H6501" s="3">
        <v>3.9932888888888594E-2</v>
      </c>
    </row>
    <row r="6502" spans="7:8" x14ac:dyDescent="0.3">
      <c r="G6502" s="15">
        <v>18.047222222222221</v>
      </c>
      <c r="H6502" s="3">
        <v>3.9933694444444154E-2</v>
      </c>
    </row>
    <row r="6503" spans="7:8" x14ac:dyDescent="0.3">
      <c r="G6503" s="15">
        <v>18.05</v>
      </c>
      <c r="H6503" s="3">
        <v>3.9934499999999706E-2</v>
      </c>
    </row>
    <row r="6504" spans="7:8" x14ac:dyDescent="0.3">
      <c r="G6504" s="15">
        <v>18.052777777777777</v>
      </c>
      <c r="H6504" s="3">
        <v>3.9935305555555259E-2</v>
      </c>
    </row>
    <row r="6505" spans="7:8" x14ac:dyDescent="0.3">
      <c r="G6505" s="15">
        <v>18.055555555555557</v>
      </c>
      <c r="H6505" s="3">
        <v>3.9936111111110818E-2</v>
      </c>
    </row>
    <row r="6506" spans="7:8" x14ac:dyDescent="0.3">
      <c r="G6506" s="15">
        <v>18.058333333333334</v>
      </c>
      <c r="H6506" s="3">
        <v>3.9936916666666378E-2</v>
      </c>
    </row>
    <row r="6507" spans="7:8" x14ac:dyDescent="0.3">
      <c r="G6507" s="15">
        <v>18.06111111111111</v>
      </c>
      <c r="H6507" s="3">
        <v>3.993772222222193E-2</v>
      </c>
    </row>
    <row r="6508" spans="7:8" x14ac:dyDescent="0.3">
      <c r="G6508" s="15">
        <v>18.06388888888889</v>
      </c>
      <c r="H6508" s="3">
        <v>3.9938527777777483E-2</v>
      </c>
    </row>
    <row r="6509" spans="7:8" x14ac:dyDescent="0.3">
      <c r="G6509" s="15">
        <v>18.066666666666666</v>
      </c>
      <c r="H6509" s="3">
        <v>3.9939333333333042E-2</v>
      </c>
    </row>
    <row r="6510" spans="7:8" x14ac:dyDescent="0.3">
      <c r="G6510" s="15">
        <v>18.069444444444443</v>
      </c>
      <c r="H6510" s="3">
        <v>3.9940138888888602E-2</v>
      </c>
    </row>
    <row r="6511" spans="7:8" x14ac:dyDescent="0.3">
      <c r="G6511" s="15">
        <v>18.072222222222223</v>
      </c>
      <c r="H6511" s="3">
        <v>3.9940944444444154E-2</v>
      </c>
    </row>
    <row r="6512" spans="7:8" x14ac:dyDescent="0.3">
      <c r="G6512" s="15">
        <v>18.074999999999999</v>
      </c>
      <c r="H6512" s="3">
        <v>3.9941749999999707E-2</v>
      </c>
    </row>
    <row r="6513" spans="7:8" x14ac:dyDescent="0.3">
      <c r="G6513" s="15">
        <v>18.077777777777779</v>
      </c>
      <c r="H6513" s="3">
        <v>3.9942555555555266E-2</v>
      </c>
    </row>
    <row r="6514" spans="7:8" x14ac:dyDescent="0.3">
      <c r="G6514" s="15">
        <v>18.080555555555556</v>
      </c>
      <c r="H6514" s="3">
        <v>3.9943361111110826E-2</v>
      </c>
    </row>
    <row r="6515" spans="7:8" x14ac:dyDescent="0.3">
      <c r="G6515" s="15">
        <v>18.083333333333332</v>
      </c>
      <c r="H6515" s="3">
        <v>3.9944166666666378E-2</v>
      </c>
    </row>
    <row r="6516" spans="7:8" x14ac:dyDescent="0.3">
      <c r="G6516" s="15">
        <v>18.086111111111112</v>
      </c>
      <c r="H6516" s="3">
        <v>3.9944972222221931E-2</v>
      </c>
    </row>
    <row r="6517" spans="7:8" x14ac:dyDescent="0.3">
      <c r="G6517" s="15">
        <v>18.088888888888889</v>
      </c>
      <c r="H6517" s="3">
        <v>3.994577777777749E-2</v>
      </c>
    </row>
    <row r="6518" spans="7:8" x14ac:dyDescent="0.3">
      <c r="G6518" s="15">
        <v>18.091666666666665</v>
      </c>
      <c r="H6518" s="3">
        <v>3.9946583333333049E-2</v>
      </c>
    </row>
    <row r="6519" spans="7:8" x14ac:dyDescent="0.3">
      <c r="G6519" s="15">
        <v>18.094444444444445</v>
      </c>
      <c r="H6519" s="3">
        <v>3.9947388888888602E-2</v>
      </c>
    </row>
    <row r="6520" spans="7:8" x14ac:dyDescent="0.3">
      <c r="G6520" s="15">
        <v>18.097222222222221</v>
      </c>
      <c r="H6520" s="3">
        <v>3.9948194444444154E-2</v>
      </c>
    </row>
    <row r="6521" spans="7:8" x14ac:dyDescent="0.3">
      <c r="G6521" s="15">
        <v>18.100000000000001</v>
      </c>
      <c r="H6521" s="3">
        <v>3.9948999999999714E-2</v>
      </c>
    </row>
    <row r="6522" spans="7:8" x14ac:dyDescent="0.3">
      <c r="G6522" s="15">
        <v>18.102777777777778</v>
      </c>
      <c r="H6522" s="3">
        <v>3.9949805555555273E-2</v>
      </c>
    </row>
    <row r="6523" spans="7:8" x14ac:dyDescent="0.3">
      <c r="G6523" s="15">
        <v>18.105555555555554</v>
      </c>
      <c r="H6523" s="3">
        <v>3.9950611111110826E-2</v>
      </c>
    </row>
    <row r="6524" spans="7:8" x14ac:dyDescent="0.3">
      <c r="G6524" s="15">
        <v>18.108333333333334</v>
      </c>
      <c r="H6524" s="3">
        <v>3.9951416666666378E-2</v>
      </c>
    </row>
    <row r="6525" spans="7:8" x14ac:dyDescent="0.3">
      <c r="G6525" s="15">
        <v>18.111111111111111</v>
      </c>
      <c r="H6525" s="3">
        <v>3.9952222222221938E-2</v>
      </c>
    </row>
    <row r="6526" spans="7:8" x14ac:dyDescent="0.3">
      <c r="G6526" s="15">
        <v>18.113888888888887</v>
      </c>
      <c r="H6526" s="3">
        <v>3.9953027777777497E-2</v>
      </c>
    </row>
    <row r="6527" spans="7:8" x14ac:dyDescent="0.3">
      <c r="G6527" s="15">
        <v>18.116666666666667</v>
      </c>
      <c r="H6527" s="3">
        <v>3.995383333333305E-2</v>
      </c>
    </row>
    <row r="6528" spans="7:8" x14ac:dyDescent="0.3">
      <c r="G6528" s="15">
        <v>18.119444444444444</v>
      </c>
      <c r="H6528" s="3">
        <v>3.9954638888888602E-2</v>
      </c>
    </row>
    <row r="6529" spans="7:8" x14ac:dyDescent="0.3">
      <c r="G6529" s="15">
        <v>18.122222222222224</v>
      </c>
      <c r="H6529" s="3">
        <v>3.9955444444444162E-2</v>
      </c>
    </row>
    <row r="6530" spans="7:8" x14ac:dyDescent="0.3">
      <c r="G6530" s="15">
        <v>18.125</v>
      </c>
      <c r="H6530" s="3">
        <v>3.9956249999999721E-2</v>
      </c>
    </row>
    <row r="6531" spans="7:8" x14ac:dyDescent="0.3">
      <c r="G6531" s="15">
        <v>18.127777777777776</v>
      </c>
      <c r="H6531" s="3">
        <v>3.9957055555555274E-2</v>
      </c>
    </row>
    <row r="6532" spans="7:8" x14ac:dyDescent="0.3">
      <c r="G6532" s="15">
        <v>18.130555555555556</v>
      </c>
      <c r="H6532" s="3">
        <v>3.9957861111110826E-2</v>
      </c>
    </row>
    <row r="6533" spans="7:8" x14ac:dyDescent="0.3">
      <c r="G6533" s="15">
        <v>18.133333333333333</v>
      </c>
      <c r="H6533" s="3">
        <v>3.9958666666666386E-2</v>
      </c>
    </row>
    <row r="6534" spans="7:8" x14ac:dyDescent="0.3">
      <c r="G6534" s="15">
        <v>18.136111111111113</v>
      </c>
      <c r="H6534" s="3">
        <v>3.9959472222221945E-2</v>
      </c>
    </row>
    <row r="6535" spans="7:8" x14ac:dyDescent="0.3">
      <c r="G6535" s="15">
        <v>18.138888888888889</v>
      </c>
      <c r="H6535" s="3">
        <v>3.9960277777777498E-2</v>
      </c>
    </row>
    <row r="6536" spans="7:8" x14ac:dyDescent="0.3">
      <c r="G6536" s="15">
        <v>18.141666666666666</v>
      </c>
      <c r="H6536" s="3">
        <v>3.996108333333305E-2</v>
      </c>
    </row>
    <row r="6537" spans="7:8" x14ac:dyDescent="0.3">
      <c r="G6537" s="15">
        <v>18.144444444444446</v>
      </c>
      <c r="H6537" s="3">
        <v>3.996188888888861E-2</v>
      </c>
    </row>
    <row r="6538" spans="7:8" x14ac:dyDescent="0.3">
      <c r="G6538" s="15">
        <v>18.147222222222222</v>
      </c>
      <c r="H6538" s="3">
        <v>3.9962694444444169E-2</v>
      </c>
    </row>
    <row r="6539" spans="7:8" x14ac:dyDescent="0.3">
      <c r="G6539" s="15">
        <v>18.149999999999999</v>
      </c>
      <c r="H6539" s="3">
        <v>3.9963499999999721E-2</v>
      </c>
    </row>
    <row r="6540" spans="7:8" x14ac:dyDescent="0.3">
      <c r="G6540" s="15">
        <v>18.152777777777779</v>
      </c>
      <c r="H6540" s="3">
        <v>3.9964305555555274E-2</v>
      </c>
    </row>
    <row r="6541" spans="7:8" x14ac:dyDescent="0.3">
      <c r="G6541" s="15">
        <v>18.155555555555555</v>
      </c>
      <c r="H6541" s="3">
        <v>3.9965111111110833E-2</v>
      </c>
    </row>
    <row r="6542" spans="7:8" x14ac:dyDescent="0.3">
      <c r="G6542" s="15">
        <v>18.158333333333335</v>
      </c>
      <c r="H6542" s="3">
        <v>3.9965916666666393E-2</v>
      </c>
    </row>
    <row r="6543" spans="7:8" x14ac:dyDescent="0.3">
      <c r="G6543" s="15">
        <v>18.161111111111111</v>
      </c>
      <c r="H6543" s="3">
        <v>3.9966722222221945E-2</v>
      </c>
    </row>
    <row r="6544" spans="7:8" x14ac:dyDescent="0.3">
      <c r="G6544" s="15">
        <v>18.163888888888888</v>
      </c>
      <c r="H6544" s="3">
        <v>3.9967527777777498E-2</v>
      </c>
    </row>
    <row r="6545" spans="7:8" x14ac:dyDescent="0.3">
      <c r="G6545" s="15">
        <v>18.166666666666668</v>
      </c>
      <c r="H6545" s="3">
        <v>3.9968333333333057E-2</v>
      </c>
    </row>
    <row r="6546" spans="7:8" x14ac:dyDescent="0.3">
      <c r="G6546" s="15">
        <v>18.169444444444444</v>
      </c>
      <c r="H6546" s="3">
        <v>3.9969138888888617E-2</v>
      </c>
    </row>
    <row r="6547" spans="7:8" x14ac:dyDescent="0.3">
      <c r="G6547" s="15">
        <v>18.172222222222221</v>
      </c>
      <c r="H6547" s="3">
        <v>3.9969944444444169E-2</v>
      </c>
    </row>
    <row r="6548" spans="7:8" x14ac:dyDescent="0.3">
      <c r="G6548" s="15">
        <v>18.175000000000001</v>
      </c>
      <c r="H6548" s="3">
        <v>3.9970749999999722E-2</v>
      </c>
    </row>
    <row r="6549" spans="7:8" x14ac:dyDescent="0.3">
      <c r="G6549" s="15">
        <v>18.177777777777777</v>
      </c>
      <c r="H6549" s="3">
        <v>3.9971555555555281E-2</v>
      </c>
    </row>
    <row r="6550" spans="7:8" x14ac:dyDescent="0.3">
      <c r="G6550" s="15">
        <v>18.180555555555557</v>
      </c>
      <c r="H6550" s="3">
        <v>3.9972361111110841E-2</v>
      </c>
    </row>
    <row r="6551" spans="7:8" x14ac:dyDescent="0.3">
      <c r="G6551" s="15">
        <v>18.183333333333334</v>
      </c>
      <c r="H6551" s="3">
        <v>3.9973166666666393E-2</v>
      </c>
    </row>
    <row r="6552" spans="7:8" x14ac:dyDescent="0.3">
      <c r="G6552" s="15">
        <v>18.18611111111111</v>
      </c>
      <c r="H6552" s="3">
        <v>3.9973972222221946E-2</v>
      </c>
    </row>
    <row r="6553" spans="7:8" x14ac:dyDescent="0.3">
      <c r="G6553" s="15">
        <v>18.18888888888889</v>
      </c>
      <c r="H6553" s="3">
        <v>3.9974777777777505E-2</v>
      </c>
    </row>
    <row r="6554" spans="7:8" x14ac:dyDescent="0.3">
      <c r="G6554" s="15">
        <v>18.191666666666666</v>
      </c>
      <c r="H6554" s="3">
        <v>3.9975583333333065E-2</v>
      </c>
    </row>
    <row r="6555" spans="7:8" x14ac:dyDescent="0.3">
      <c r="G6555" s="15">
        <v>18.194444444444443</v>
      </c>
      <c r="H6555" s="3">
        <v>3.9976388888888617E-2</v>
      </c>
    </row>
    <row r="6556" spans="7:8" x14ac:dyDescent="0.3">
      <c r="G6556" s="15">
        <v>18.197222222222223</v>
      </c>
      <c r="H6556" s="3">
        <v>3.997719444444417E-2</v>
      </c>
    </row>
    <row r="6557" spans="7:8" x14ac:dyDescent="0.3">
      <c r="G6557" s="15">
        <v>18.2</v>
      </c>
      <c r="H6557" s="3">
        <v>3.9977999999999729E-2</v>
      </c>
    </row>
    <row r="6558" spans="7:8" x14ac:dyDescent="0.3">
      <c r="G6558" s="15">
        <v>18.202777777777779</v>
      </c>
      <c r="H6558" s="3">
        <v>3.9978805555555288E-2</v>
      </c>
    </row>
    <row r="6559" spans="7:8" x14ac:dyDescent="0.3">
      <c r="G6559" s="15">
        <v>18.205555555555556</v>
      </c>
      <c r="H6559" s="3">
        <v>3.9979611111110841E-2</v>
      </c>
    </row>
    <row r="6560" spans="7:8" x14ac:dyDescent="0.3">
      <c r="G6560" s="15">
        <v>18.208333333333332</v>
      </c>
      <c r="H6560" s="3">
        <v>3.9980416666666393E-2</v>
      </c>
    </row>
    <row r="6561" spans="7:8" x14ac:dyDescent="0.3">
      <c r="G6561" s="15">
        <v>18.211111111111112</v>
      </c>
      <c r="H6561" s="3">
        <v>3.9981222222221953E-2</v>
      </c>
    </row>
    <row r="6562" spans="7:8" x14ac:dyDescent="0.3">
      <c r="G6562" s="15">
        <v>18.213888888888889</v>
      </c>
      <c r="H6562" s="3">
        <v>3.9982027777777512E-2</v>
      </c>
    </row>
    <row r="6563" spans="7:8" x14ac:dyDescent="0.3">
      <c r="G6563" s="15">
        <v>18.216666666666665</v>
      </c>
      <c r="H6563" s="3">
        <v>3.9982833333333065E-2</v>
      </c>
    </row>
    <row r="6564" spans="7:8" x14ac:dyDescent="0.3">
      <c r="G6564" s="15">
        <v>18.219444444444445</v>
      </c>
      <c r="H6564" s="3">
        <v>3.9983638888888617E-2</v>
      </c>
    </row>
    <row r="6565" spans="7:8" x14ac:dyDescent="0.3">
      <c r="G6565" s="15">
        <v>18.222222222222221</v>
      </c>
      <c r="H6565" s="3">
        <v>3.9984444444444177E-2</v>
      </c>
    </row>
    <row r="6566" spans="7:8" x14ac:dyDescent="0.3">
      <c r="G6566" s="15">
        <v>18.225000000000001</v>
      </c>
      <c r="H6566" s="3">
        <v>3.9985249999999736E-2</v>
      </c>
    </row>
    <row r="6567" spans="7:8" x14ac:dyDescent="0.3">
      <c r="G6567" s="15">
        <v>18.227777777777778</v>
      </c>
      <c r="H6567" s="3">
        <v>3.9986055555555289E-2</v>
      </c>
    </row>
    <row r="6568" spans="7:8" x14ac:dyDescent="0.3">
      <c r="G6568" s="15">
        <v>18.230555555555554</v>
      </c>
      <c r="H6568" s="3">
        <v>3.9986861111110841E-2</v>
      </c>
    </row>
    <row r="6569" spans="7:8" x14ac:dyDescent="0.3">
      <c r="G6569" s="15">
        <v>18.233333333333334</v>
      </c>
      <c r="H6569" s="3">
        <v>3.9987666666666401E-2</v>
      </c>
    </row>
    <row r="6570" spans="7:8" x14ac:dyDescent="0.3">
      <c r="G6570" s="15">
        <v>18.236111111111111</v>
      </c>
      <c r="H6570" s="3">
        <v>3.998847222222196E-2</v>
      </c>
    </row>
    <row r="6571" spans="7:8" x14ac:dyDescent="0.3">
      <c r="G6571" s="15">
        <v>18.238888888888887</v>
      </c>
      <c r="H6571" s="3">
        <v>3.9989277777777513E-2</v>
      </c>
    </row>
    <row r="6572" spans="7:8" x14ac:dyDescent="0.3">
      <c r="G6572" s="15">
        <v>18.241666666666667</v>
      </c>
      <c r="H6572" s="3">
        <v>3.9990083333333065E-2</v>
      </c>
    </row>
    <row r="6573" spans="7:8" x14ac:dyDescent="0.3">
      <c r="G6573" s="15">
        <v>18.244444444444444</v>
      </c>
      <c r="H6573" s="3">
        <v>3.9990888888888625E-2</v>
      </c>
    </row>
    <row r="6574" spans="7:8" x14ac:dyDescent="0.3">
      <c r="G6574" s="15">
        <v>18.247222222222224</v>
      </c>
      <c r="H6574" s="3">
        <v>3.9991694444444184E-2</v>
      </c>
    </row>
    <row r="6575" spans="7:8" x14ac:dyDescent="0.3">
      <c r="G6575" s="15">
        <v>18.25</v>
      </c>
      <c r="H6575" s="3">
        <v>3.9992499999999737E-2</v>
      </c>
    </row>
    <row r="6576" spans="7:8" x14ac:dyDescent="0.3">
      <c r="G6576" s="15">
        <v>18.252777777777776</v>
      </c>
      <c r="H6576" s="3">
        <v>3.9993305555555289E-2</v>
      </c>
    </row>
    <row r="6577" spans="7:8" x14ac:dyDescent="0.3">
      <c r="G6577" s="15">
        <v>18.255555555555556</v>
      </c>
      <c r="H6577" s="3">
        <v>3.9994111111110849E-2</v>
      </c>
    </row>
    <row r="6578" spans="7:8" x14ac:dyDescent="0.3">
      <c r="G6578" s="15">
        <v>18.258333333333333</v>
      </c>
      <c r="H6578" s="3">
        <v>3.9994916666666408E-2</v>
      </c>
    </row>
    <row r="6579" spans="7:8" x14ac:dyDescent="0.3">
      <c r="G6579" s="15">
        <v>18.261111111111113</v>
      </c>
      <c r="H6579" s="3">
        <v>3.999572222222196E-2</v>
      </c>
    </row>
    <row r="6580" spans="7:8" x14ac:dyDescent="0.3">
      <c r="G6580" s="15">
        <v>18.263888888888889</v>
      </c>
      <c r="H6580" s="3">
        <v>3.9996527777777513E-2</v>
      </c>
    </row>
    <row r="6581" spans="7:8" x14ac:dyDescent="0.3">
      <c r="G6581" s="15">
        <v>18.266666666666666</v>
      </c>
      <c r="H6581" s="3">
        <v>3.9997333333333072E-2</v>
      </c>
    </row>
    <row r="6582" spans="7:8" x14ac:dyDescent="0.3">
      <c r="G6582" s="15">
        <v>18.269444444444446</v>
      </c>
      <c r="H6582" s="3">
        <v>3.9998138888888632E-2</v>
      </c>
    </row>
    <row r="6583" spans="7:8" x14ac:dyDescent="0.3">
      <c r="G6583" s="15">
        <v>18.272222222222222</v>
      </c>
      <c r="H6583" s="3">
        <v>3.9998944444444184E-2</v>
      </c>
    </row>
    <row r="6584" spans="7:8" x14ac:dyDescent="0.3">
      <c r="G6584" s="15">
        <v>18.274999999999999</v>
      </c>
      <c r="H6584" s="3">
        <v>3.9999749999999737E-2</v>
      </c>
    </row>
    <row r="6585" spans="7:8" x14ac:dyDescent="0.3">
      <c r="G6585" s="15">
        <v>18.277777777777779</v>
      </c>
      <c r="H6585" s="3">
        <v>4.0000555555555296E-2</v>
      </c>
    </row>
    <row r="6586" spans="7:8" x14ac:dyDescent="0.3">
      <c r="G6586" s="15">
        <v>18.280555555555555</v>
      </c>
      <c r="H6586" s="3">
        <v>4.0001361111110856E-2</v>
      </c>
    </row>
    <row r="6587" spans="7:8" x14ac:dyDescent="0.3">
      <c r="G6587" s="15">
        <v>18.283333333333335</v>
      </c>
      <c r="H6587" s="3">
        <v>4.0002166666666408E-2</v>
      </c>
    </row>
    <row r="6588" spans="7:8" x14ac:dyDescent="0.3">
      <c r="G6588" s="15">
        <v>18.286111111111111</v>
      </c>
      <c r="H6588" s="3">
        <v>4.0002972222221961E-2</v>
      </c>
    </row>
    <row r="6589" spans="7:8" x14ac:dyDescent="0.3">
      <c r="G6589" s="15">
        <v>18.288888888888888</v>
      </c>
      <c r="H6589" s="3">
        <v>4.000377777777752E-2</v>
      </c>
    </row>
    <row r="6590" spans="7:8" x14ac:dyDescent="0.3">
      <c r="G6590" s="15">
        <v>18.291666666666668</v>
      </c>
      <c r="H6590" s="3">
        <v>4.000458333333308E-2</v>
      </c>
    </row>
    <row r="6591" spans="7:8" x14ac:dyDescent="0.3">
      <c r="G6591" s="15">
        <v>18.294444444444444</v>
      </c>
      <c r="H6591" s="3">
        <v>4.0005388888888632E-2</v>
      </c>
    </row>
    <row r="6592" spans="7:8" x14ac:dyDescent="0.3">
      <c r="G6592" s="15">
        <v>18.297222222222221</v>
      </c>
      <c r="H6592" s="3">
        <v>4.0006194444444185E-2</v>
      </c>
    </row>
    <row r="6593" spans="7:8" x14ac:dyDescent="0.3">
      <c r="G6593" s="15">
        <v>18.3</v>
      </c>
      <c r="H6593" s="3">
        <v>4.0006999999999744E-2</v>
      </c>
    </row>
    <row r="6594" spans="7:8" x14ac:dyDescent="0.3">
      <c r="G6594" s="15">
        <v>18.302777777777777</v>
      </c>
      <c r="H6594" s="3">
        <v>4.0007805555555304E-2</v>
      </c>
    </row>
    <row r="6595" spans="7:8" x14ac:dyDescent="0.3">
      <c r="G6595" s="15">
        <v>18.305555555555557</v>
      </c>
      <c r="H6595" s="3">
        <v>4.0008611111110856E-2</v>
      </c>
    </row>
    <row r="6596" spans="7:8" x14ac:dyDescent="0.3">
      <c r="G6596" s="15">
        <v>18.308333333333334</v>
      </c>
      <c r="H6596" s="3">
        <v>4.0009416666666409E-2</v>
      </c>
    </row>
    <row r="6597" spans="7:8" x14ac:dyDescent="0.3">
      <c r="G6597" s="15">
        <v>18.31111111111111</v>
      </c>
      <c r="H6597" s="3">
        <v>4.0010222222221968E-2</v>
      </c>
    </row>
    <row r="6598" spans="7:8" x14ac:dyDescent="0.3">
      <c r="G6598" s="15">
        <v>18.31388888888889</v>
      </c>
      <c r="H6598" s="3">
        <v>4.0011027777777528E-2</v>
      </c>
    </row>
    <row r="6599" spans="7:8" x14ac:dyDescent="0.3">
      <c r="G6599" s="15">
        <v>18.316666666666666</v>
      </c>
      <c r="H6599" s="3">
        <v>4.001183333333308E-2</v>
      </c>
    </row>
    <row r="6600" spans="7:8" x14ac:dyDescent="0.3">
      <c r="G6600" s="15">
        <v>18.319444444444443</v>
      </c>
      <c r="H6600" s="3">
        <v>4.0012638888888633E-2</v>
      </c>
    </row>
    <row r="6601" spans="7:8" x14ac:dyDescent="0.3">
      <c r="G6601" s="15">
        <v>18.322222222222223</v>
      </c>
      <c r="H6601" s="3">
        <v>4.0013444444444192E-2</v>
      </c>
    </row>
    <row r="6602" spans="7:8" x14ac:dyDescent="0.3">
      <c r="G6602" s="15">
        <v>18.324999999999999</v>
      </c>
      <c r="H6602" s="3">
        <v>4.0014249999999751E-2</v>
      </c>
    </row>
    <row r="6603" spans="7:8" x14ac:dyDescent="0.3">
      <c r="G6603" s="15">
        <v>18.327777777777779</v>
      </c>
      <c r="H6603" s="3">
        <v>4.0015055555555304E-2</v>
      </c>
    </row>
    <row r="6604" spans="7:8" x14ac:dyDescent="0.3">
      <c r="G6604" s="15">
        <v>18.330555555555556</v>
      </c>
      <c r="H6604" s="3">
        <v>4.0015861111110856E-2</v>
      </c>
    </row>
    <row r="6605" spans="7:8" x14ac:dyDescent="0.3">
      <c r="G6605" s="15">
        <v>18.333333333333332</v>
      </c>
      <c r="H6605" s="3">
        <v>4.0016666666666416E-2</v>
      </c>
    </row>
    <row r="6606" spans="7:8" x14ac:dyDescent="0.3">
      <c r="G6606" s="15">
        <v>18.336111111111112</v>
      </c>
      <c r="H6606" s="3">
        <v>4.0017472222221975E-2</v>
      </c>
    </row>
    <row r="6607" spans="7:8" x14ac:dyDescent="0.3">
      <c r="G6607" s="15">
        <v>18.338888888888889</v>
      </c>
      <c r="H6607" s="3">
        <v>4.0018277777777528E-2</v>
      </c>
    </row>
    <row r="6608" spans="7:8" x14ac:dyDescent="0.3">
      <c r="G6608" s="15">
        <v>18.341666666666665</v>
      </c>
      <c r="H6608" s="3">
        <v>4.001908333333308E-2</v>
      </c>
    </row>
    <row r="6609" spans="7:8" x14ac:dyDescent="0.3">
      <c r="G6609" s="15">
        <v>18.344444444444445</v>
      </c>
      <c r="H6609" s="3">
        <v>4.001988888888864E-2</v>
      </c>
    </row>
    <row r="6610" spans="7:8" x14ac:dyDescent="0.3">
      <c r="G6610" s="15">
        <v>18.347222222222221</v>
      </c>
      <c r="H6610" s="3">
        <v>4.0020694444444199E-2</v>
      </c>
    </row>
    <row r="6611" spans="7:8" x14ac:dyDescent="0.3">
      <c r="G6611" s="15">
        <v>18.350000000000001</v>
      </c>
      <c r="H6611" s="3">
        <v>4.0021499999999752E-2</v>
      </c>
    </row>
    <row r="6612" spans="7:8" x14ac:dyDescent="0.3">
      <c r="G6612" s="15">
        <v>18.352777777777778</v>
      </c>
      <c r="H6612" s="3">
        <v>4.0022305555555304E-2</v>
      </c>
    </row>
    <row r="6613" spans="7:8" x14ac:dyDescent="0.3">
      <c r="G6613" s="15">
        <v>18.355555555555554</v>
      </c>
      <c r="H6613" s="3">
        <v>4.0023111111110864E-2</v>
      </c>
    </row>
    <row r="6614" spans="7:8" x14ac:dyDescent="0.3">
      <c r="G6614" s="15">
        <v>18.358333333333334</v>
      </c>
      <c r="H6614" s="3">
        <v>4.0023916666666423E-2</v>
      </c>
    </row>
    <row r="6615" spans="7:8" x14ac:dyDescent="0.3">
      <c r="G6615" s="15">
        <v>18.361111111111111</v>
      </c>
      <c r="H6615" s="3">
        <v>4.0024722222221976E-2</v>
      </c>
    </row>
    <row r="6616" spans="7:8" x14ac:dyDescent="0.3">
      <c r="G6616" s="15">
        <v>18.363888888888887</v>
      </c>
      <c r="H6616" s="3">
        <v>4.0025527777777528E-2</v>
      </c>
    </row>
    <row r="6617" spans="7:8" x14ac:dyDescent="0.3">
      <c r="G6617" s="15">
        <v>18.366666666666667</v>
      </c>
      <c r="H6617" s="3">
        <v>4.0026333333333088E-2</v>
      </c>
    </row>
    <row r="6618" spans="7:8" x14ac:dyDescent="0.3">
      <c r="G6618" s="15">
        <v>18.369444444444444</v>
      </c>
      <c r="H6618" s="3">
        <v>4.0027138888888647E-2</v>
      </c>
    </row>
    <row r="6619" spans="7:8" x14ac:dyDescent="0.3">
      <c r="G6619" s="15">
        <v>18.372222222222224</v>
      </c>
      <c r="H6619" s="3">
        <v>4.00279444444442E-2</v>
      </c>
    </row>
    <row r="6620" spans="7:8" x14ac:dyDescent="0.3">
      <c r="G6620" s="15">
        <v>18.375</v>
      </c>
      <c r="H6620" s="3">
        <v>4.0028749999999752E-2</v>
      </c>
    </row>
    <row r="6621" spans="7:8" x14ac:dyDescent="0.3">
      <c r="G6621" s="15">
        <v>18.377777777777776</v>
      </c>
      <c r="H6621" s="3">
        <v>4.0029555555555311E-2</v>
      </c>
    </row>
    <row r="6622" spans="7:8" x14ac:dyDescent="0.3">
      <c r="G6622" s="15">
        <v>18.380555555555556</v>
      </c>
      <c r="H6622" s="3">
        <v>4.0030361111110871E-2</v>
      </c>
    </row>
    <row r="6623" spans="7:8" x14ac:dyDescent="0.3">
      <c r="G6623" s="15">
        <v>18.383333333333333</v>
      </c>
      <c r="H6623" s="3">
        <v>4.0031166666666423E-2</v>
      </c>
    </row>
    <row r="6624" spans="7:8" x14ac:dyDescent="0.3">
      <c r="G6624" s="15">
        <v>18.386111111111113</v>
      </c>
      <c r="H6624" s="3">
        <v>4.0031972222221976E-2</v>
      </c>
    </row>
    <row r="6625" spans="7:8" x14ac:dyDescent="0.3">
      <c r="G6625" s="15">
        <v>18.388888888888889</v>
      </c>
      <c r="H6625" s="3">
        <v>4.0032777777777535E-2</v>
      </c>
    </row>
    <row r="6626" spans="7:8" x14ac:dyDescent="0.3">
      <c r="G6626" s="15">
        <v>18.391666666666666</v>
      </c>
      <c r="H6626" s="3">
        <v>4.0033583333333095E-2</v>
      </c>
    </row>
    <row r="6627" spans="7:8" x14ac:dyDescent="0.3">
      <c r="G6627" s="15">
        <v>18.394444444444446</v>
      </c>
      <c r="H6627" s="3">
        <v>4.0034388888888647E-2</v>
      </c>
    </row>
    <row r="6628" spans="7:8" x14ac:dyDescent="0.3">
      <c r="G6628" s="15">
        <v>18.397222222222222</v>
      </c>
      <c r="H6628" s="3">
        <v>4.00351944444442E-2</v>
      </c>
    </row>
    <row r="6629" spans="7:8" x14ac:dyDescent="0.3">
      <c r="G6629" s="15">
        <v>18.399999999999999</v>
      </c>
      <c r="H6629" s="3">
        <v>4.0035999999999759E-2</v>
      </c>
    </row>
    <row r="6630" spans="7:8" x14ac:dyDescent="0.3">
      <c r="G6630" s="15">
        <v>18.402777777777779</v>
      </c>
      <c r="H6630" s="3">
        <v>4.0036805555555319E-2</v>
      </c>
    </row>
    <row r="6631" spans="7:8" x14ac:dyDescent="0.3">
      <c r="G6631" s="15">
        <v>18.405555555555555</v>
      </c>
      <c r="H6631" s="3">
        <v>4.0037611111110871E-2</v>
      </c>
    </row>
    <row r="6632" spans="7:8" x14ac:dyDescent="0.3">
      <c r="G6632" s="15">
        <v>18.408333333333335</v>
      </c>
      <c r="H6632" s="3">
        <v>4.0038416666666424E-2</v>
      </c>
    </row>
    <row r="6633" spans="7:8" x14ac:dyDescent="0.3">
      <c r="G6633" s="15">
        <v>18.411111111111111</v>
      </c>
      <c r="H6633" s="3">
        <v>4.0039222222221983E-2</v>
      </c>
    </row>
    <row r="6634" spans="7:8" x14ac:dyDescent="0.3">
      <c r="G6634" s="15">
        <v>18.413888888888888</v>
      </c>
      <c r="H6634" s="3">
        <v>4.0040027777777543E-2</v>
      </c>
    </row>
    <row r="6635" spans="7:8" x14ac:dyDescent="0.3">
      <c r="G6635" s="15">
        <v>18.416666666666668</v>
      </c>
      <c r="H6635" s="3">
        <v>4.0040833333333095E-2</v>
      </c>
    </row>
    <row r="6636" spans="7:8" x14ac:dyDescent="0.3">
      <c r="G6636" s="15">
        <v>18.419444444444444</v>
      </c>
      <c r="H6636" s="3">
        <v>4.0041638888888648E-2</v>
      </c>
    </row>
    <row r="6637" spans="7:8" x14ac:dyDescent="0.3">
      <c r="G6637" s="15">
        <v>18.422222222222221</v>
      </c>
      <c r="H6637" s="3">
        <v>4.0042444444444207E-2</v>
      </c>
    </row>
    <row r="6638" spans="7:8" x14ac:dyDescent="0.3">
      <c r="G6638" s="15">
        <v>18.425000000000001</v>
      </c>
      <c r="H6638" s="3">
        <v>4.0043249999999767E-2</v>
      </c>
    </row>
    <row r="6639" spans="7:8" x14ac:dyDescent="0.3">
      <c r="G6639" s="15">
        <v>18.427777777777777</v>
      </c>
      <c r="H6639" s="3">
        <v>4.0044055555555319E-2</v>
      </c>
    </row>
    <row r="6640" spans="7:8" x14ac:dyDescent="0.3">
      <c r="G6640" s="15">
        <v>18.430555555555557</v>
      </c>
      <c r="H6640" s="3">
        <v>4.0044861111110872E-2</v>
      </c>
    </row>
    <row r="6641" spans="7:8" x14ac:dyDescent="0.3">
      <c r="G6641" s="15">
        <v>18.433333333333334</v>
      </c>
      <c r="H6641" s="3">
        <v>4.0045666666666431E-2</v>
      </c>
    </row>
    <row r="6642" spans="7:8" x14ac:dyDescent="0.3">
      <c r="G6642" s="15">
        <v>18.43611111111111</v>
      </c>
      <c r="H6642" s="3">
        <v>4.004647222222199E-2</v>
      </c>
    </row>
    <row r="6643" spans="7:8" x14ac:dyDescent="0.3">
      <c r="G6643" s="15">
        <v>18.43888888888889</v>
      </c>
      <c r="H6643" s="3">
        <v>4.0047277777777543E-2</v>
      </c>
    </row>
    <row r="6644" spans="7:8" x14ac:dyDescent="0.3">
      <c r="G6644" s="15">
        <v>18.441666666666666</v>
      </c>
      <c r="H6644" s="3">
        <v>4.0048083333333095E-2</v>
      </c>
    </row>
    <row r="6645" spans="7:8" x14ac:dyDescent="0.3">
      <c r="G6645" s="15">
        <v>18.444444444444443</v>
      </c>
      <c r="H6645" s="3">
        <v>4.0048888888888655E-2</v>
      </c>
    </row>
    <row r="6646" spans="7:8" x14ac:dyDescent="0.3">
      <c r="G6646" s="15">
        <v>18.447222222222223</v>
      </c>
      <c r="H6646" s="3">
        <v>4.0049694444444214E-2</v>
      </c>
    </row>
    <row r="6647" spans="7:8" x14ac:dyDescent="0.3">
      <c r="G6647" s="15">
        <v>18.45</v>
      </c>
      <c r="H6647" s="3">
        <v>4.0050499999999767E-2</v>
      </c>
    </row>
    <row r="6648" spans="7:8" x14ac:dyDescent="0.3">
      <c r="G6648" s="15">
        <v>18.452777777777779</v>
      </c>
      <c r="H6648" s="3">
        <v>4.0051305555555319E-2</v>
      </c>
    </row>
    <row r="6649" spans="7:8" x14ac:dyDescent="0.3">
      <c r="G6649" s="15">
        <v>18.455555555555556</v>
      </c>
      <c r="H6649" s="3">
        <v>4.0052111111110879E-2</v>
      </c>
    </row>
    <row r="6650" spans="7:8" x14ac:dyDescent="0.3">
      <c r="G6650" s="15">
        <v>18.458333333333332</v>
      </c>
      <c r="H6650" s="3">
        <v>4.0052916666666438E-2</v>
      </c>
    </row>
    <row r="6651" spans="7:8" x14ac:dyDescent="0.3">
      <c r="G6651" s="15">
        <v>18.461111111111112</v>
      </c>
      <c r="H6651" s="3">
        <v>4.0053722222221991E-2</v>
      </c>
    </row>
    <row r="6652" spans="7:8" x14ac:dyDescent="0.3">
      <c r="G6652" s="15">
        <v>18.463888888888889</v>
      </c>
      <c r="H6652" s="3">
        <v>4.0054527777777543E-2</v>
      </c>
    </row>
    <row r="6653" spans="7:8" x14ac:dyDescent="0.3">
      <c r="G6653" s="15">
        <v>18.466666666666665</v>
      </c>
      <c r="H6653" s="3">
        <v>4.0055333333333103E-2</v>
      </c>
    </row>
    <row r="6654" spans="7:8" x14ac:dyDescent="0.3">
      <c r="G6654" s="15">
        <v>18.469444444444445</v>
      </c>
      <c r="H6654" s="3">
        <v>4.0056138888888662E-2</v>
      </c>
    </row>
    <row r="6655" spans="7:8" x14ac:dyDescent="0.3">
      <c r="G6655" s="15">
        <v>18.472222222222221</v>
      </c>
      <c r="H6655" s="3">
        <v>4.0056944444444215E-2</v>
      </c>
    </row>
    <row r="6656" spans="7:8" x14ac:dyDescent="0.3">
      <c r="G6656" s="15">
        <v>18.475000000000001</v>
      </c>
      <c r="H6656" s="3">
        <v>4.0057749999999767E-2</v>
      </c>
    </row>
    <row r="6657" spans="7:8" x14ac:dyDescent="0.3">
      <c r="G6657" s="15">
        <v>18.477777777777778</v>
      </c>
      <c r="H6657" s="3">
        <v>4.0058555555555327E-2</v>
      </c>
    </row>
    <row r="6658" spans="7:8" x14ac:dyDescent="0.3">
      <c r="G6658" s="15">
        <v>18.480555555555554</v>
      </c>
      <c r="H6658" s="3">
        <v>4.0059361111110886E-2</v>
      </c>
    </row>
    <row r="6659" spans="7:8" x14ac:dyDescent="0.3">
      <c r="G6659" s="15">
        <v>18.483333333333334</v>
      </c>
      <c r="H6659" s="3">
        <v>4.0060166666666439E-2</v>
      </c>
    </row>
    <row r="6660" spans="7:8" x14ac:dyDescent="0.3">
      <c r="G6660" s="15">
        <v>18.486111111111111</v>
      </c>
      <c r="H6660" s="3">
        <v>4.0060972222221991E-2</v>
      </c>
    </row>
    <row r="6661" spans="7:8" x14ac:dyDescent="0.3">
      <c r="G6661" s="15">
        <v>18.488888888888887</v>
      </c>
      <c r="H6661" s="3">
        <v>4.0061777777777551E-2</v>
      </c>
    </row>
    <row r="6662" spans="7:8" x14ac:dyDescent="0.3">
      <c r="G6662" s="15">
        <v>18.491666666666667</v>
      </c>
      <c r="H6662" s="3">
        <v>4.006258333333311E-2</v>
      </c>
    </row>
    <row r="6663" spans="7:8" x14ac:dyDescent="0.3">
      <c r="G6663" s="15">
        <v>18.494444444444444</v>
      </c>
      <c r="H6663" s="3">
        <v>4.0063388888888662E-2</v>
      </c>
    </row>
    <row r="6664" spans="7:8" x14ac:dyDescent="0.3">
      <c r="G6664" s="15">
        <v>18.497222222222224</v>
      </c>
      <c r="H6664" s="3">
        <v>4.0064194444444215E-2</v>
      </c>
    </row>
    <row r="6665" spans="7:8" x14ac:dyDescent="0.3">
      <c r="G6665" s="15">
        <v>18.5</v>
      </c>
      <c r="H6665" s="3">
        <v>4.0064999999999774E-2</v>
      </c>
    </row>
    <row r="6666" spans="7:8" x14ac:dyDescent="0.3">
      <c r="G6666" s="15">
        <v>18.502777777777776</v>
      </c>
      <c r="H6666" s="3">
        <v>4.0065805555555334E-2</v>
      </c>
    </row>
    <row r="6667" spans="7:8" x14ac:dyDescent="0.3">
      <c r="G6667" s="15">
        <v>18.505555555555556</v>
      </c>
      <c r="H6667" s="3">
        <v>4.0066611111110886E-2</v>
      </c>
    </row>
    <row r="6668" spans="7:8" x14ac:dyDescent="0.3">
      <c r="G6668" s="15">
        <v>18.508333333333333</v>
      </c>
      <c r="H6668" s="3">
        <v>4.0067416666666439E-2</v>
      </c>
    </row>
    <row r="6669" spans="7:8" x14ac:dyDescent="0.3">
      <c r="G6669" s="15">
        <v>18.511111111111113</v>
      </c>
      <c r="H6669" s="3">
        <v>4.0068222222221998E-2</v>
      </c>
    </row>
    <row r="6670" spans="7:8" x14ac:dyDescent="0.3">
      <c r="G6670" s="15">
        <v>18.513888888888889</v>
      </c>
      <c r="H6670" s="3">
        <v>4.0069027777777558E-2</v>
      </c>
    </row>
    <row r="6671" spans="7:8" x14ac:dyDescent="0.3">
      <c r="G6671" s="15">
        <v>18.516666666666666</v>
      </c>
      <c r="H6671" s="3">
        <v>4.006983333333311E-2</v>
      </c>
    </row>
    <row r="6672" spans="7:8" x14ac:dyDescent="0.3">
      <c r="G6672" s="15">
        <v>18.519444444444446</v>
      </c>
      <c r="H6672" s="3">
        <v>4.0070638888888663E-2</v>
      </c>
    </row>
    <row r="6673" spans="7:8" x14ac:dyDescent="0.3">
      <c r="G6673" s="15">
        <v>18.522222222222222</v>
      </c>
      <c r="H6673" s="3">
        <v>4.0071444444444222E-2</v>
      </c>
    </row>
    <row r="6674" spans="7:8" x14ac:dyDescent="0.3">
      <c r="G6674" s="15">
        <v>18.524999999999999</v>
      </c>
      <c r="H6674" s="3">
        <v>4.0072249999999782E-2</v>
      </c>
    </row>
    <row r="6675" spans="7:8" x14ac:dyDescent="0.3">
      <c r="G6675" s="15">
        <v>18.527777777777779</v>
      </c>
      <c r="H6675" s="3">
        <v>4.0073055555555334E-2</v>
      </c>
    </row>
    <row r="6676" spans="7:8" x14ac:dyDescent="0.3">
      <c r="G6676" s="15">
        <v>18.530555555555555</v>
      </c>
      <c r="H6676" s="3">
        <v>4.0073861111110887E-2</v>
      </c>
    </row>
    <row r="6677" spans="7:8" x14ac:dyDescent="0.3">
      <c r="G6677" s="15">
        <v>18.533333333333335</v>
      </c>
      <c r="H6677" s="3">
        <v>4.0074666666666446E-2</v>
      </c>
    </row>
    <row r="6678" spans="7:8" x14ac:dyDescent="0.3">
      <c r="G6678" s="15">
        <v>18.536111111111111</v>
      </c>
      <c r="H6678" s="3">
        <v>4.0075472222222006E-2</v>
      </c>
    </row>
    <row r="6679" spans="7:8" x14ac:dyDescent="0.3">
      <c r="G6679" s="15">
        <v>18.538888888888888</v>
      </c>
      <c r="H6679" s="3">
        <v>4.0076277777777558E-2</v>
      </c>
    </row>
    <row r="6680" spans="7:8" x14ac:dyDescent="0.3">
      <c r="G6680" s="15">
        <v>18.541666666666668</v>
      </c>
      <c r="H6680" s="3">
        <v>4.0077083333333111E-2</v>
      </c>
    </row>
    <row r="6681" spans="7:8" x14ac:dyDescent="0.3">
      <c r="G6681" s="15">
        <v>18.544444444444444</v>
      </c>
      <c r="H6681" s="3">
        <v>4.007788888888867E-2</v>
      </c>
    </row>
    <row r="6682" spans="7:8" x14ac:dyDescent="0.3">
      <c r="G6682" s="15">
        <v>18.547222222222221</v>
      </c>
      <c r="H6682" s="3">
        <v>4.0078694444444229E-2</v>
      </c>
    </row>
    <row r="6683" spans="7:8" x14ac:dyDescent="0.3">
      <c r="G6683" s="15">
        <v>18.55</v>
      </c>
      <c r="H6683" s="3">
        <v>4.0079499999999782E-2</v>
      </c>
    </row>
    <row r="6684" spans="7:8" x14ac:dyDescent="0.3">
      <c r="G6684" s="15">
        <v>18.552777777777777</v>
      </c>
      <c r="H6684" s="3">
        <v>4.0080305555555334E-2</v>
      </c>
    </row>
    <row r="6685" spans="7:8" x14ac:dyDescent="0.3">
      <c r="G6685" s="15">
        <v>18.555555555555557</v>
      </c>
      <c r="H6685" s="3">
        <v>4.0081111111110894E-2</v>
      </c>
    </row>
    <row r="6686" spans="7:8" x14ac:dyDescent="0.3">
      <c r="G6686" s="15">
        <v>18.558333333333334</v>
      </c>
      <c r="H6686" s="3">
        <v>4.0081916666666453E-2</v>
      </c>
    </row>
    <row r="6687" spans="7:8" x14ac:dyDescent="0.3">
      <c r="G6687" s="15">
        <v>18.56111111111111</v>
      </c>
      <c r="H6687" s="3">
        <v>4.0082722222222006E-2</v>
      </c>
    </row>
    <row r="6688" spans="7:8" x14ac:dyDescent="0.3">
      <c r="G6688" s="15">
        <v>18.56388888888889</v>
      </c>
      <c r="H6688" s="3">
        <v>4.0083527777777558E-2</v>
      </c>
    </row>
    <row r="6689" spans="7:8" x14ac:dyDescent="0.3">
      <c r="G6689" s="15">
        <v>18.566666666666666</v>
      </c>
      <c r="H6689" s="3">
        <v>4.0084333333333118E-2</v>
      </c>
    </row>
    <row r="6690" spans="7:8" x14ac:dyDescent="0.3">
      <c r="G6690" s="15">
        <v>18.569444444444443</v>
      </c>
      <c r="H6690" s="3">
        <v>4.0085138888888677E-2</v>
      </c>
    </row>
    <row r="6691" spans="7:8" x14ac:dyDescent="0.3">
      <c r="G6691" s="15">
        <v>18.572222222222223</v>
      </c>
      <c r="H6691" s="3">
        <v>4.008594444444423E-2</v>
      </c>
    </row>
    <row r="6692" spans="7:8" x14ac:dyDescent="0.3">
      <c r="G6692" s="15">
        <v>18.574999999999999</v>
      </c>
      <c r="H6692" s="3">
        <v>4.0086749999999782E-2</v>
      </c>
    </row>
    <row r="6693" spans="7:8" x14ac:dyDescent="0.3">
      <c r="G6693" s="15">
        <v>18.577777777777779</v>
      </c>
      <c r="H6693" s="3">
        <v>4.0087555555555342E-2</v>
      </c>
    </row>
    <row r="6694" spans="7:8" x14ac:dyDescent="0.3">
      <c r="G6694" s="15">
        <v>18.580555555555556</v>
      </c>
      <c r="H6694" s="3">
        <v>4.0088361111110901E-2</v>
      </c>
    </row>
    <row r="6695" spans="7:8" x14ac:dyDescent="0.3">
      <c r="G6695" s="15">
        <v>18.583333333333332</v>
      </c>
      <c r="H6695" s="3">
        <v>4.0089166666666454E-2</v>
      </c>
    </row>
    <row r="6696" spans="7:8" x14ac:dyDescent="0.3">
      <c r="G6696" s="15">
        <v>18.586111111111112</v>
      </c>
      <c r="H6696" s="3">
        <v>4.0089972222222006E-2</v>
      </c>
    </row>
    <row r="6697" spans="7:8" x14ac:dyDescent="0.3">
      <c r="G6697" s="15">
        <v>18.588888888888889</v>
      </c>
      <c r="H6697" s="3">
        <v>4.0090777777777566E-2</v>
      </c>
    </row>
    <row r="6698" spans="7:8" x14ac:dyDescent="0.3">
      <c r="G6698" s="15">
        <v>18.591666666666665</v>
      </c>
      <c r="H6698" s="3">
        <v>4.0091583333333125E-2</v>
      </c>
    </row>
    <row r="6699" spans="7:8" x14ac:dyDescent="0.3">
      <c r="G6699" s="15">
        <v>18.594444444444445</v>
      </c>
      <c r="H6699" s="3">
        <v>4.0092388888888678E-2</v>
      </c>
    </row>
    <row r="6700" spans="7:8" x14ac:dyDescent="0.3">
      <c r="G6700" s="15">
        <v>18.597222222222221</v>
      </c>
      <c r="H6700" s="3">
        <v>4.009319444444423E-2</v>
      </c>
    </row>
    <row r="6701" spans="7:8" x14ac:dyDescent="0.3">
      <c r="G6701" s="15">
        <v>18.600000000000001</v>
      </c>
      <c r="H6701" s="3">
        <v>4.009399999999979E-2</v>
      </c>
    </row>
    <row r="6702" spans="7:8" x14ac:dyDescent="0.3">
      <c r="G6702" s="15">
        <v>18.602777777777778</v>
      </c>
      <c r="H6702" s="3">
        <v>4.0094805555555349E-2</v>
      </c>
    </row>
    <row r="6703" spans="7:8" x14ac:dyDescent="0.3">
      <c r="G6703" s="15">
        <v>18.605555555555554</v>
      </c>
      <c r="H6703" s="3">
        <v>4.0095611111110901E-2</v>
      </c>
    </row>
    <row r="6704" spans="7:8" x14ac:dyDescent="0.3">
      <c r="G6704" s="15">
        <v>18.608333333333334</v>
      </c>
      <c r="H6704" s="3">
        <v>4.0096416666666454E-2</v>
      </c>
    </row>
    <row r="6705" spans="7:8" x14ac:dyDescent="0.3">
      <c r="G6705" s="15">
        <v>18.611111111111111</v>
      </c>
      <c r="H6705" s="3">
        <v>4.0097222222222013E-2</v>
      </c>
    </row>
    <row r="6706" spans="7:8" x14ac:dyDescent="0.3">
      <c r="G6706" s="15">
        <v>18.613888888888887</v>
      </c>
      <c r="H6706" s="3">
        <v>4.0098027777777573E-2</v>
      </c>
    </row>
    <row r="6707" spans="7:8" x14ac:dyDescent="0.3">
      <c r="G6707" s="15">
        <v>18.616666666666667</v>
      </c>
      <c r="H6707" s="3">
        <v>4.0098833333333125E-2</v>
      </c>
    </row>
    <row r="6708" spans="7:8" x14ac:dyDescent="0.3">
      <c r="G6708" s="15">
        <v>18.619444444444444</v>
      </c>
      <c r="H6708" s="3">
        <v>4.0099638888888678E-2</v>
      </c>
    </row>
    <row r="6709" spans="7:8" x14ac:dyDescent="0.3">
      <c r="G6709" s="15">
        <v>18.622222222222224</v>
      </c>
      <c r="H6709" s="3">
        <v>4.0100444444444237E-2</v>
      </c>
    </row>
    <row r="6710" spans="7:8" x14ac:dyDescent="0.3">
      <c r="G6710" s="15">
        <v>18.625</v>
      </c>
      <c r="H6710" s="3">
        <v>4.0101249999999797E-2</v>
      </c>
    </row>
    <row r="6711" spans="7:8" x14ac:dyDescent="0.3">
      <c r="G6711" s="15">
        <v>18.627777777777776</v>
      </c>
      <c r="H6711" s="3">
        <v>4.0102055555555349E-2</v>
      </c>
    </row>
    <row r="6712" spans="7:8" x14ac:dyDescent="0.3">
      <c r="G6712" s="15">
        <v>18.630555555555556</v>
      </c>
      <c r="H6712" s="3">
        <v>4.0102861111110902E-2</v>
      </c>
    </row>
    <row r="6713" spans="7:8" x14ac:dyDescent="0.3">
      <c r="G6713" s="15">
        <v>18.633333333333333</v>
      </c>
      <c r="H6713" s="3">
        <v>4.0103666666666461E-2</v>
      </c>
    </row>
    <row r="6714" spans="7:8" x14ac:dyDescent="0.3">
      <c r="G6714" s="15">
        <v>18.636111111111113</v>
      </c>
      <c r="H6714" s="3">
        <v>4.0104472222222021E-2</v>
      </c>
    </row>
    <row r="6715" spans="7:8" x14ac:dyDescent="0.3">
      <c r="G6715" s="15">
        <v>18.638888888888889</v>
      </c>
      <c r="H6715" s="3">
        <v>4.0105277777777573E-2</v>
      </c>
    </row>
    <row r="6716" spans="7:8" x14ac:dyDescent="0.3">
      <c r="G6716" s="15">
        <v>18.641666666666666</v>
      </c>
      <c r="H6716" s="3">
        <v>4.0106083333333126E-2</v>
      </c>
    </row>
    <row r="6717" spans="7:8" x14ac:dyDescent="0.3">
      <c r="G6717" s="15">
        <v>18.644444444444446</v>
      </c>
      <c r="H6717" s="3">
        <v>4.0106888888888685E-2</v>
      </c>
    </row>
    <row r="6718" spans="7:8" x14ac:dyDescent="0.3">
      <c r="G6718" s="15">
        <v>18.647222222222222</v>
      </c>
      <c r="H6718" s="3">
        <v>4.0107694444444245E-2</v>
      </c>
    </row>
    <row r="6719" spans="7:8" x14ac:dyDescent="0.3">
      <c r="G6719" s="15">
        <v>18.649999999999999</v>
      </c>
      <c r="H6719" s="3">
        <v>4.0108499999999797E-2</v>
      </c>
    </row>
    <row r="6720" spans="7:8" x14ac:dyDescent="0.3">
      <c r="G6720" s="15">
        <v>18.652777777777779</v>
      </c>
      <c r="H6720" s="3">
        <v>4.010930555555535E-2</v>
      </c>
    </row>
    <row r="6721" spans="7:8" x14ac:dyDescent="0.3">
      <c r="G6721" s="15">
        <v>18.655555555555555</v>
      </c>
      <c r="H6721" s="3">
        <v>4.0110111111110909E-2</v>
      </c>
    </row>
    <row r="6722" spans="7:8" x14ac:dyDescent="0.3">
      <c r="G6722" s="15">
        <v>18.658333333333335</v>
      </c>
      <c r="H6722" s="3">
        <v>4.0110916666666468E-2</v>
      </c>
    </row>
    <row r="6723" spans="7:8" x14ac:dyDescent="0.3">
      <c r="G6723" s="15">
        <v>18.661111111111111</v>
      </c>
      <c r="H6723" s="3">
        <v>4.0111722222222021E-2</v>
      </c>
    </row>
    <row r="6724" spans="7:8" x14ac:dyDescent="0.3">
      <c r="G6724" s="15">
        <v>18.663888888888888</v>
      </c>
      <c r="H6724" s="3">
        <v>4.0112527777777574E-2</v>
      </c>
    </row>
    <row r="6725" spans="7:8" x14ac:dyDescent="0.3">
      <c r="G6725" s="15">
        <v>18.666666666666668</v>
      </c>
      <c r="H6725" s="3">
        <v>4.0113333333333133E-2</v>
      </c>
    </row>
    <row r="6726" spans="7:8" x14ac:dyDescent="0.3">
      <c r="G6726" s="15">
        <v>18.669444444444444</v>
      </c>
      <c r="H6726" s="3">
        <v>4.0114138888888692E-2</v>
      </c>
    </row>
    <row r="6727" spans="7:8" x14ac:dyDescent="0.3">
      <c r="G6727" s="15">
        <v>18.672222222222221</v>
      </c>
      <c r="H6727" s="3">
        <v>4.0114944444444245E-2</v>
      </c>
    </row>
    <row r="6728" spans="7:8" x14ac:dyDescent="0.3">
      <c r="G6728" s="15">
        <v>18.675000000000001</v>
      </c>
      <c r="H6728" s="3">
        <v>4.0115749999999797E-2</v>
      </c>
    </row>
    <row r="6729" spans="7:8" x14ac:dyDescent="0.3">
      <c r="G6729" s="15">
        <v>18.677777777777777</v>
      </c>
      <c r="H6729" s="3">
        <v>4.0116555555555357E-2</v>
      </c>
    </row>
    <row r="6730" spans="7:8" x14ac:dyDescent="0.3">
      <c r="G6730" s="15">
        <v>18.680555555555557</v>
      </c>
      <c r="H6730" s="3">
        <v>4.0117361111110916E-2</v>
      </c>
    </row>
    <row r="6731" spans="7:8" x14ac:dyDescent="0.3">
      <c r="G6731" s="15">
        <v>18.683333333333334</v>
      </c>
      <c r="H6731" s="3">
        <v>4.0118166666666469E-2</v>
      </c>
    </row>
    <row r="6732" spans="7:8" x14ac:dyDescent="0.3">
      <c r="G6732" s="15">
        <v>18.68611111111111</v>
      </c>
      <c r="H6732" s="3">
        <v>4.0118972222222021E-2</v>
      </c>
    </row>
    <row r="6733" spans="7:8" x14ac:dyDescent="0.3">
      <c r="G6733" s="15">
        <v>18.68888888888889</v>
      </c>
      <c r="H6733" s="3">
        <v>4.0119777777777581E-2</v>
      </c>
    </row>
    <row r="6734" spans="7:8" x14ac:dyDescent="0.3">
      <c r="G6734" s="15">
        <v>18.691666666666666</v>
      </c>
      <c r="H6734" s="3">
        <v>4.012058333333314E-2</v>
      </c>
    </row>
    <row r="6735" spans="7:8" x14ac:dyDescent="0.3">
      <c r="G6735" s="15">
        <v>18.694444444444443</v>
      </c>
      <c r="H6735" s="3">
        <v>4.0121388888888693E-2</v>
      </c>
    </row>
    <row r="6736" spans="7:8" x14ac:dyDescent="0.3">
      <c r="G6736" s="15">
        <v>18.697222222222223</v>
      </c>
      <c r="H6736" s="3">
        <v>4.0122194444444245E-2</v>
      </c>
    </row>
    <row r="6737" spans="7:8" x14ac:dyDescent="0.3">
      <c r="G6737" s="15">
        <v>18.7</v>
      </c>
      <c r="H6737" s="3">
        <v>4.0122999999999805E-2</v>
      </c>
    </row>
    <row r="6738" spans="7:8" x14ac:dyDescent="0.3">
      <c r="G6738" s="15">
        <v>18.702777777777779</v>
      </c>
      <c r="H6738" s="3">
        <v>4.0123805555555364E-2</v>
      </c>
    </row>
    <row r="6739" spans="7:8" x14ac:dyDescent="0.3">
      <c r="G6739" s="15">
        <v>18.705555555555556</v>
      </c>
      <c r="H6739" s="3">
        <v>4.0124611111110917E-2</v>
      </c>
    </row>
    <row r="6740" spans="7:8" x14ac:dyDescent="0.3">
      <c r="G6740" s="15">
        <v>18.708333333333332</v>
      </c>
      <c r="H6740" s="3">
        <v>4.0125416666666469E-2</v>
      </c>
    </row>
    <row r="6741" spans="7:8" x14ac:dyDescent="0.3">
      <c r="G6741" s="15">
        <v>18.711111111111112</v>
      </c>
      <c r="H6741" s="3">
        <v>4.0126222222222029E-2</v>
      </c>
    </row>
    <row r="6742" spans="7:8" x14ac:dyDescent="0.3">
      <c r="G6742" s="15">
        <v>18.713888888888889</v>
      </c>
      <c r="H6742" s="3">
        <v>4.0127027777777588E-2</v>
      </c>
    </row>
    <row r="6743" spans="7:8" x14ac:dyDescent="0.3">
      <c r="G6743" s="15">
        <v>18.716666666666665</v>
      </c>
      <c r="H6743" s="3">
        <v>4.0127833333333141E-2</v>
      </c>
    </row>
    <row r="6744" spans="7:8" x14ac:dyDescent="0.3">
      <c r="G6744" s="15">
        <v>18.719444444444445</v>
      </c>
      <c r="H6744" s="3">
        <v>4.0128638888888693E-2</v>
      </c>
    </row>
    <row r="6745" spans="7:8" x14ac:dyDescent="0.3">
      <c r="G6745" s="15">
        <v>18.722222222222221</v>
      </c>
      <c r="H6745" s="3">
        <v>4.0129444444444252E-2</v>
      </c>
    </row>
    <row r="6746" spans="7:8" x14ac:dyDescent="0.3">
      <c r="G6746" s="15">
        <v>18.725000000000001</v>
      </c>
      <c r="H6746" s="3">
        <v>4.0130249999999812E-2</v>
      </c>
    </row>
    <row r="6747" spans="7:8" x14ac:dyDescent="0.3">
      <c r="G6747" s="15">
        <v>18.727777777777778</v>
      </c>
      <c r="H6747" s="3">
        <v>4.0131055555555364E-2</v>
      </c>
    </row>
    <row r="6748" spans="7:8" x14ac:dyDescent="0.3">
      <c r="G6748" s="15">
        <v>18.730555555555554</v>
      </c>
      <c r="H6748" s="3">
        <v>4.0131861111110917E-2</v>
      </c>
    </row>
    <row r="6749" spans="7:8" x14ac:dyDescent="0.3">
      <c r="G6749" s="15">
        <v>18.733333333333334</v>
      </c>
      <c r="H6749" s="3">
        <v>4.0132666666666476E-2</v>
      </c>
    </row>
    <row r="6750" spans="7:8" x14ac:dyDescent="0.3">
      <c r="G6750" s="15">
        <v>18.736111111111111</v>
      </c>
      <c r="H6750" s="3">
        <v>4.0133472222222036E-2</v>
      </c>
    </row>
    <row r="6751" spans="7:8" x14ac:dyDescent="0.3">
      <c r="G6751" s="15">
        <v>18.738888888888887</v>
      </c>
      <c r="H6751" s="3">
        <v>4.0134277777777588E-2</v>
      </c>
    </row>
    <row r="6752" spans="7:8" x14ac:dyDescent="0.3">
      <c r="G6752" s="15">
        <v>18.741666666666667</v>
      </c>
      <c r="H6752" s="3">
        <v>4.0135083333333141E-2</v>
      </c>
    </row>
    <row r="6753" spans="7:8" x14ac:dyDescent="0.3">
      <c r="G6753" s="15">
        <v>18.744444444444444</v>
      </c>
      <c r="H6753" s="3">
        <v>4.01358888888887E-2</v>
      </c>
    </row>
    <row r="6754" spans="7:8" x14ac:dyDescent="0.3">
      <c r="G6754" s="15">
        <v>18.747222222222224</v>
      </c>
      <c r="H6754" s="3">
        <v>4.013669444444426E-2</v>
      </c>
    </row>
    <row r="6755" spans="7:8" x14ac:dyDescent="0.3">
      <c r="G6755" s="15">
        <v>18.75</v>
      </c>
      <c r="H6755" s="3">
        <v>4.0137499999999812E-2</v>
      </c>
    </row>
    <row r="6756" spans="7:8" x14ac:dyDescent="0.3">
      <c r="G6756" s="15">
        <v>18.752777777777776</v>
      </c>
      <c r="H6756" s="3">
        <v>4.0138305555555365E-2</v>
      </c>
    </row>
    <row r="6757" spans="7:8" x14ac:dyDescent="0.3">
      <c r="G6757" s="15">
        <v>18.755555555555556</v>
      </c>
      <c r="H6757" s="3">
        <v>4.0139111111110924E-2</v>
      </c>
    </row>
    <row r="6758" spans="7:8" x14ac:dyDescent="0.3">
      <c r="G6758" s="15">
        <v>18.758333333333333</v>
      </c>
      <c r="H6758" s="3">
        <v>4.0139916666666484E-2</v>
      </c>
    </row>
    <row r="6759" spans="7:8" x14ac:dyDescent="0.3">
      <c r="G6759" s="15">
        <v>18.761111111111113</v>
      </c>
      <c r="H6759" s="3">
        <v>4.0140722222222036E-2</v>
      </c>
    </row>
    <row r="6760" spans="7:8" x14ac:dyDescent="0.3">
      <c r="G6760" s="15">
        <v>18.763888888888889</v>
      </c>
      <c r="H6760" s="3">
        <v>4.0141527777777589E-2</v>
      </c>
    </row>
    <row r="6761" spans="7:8" x14ac:dyDescent="0.3">
      <c r="G6761" s="15">
        <v>18.766666666666666</v>
      </c>
      <c r="H6761" s="3">
        <v>4.0142333333333148E-2</v>
      </c>
    </row>
    <row r="6762" spans="7:8" x14ac:dyDescent="0.3">
      <c r="G6762" s="15">
        <v>18.769444444444446</v>
      </c>
      <c r="H6762" s="3">
        <v>4.0143138888888708E-2</v>
      </c>
    </row>
    <row r="6763" spans="7:8" x14ac:dyDescent="0.3">
      <c r="G6763" s="15">
        <v>18.772222222222222</v>
      </c>
      <c r="H6763" s="3">
        <v>4.014394444444426E-2</v>
      </c>
    </row>
    <row r="6764" spans="7:8" x14ac:dyDescent="0.3">
      <c r="G6764" s="15">
        <v>18.774999999999999</v>
      </c>
      <c r="H6764" s="3">
        <v>4.0144749999999813E-2</v>
      </c>
    </row>
    <row r="6765" spans="7:8" x14ac:dyDescent="0.3">
      <c r="G6765" s="15">
        <v>18.777777777777779</v>
      </c>
      <c r="H6765" s="3">
        <v>4.0145555555555372E-2</v>
      </c>
    </row>
    <row r="6766" spans="7:8" x14ac:dyDescent="0.3">
      <c r="G6766" s="15">
        <v>18.780555555555555</v>
      </c>
      <c r="H6766" s="3">
        <v>4.0146361111110931E-2</v>
      </c>
    </row>
    <row r="6767" spans="7:8" x14ac:dyDescent="0.3">
      <c r="G6767" s="15">
        <v>18.783333333333335</v>
      </c>
      <c r="H6767" s="3">
        <v>4.0147166666666484E-2</v>
      </c>
    </row>
    <row r="6768" spans="7:8" x14ac:dyDescent="0.3">
      <c r="G6768" s="15">
        <v>18.786111111111111</v>
      </c>
      <c r="H6768" s="3">
        <v>4.0147972222222036E-2</v>
      </c>
    </row>
    <row r="6769" spans="7:8" x14ac:dyDescent="0.3">
      <c r="G6769" s="15">
        <v>18.788888888888888</v>
      </c>
      <c r="H6769" s="3">
        <v>4.0148777777777596E-2</v>
      </c>
    </row>
    <row r="6770" spans="7:8" x14ac:dyDescent="0.3">
      <c r="G6770" s="15">
        <v>18.791666666666668</v>
      </c>
      <c r="H6770" s="3">
        <v>4.0149583333333155E-2</v>
      </c>
    </row>
    <row r="6771" spans="7:8" x14ac:dyDescent="0.3">
      <c r="G6771" s="15">
        <v>18.794444444444444</v>
      </c>
      <c r="H6771" s="3">
        <v>4.0150388888888708E-2</v>
      </c>
    </row>
    <row r="6772" spans="7:8" x14ac:dyDescent="0.3">
      <c r="G6772" s="15">
        <v>18.797222222222221</v>
      </c>
      <c r="H6772" s="3">
        <v>4.015119444444426E-2</v>
      </c>
    </row>
    <row r="6773" spans="7:8" x14ac:dyDescent="0.3">
      <c r="G6773" s="15">
        <v>18.8</v>
      </c>
      <c r="H6773" s="3">
        <v>4.015199999999982E-2</v>
      </c>
    </row>
    <row r="6774" spans="7:8" x14ac:dyDescent="0.3">
      <c r="G6774" s="15">
        <v>18.802777777777777</v>
      </c>
      <c r="H6774" s="3">
        <v>4.0152805555555379E-2</v>
      </c>
    </row>
    <row r="6775" spans="7:8" x14ac:dyDescent="0.3">
      <c r="G6775" s="15">
        <v>18.805555555555557</v>
      </c>
      <c r="H6775" s="3">
        <v>4.0153611111110932E-2</v>
      </c>
    </row>
    <row r="6776" spans="7:8" x14ac:dyDescent="0.3">
      <c r="G6776" s="15">
        <v>18.808333333333334</v>
      </c>
      <c r="H6776" s="3">
        <v>4.0154416666666484E-2</v>
      </c>
    </row>
    <row r="6777" spans="7:8" x14ac:dyDescent="0.3">
      <c r="G6777" s="15">
        <v>18.81111111111111</v>
      </c>
      <c r="H6777" s="3">
        <v>4.0155222222222044E-2</v>
      </c>
    </row>
    <row r="6778" spans="7:8" x14ac:dyDescent="0.3">
      <c r="G6778" s="15">
        <v>18.81388888888889</v>
      </c>
      <c r="H6778" s="3">
        <v>4.0156027777777603E-2</v>
      </c>
    </row>
    <row r="6779" spans="7:8" x14ac:dyDescent="0.3">
      <c r="G6779" s="15">
        <v>18.816666666666666</v>
      </c>
      <c r="H6779" s="3">
        <v>4.0156833333333156E-2</v>
      </c>
    </row>
    <row r="6780" spans="7:8" x14ac:dyDescent="0.3">
      <c r="G6780" s="15">
        <v>18.819444444444443</v>
      </c>
      <c r="H6780" s="3">
        <v>4.0157638888888708E-2</v>
      </c>
    </row>
    <row r="6781" spans="7:8" x14ac:dyDescent="0.3">
      <c r="G6781" s="15">
        <v>18.822222222222223</v>
      </c>
      <c r="H6781" s="3">
        <v>4.0158444444444268E-2</v>
      </c>
    </row>
    <row r="6782" spans="7:8" x14ac:dyDescent="0.3">
      <c r="G6782" s="15">
        <v>18.824999999999999</v>
      </c>
      <c r="H6782" s="3">
        <v>4.0159249999999827E-2</v>
      </c>
    </row>
    <row r="6783" spans="7:8" x14ac:dyDescent="0.3">
      <c r="G6783" s="15">
        <v>18.827777777777779</v>
      </c>
      <c r="H6783" s="3">
        <v>4.016005555555538E-2</v>
      </c>
    </row>
    <row r="6784" spans="7:8" x14ac:dyDescent="0.3">
      <c r="G6784" s="15">
        <v>18.830555555555556</v>
      </c>
      <c r="H6784" s="3">
        <v>4.0160861111110932E-2</v>
      </c>
    </row>
    <row r="6785" spans="7:8" x14ac:dyDescent="0.3">
      <c r="G6785" s="15">
        <v>18.833333333333332</v>
      </c>
      <c r="H6785" s="3">
        <v>4.0161666666666491E-2</v>
      </c>
    </row>
    <row r="6786" spans="7:8" x14ac:dyDescent="0.3">
      <c r="G6786" s="15">
        <v>18.836111111111112</v>
      </c>
      <c r="H6786" s="3">
        <v>4.0162472222222051E-2</v>
      </c>
    </row>
    <row r="6787" spans="7:8" x14ac:dyDescent="0.3">
      <c r="G6787" s="15">
        <v>18.838888888888889</v>
      </c>
      <c r="H6787" s="3">
        <v>4.0163277777777603E-2</v>
      </c>
    </row>
    <row r="6788" spans="7:8" x14ac:dyDescent="0.3">
      <c r="G6788" s="15">
        <v>18.841666666666665</v>
      </c>
      <c r="H6788" s="3">
        <v>4.0164083333333156E-2</v>
      </c>
    </row>
    <row r="6789" spans="7:8" x14ac:dyDescent="0.3">
      <c r="G6789" s="15">
        <v>18.844444444444445</v>
      </c>
      <c r="H6789" s="3">
        <v>4.0164888888888715E-2</v>
      </c>
    </row>
    <row r="6790" spans="7:8" x14ac:dyDescent="0.3">
      <c r="G6790" s="15">
        <v>18.847222222222221</v>
      </c>
      <c r="H6790" s="3">
        <v>4.0165694444444275E-2</v>
      </c>
    </row>
    <row r="6791" spans="7:8" x14ac:dyDescent="0.3">
      <c r="G6791" s="15">
        <v>18.850000000000001</v>
      </c>
      <c r="H6791" s="3">
        <v>4.0166499999999827E-2</v>
      </c>
    </row>
    <row r="6792" spans="7:8" x14ac:dyDescent="0.3">
      <c r="G6792" s="15">
        <v>18.852777777777778</v>
      </c>
      <c r="H6792" s="3">
        <v>4.016730555555538E-2</v>
      </c>
    </row>
    <row r="6793" spans="7:8" x14ac:dyDescent="0.3">
      <c r="G6793" s="15">
        <v>18.855555555555554</v>
      </c>
      <c r="H6793" s="3">
        <v>4.0168111111110939E-2</v>
      </c>
    </row>
    <row r="6794" spans="7:8" x14ac:dyDescent="0.3">
      <c r="G6794" s="15">
        <v>18.858333333333334</v>
      </c>
      <c r="H6794" s="3">
        <v>4.0168916666666499E-2</v>
      </c>
    </row>
    <row r="6795" spans="7:8" x14ac:dyDescent="0.3">
      <c r="G6795" s="15">
        <v>18.861111111111111</v>
      </c>
      <c r="H6795" s="3">
        <v>4.0169722222222051E-2</v>
      </c>
    </row>
    <row r="6796" spans="7:8" x14ac:dyDescent="0.3">
      <c r="G6796" s="15">
        <v>18.863888888888887</v>
      </c>
      <c r="H6796" s="3">
        <v>4.0170527777777604E-2</v>
      </c>
    </row>
    <row r="6797" spans="7:8" x14ac:dyDescent="0.3">
      <c r="G6797" s="15">
        <v>18.866666666666667</v>
      </c>
      <c r="H6797" s="3">
        <v>4.0171333333333163E-2</v>
      </c>
    </row>
    <row r="6798" spans="7:8" x14ac:dyDescent="0.3">
      <c r="G6798" s="15">
        <v>18.869444444444444</v>
      </c>
      <c r="H6798" s="3">
        <v>4.0172138888888723E-2</v>
      </c>
    </row>
    <row r="6799" spans="7:8" x14ac:dyDescent="0.3">
      <c r="G6799" s="15">
        <v>18.872222222222224</v>
      </c>
      <c r="H6799" s="3">
        <v>4.0172944444444275E-2</v>
      </c>
    </row>
    <row r="6800" spans="7:8" x14ac:dyDescent="0.3">
      <c r="G6800" s="15">
        <v>18.875</v>
      </c>
      <c r="H6800" s="3">
        <v>4.0173749999999828E-2</v>
      </c>
    </row>
    <row r="6801" spans="7:8" x14ac:dyDescent="0.3">
      <c r="G6801" s="15">
        <v>18.877777777777776</v>
      </c>
      <c r="H6801" s="3">
        <v>4.0174555555555387E-2</v>
      </c>
    </row>
    <row r="6802" spans="7:8" x14ac:dyDescent="0.3">
      <c r="G6802" s="15">
        <v>18.880555555555556</v>
      </c>
      <c r="H6802" s="3">
        <v>4.0175361111110947E-2</v>
      </c>
    </row>
    <row r="6803" spans="7:8" x14ac:dyDescent="0.3">
      <c r="G6803" s="15">
        <v>18.883333333333333</v>
      </c>
      <c r="H6803" s="3">
        <v>4.0176166666666499E-2</v>
      </c>
    </row>
    <row r="6804" spans="7:8" x14ac:dyDescent="0.3">
      <c r="G6804" s="15">
        <v>18.886111111111113</v>
      </c>
      <c r="H6804" s="3">
        <v>4.0176972222222052E-2</v>
      </c>
    </row>
    <row r="6805" spans="7:8" x14ac:dyDescent="0.3">
      <c r="G6805" s="15">
        <v>18.888888888888889</v>
      </c>
      <c r="H6805" s="3">
        <v>4.0177777777777611E-2</v>
      </c>
    </row>
    <row r="6806" spans="7:8" x14ac:dyDescent="0.3">
      <c r="G6806" s="15">
        <v>18.891666666666666</v>
      </c>
      <c r="H6806" s="3">
        <v>4.017858333333317E-2</v>
      </c>
    </row>
    <row r="6807" spans="7:8" x14ac:dyDescent="0.3">
      <c r="G6807" s="15">
        <v>18.894444444444446</v>
      </c>
      <c r="H6807" s="3">
        <v>4.0179388888888723E-2</v>
      </c>
    </row>
    <row r="6808" spans="7:8" x14ac:dyDescent="0.3">
      <c r="G6808" s="15">
        <v>18.897222222222222</v>
      </c>
      <c r="H6808" s="3">
        <v>4.0180194444444275E-2</v>
      </c>
    </row>
    <row r="6809" spans="7:8" x14ac:dyDescent="0.3">
      <c r="G6809" s="15">
        <v>18.899999999999999</v>
      </c>
      <c r="H6809" s="3">
        <v>4.0180999999999835E-2</v>
      </c>
    </row>
    <row r="6810" spans="7:8" x14ac:dyDescent="0.3">
      <c r="G6810" s="15">
        <v>18.902777777777779</v>
      </c>
      <c r="H6810" s="3">
        <v>4.0181805555555394E-2</v>
      </c>
    </row>
    <row r="6811" spans="7:8" x14ac:dyDescent="0.3">
      <c r="G6811" s="15">
        <v>18.905555555555555</v>
      </c>
      <c r="H6811" s="3">
        <v>4.0182611111110947E-2</v>
      </c>
    </row>
    <row r="6812" spans="7:8" x14ac:dyDescent="0.3">
      <c r="G6812" s="15">
        <v>18.908333333333335</v>
      </c>
      <c r="H6812" s="3">
        <v>4.0183416666666499E-2</v>
      </c>
    </row>
    <row r="6813" spans="7:8" x14ac:dyDescent="0.3">
      <c r="G6813" s="15">
        <v>18.911111111111111</v>
      </c>
      <c r="H6813" s="3">
        <v>4.0184222222222059E-2</v>
      </c>
    </row>
    <row r="6814" spans="7:8" x14ac:dyDescent="0.3">
      <c r="G6814" s="15">
        <v>18.913888888888888</v>
      </c>
      <c r="H6814" s="3">
        <v>4.0185027777777618E-2</v>
      </c>
    </row>
    <row r="6815" spans="7:8" x14ac:dyDescent="0.3">
      <c r="G6815" s="15">
        <v>18.916666666666668</v>
      </c>
      <c r="H6815" s="3">
        <v>4.0185833333333171E-2</v>
      </c>
    </row>
    <row r="6816" spans="7:8" x14ac:dyDescent="0.3">
      <c r="G6816" s="15">
        <v>18.919444444444444</v>
      </c>
      <c r="H6816" s="3">
        <v>4.0186638888888723E-2</v>
      </c>
    </row>
    <row r="6817" spans="7:8" x14ac:dyDescent="0.3">
      <c r="G6817" s="15">
        <v>18.922222222222221</v>
      </c>
      <c r="H6817" s="3">
        <v>4.0187444444444283E-2</v>
      </c>
    </row>
    <row r="6818" spans="7:8" x14ac:dyDescent="0.3">
      <c r="G6818" s="15">
        <v>18.925000000000001</v>
      </c>
      <c r="H6818" s="3">
        <v>4.0188249999999842E-2</v>
      </c>
    </row>
    <row r="6819" spans="7:8" x14ac:dyDescent="0.3">
      <c r="G6819" s="15">
        <v>18.927777777777777</v>
      </c>
      <c r="H6819" s="3">
        <v>4.0189055555555395E-2</v>
      </c>
    </row>
    <row r="6820" spans="7:8" x14ac:dyDescent="0.3">
      <c r="G6820" s="15">
        <v>18.930555555555557</v>
      </c>
      <c r="H6820" s="3">
        <v>4.0189861111110947E-2</v>
      </c>
    </row>
    <row r="6821" spans="7:8" x14ac:dyDescent="0.3">
      <c r="G6821" s="15">
        <v>18.933333333333334</v>
      </c>
      <c r="H6821" s="3">
        <v>4.0190666666666507E-2</v>
      </c>
    </row>
    <row r="6822" spans="7:8" x14ac:dyDescent="0.3">
      <c r="G6822" s="15">
        <v>18.93611111111111</v>
      </c>
      <c r="H6822" s="3">
        <v>4.0191472222222066E-2</v>
      </c>
    </row>
    <row r="6823" spans="7:8" x14ac:dyDescent="0.3">
      <c r="G6823" s="15">
        <v>18.93888888888889</v>
      </c>
      <c r="H6823" s="3">
        <v>4.0192277777777619E-2</v>
      </c>
    </row>
    <row r="6824" spans="7:8" x14ac:dyDescent="0.3">
      <c r="G6824" s="15">
        <v>18.941666666666666</v>
      </c>
      <c r="H6824" s="3">
        <v>4.0193083333333171E-2</v>
      </c>
    </row>
    <row r="6825" spans="7:8" x14ac:dyDescent="0.3">
      <c r="G6825" s="15">
        <v>18.944444444444443</v>
      </c>
      <c r="H6825" s="3">
        <v>4.0193888888888731E-2</v>
      </c>
    </row>
    <row r="6826" spans="7:8" x14ac:dyDescent="0.3">
      <c r="G6826" s="15">
        <v>18.947222222222223</v>
      </c>
      <c r="H6826" s="3">
        <v>4.019469444444429E-2</v>
      </c>
    </row>
    <row r="6827" spans="7:8" x14ac:dyDescent="0.3">
      <c r="G6827" s="15">
        <v>18.95</v>
      </c>
      <c r="H6827" s="3">
        <v>4.0195499999999842E-2</v>
      </c>
    </row>
    <row r="6828" spans="7:8" x14ac:dyDescent="0.3">
      <c r="G6828" s="15">
        <v>18.952777777777779</v>
      </c>
      <c r="H6828" s="3">
        <v>4.0196305555555395E-2</v>
      </c>
    </row>
    <row r="6829" spans="7:8" x14ac:dyDescent="0.3">
      <c r="G6829" s="15">
        <v>18.955555555555556</v>
      </c>
      <c r="H6829" s="3">
        <v>4.0197111111110954E-2</v>
      </c>
    </row>
    <row r="6830" spans="7:8" x14ac:dyDescent="0.3">
      <c r="G6830" s="15">
        <v>18.958333333333332</v>
      </c>
      <c r="H6830" s="3">
        <v>4.0197916666666514E-2</v>
      </c>
    </row>
    <row r="6831" spans="7:8" x14ac:dyDescent="0.3">
      <c r="G6831" s="15">
        <v>18.961111111111112</v>
      </c>
      <c r="H6831" s="3">
        <v>4.0198722222222066E-2</v>
      </c>
    </row>
    <row r="6832" spans="7:8" x14ac:dyDescent="0.3">
      <c r="G6832" s="15">
        <v>18.963888888888889</v>
      </c>
      <c r="H6832" s="3">
        <v>4.0199527777777619E-2</v>
      </c>
    </row>
    <row r="6833" spans="7:8" x14ac:dyDescent="0.3">
      <c r="G6833" s="15">
        <v>18.966666666666665</v>
      </c>
      <c r="H6833" s="3">
        <v>4.0200333333333178E-2</v>
      </c>
    </row>
    <row r="6834" spans="7:8" x14ac:dyDescent="0.3">
      <c r="G6834" s="15">
        <v>18.969444444444445</v>
      </c>
      <c r="H6834" s="3">
        <v>4.0201138888888738E-2</v>
      </c>
    </row>
    <row r="6835" spans="7:8" x14ac:dyDescent="0.3">
      <c r="G6835" s="15">
        <v>18.972222222222221</v>
      </c>
      <c r="H6835" s="3">
        <v>4.020194444444429E-2</v>
      </c>
    </row>
    <row r="6836" spans="7:8" x14ac:dyDescent="0.3">
      <c r="G6836" s="15">
        <v>18.975000000000001</v>
      </c>
      <c r="H6836" s="3">
        <v>4.0202749999999843E-2</v>
      </c>
    </row>
    <row r="6837" spans="7:8" x14ac:dyDescent="0.3">
      <c r="G6837" s="15">
        <v>18.977777777777778</v>
      </c>
      <c r="H6837" s="3">
        <v>4.0203555555555402E-2</v>
      </c>
    </row>
    <row r="6838" spans="7:8" x14ac:dyDescent="0.3">
      <c r="G6838" s="15">
        <v>18.980555555555554</v>
      </c>
      <c r="H6838" s="3">
        <v>4.0204361111110962E-2</v>
      </c>
    </row>
    <row r="6839" spans="7:8" x14ac:dyDescent="0.3">
      <c r="G6839" s="15">
        <v>18.983333333333334</v>
      </c>
      <c r="H6839" s="3">
        <v>4.0205166666666514E-2</v>
      </c>
    </row>
    <row r="6840" spans="7:8" x14ac:dyDescent="0.3">
      <c r="G6840" s="15">
        <v>18.986111111111111</v>
      </c>
      <c r="H6840" s="3">
        <v>4.0205972222222067E-2</v>
      </c>
    </row>
    <row r="6841" spans="7:8" x14ac:dyDescent="0.3">
      <c r="G6841" s="15">
        <v>18.988888888888887</v>
      </c>
      <c r="H6841" s="3">
        <v>4.0206777777777626E-2</v>
      </c>
    </row>
    <row r="6842" spans="7:8" x14ac:dyDescent="0.3">
      <c r="G6842" s="15">
        <v>18.991666666666667</v>
      </c>
      <c r="H6842" s="3">
        <v>4.0207583333333186E-2</v>
      </c>
    </row>
    <row r="6843" spans="7:8" x14ac:dyDescent="0.3">
      <c r="G6843" s="15">
        <v>18.994444444444444</v>
      </c>
      <c r="H6843" s="3">
        <v>4.0208388888888738E-2</v>
      </c>
    </row>
    <row r="6844" spans="7:8" x14ac:dyDescent="0.3">
      <c r="G6844" s="15">
        <v>18.997222222222224</v>
      </c>
      <c r="H6844" s="3">
        <v>4.0209194444444291E-2</v>
      </c>
    </row>
    <row r="6845" spans="7:8" x14ac:dyDescent="0.3">
      <c r="G6845" s="15">
        <v>19</v>
      </c>
      <c r="H6845" s="3">
        <v>4.020999999999985E-2</v>
      </c>
    </row>
    <row r="6846" spans="7:8" x14ac:dyDescent="0.3">
      <c r="G6846" s="15">
        <v>19.002777777777776</v>
      </c>
      <c r="H6846" s="3">
        <v>4.0210805555555409E-2</v>
      </c>
    </row>
    <row r="6847" spans="7:8" x14ac:dyDescent="0.3">
      <c r="G6847" s="15">
        <v>19.005555555555556</v>
      </c>
      <c r="H6847" s="3">
        <v>4.0211611111110962E-2</v>
      </c>
    </row>
    <row r="6848" spans="7:8" x14ac:dyDescent="0.3">
      <c r="G6848" s="15">
        <v>19.008333333333333</v>
      </c>
      <c r="H6848" s="3">
        <v>4.0212416666666514E-2</v>
      </c>
    </row>
    <row r="6849" spans="7:8" x14ac:dyDescent="0.3">
      <c r="G6849" s="15">
        <v>19.011111111111113</v>
      </c>
      <c r="H6849" s="3">
        <v>4.0213222222222074E-2</v>
      </c>
    </row>
    <row r="6850" spans="7:8" x14ac:dyDescent="0.3">
      <c r="G6850" s="15">
        <v>19.013888888888889</v>
      </c>
      <c r="H6850" s="3">
        <v>4.0214027777777633E-2</v>
      </c>
    </row>
    <row r="6851" spans="7:8" x14ac:dyDescent="0.3">
      <c r="G6851" s="15">
        <v>19.016666666666666</v>
      </c>
      <c r="H6851" s="3">
        <v>4.0214833333333186E-2</v>
      </c>
    </row>
    <row r="6852" spans="7:8" x14ac:dyDescent="0.3">
      <c r="G6852" s="15">
        <v>19.019444444444446</v>
      </c>
      <c r="H6852" s="3">
        <v>4.0215638888888738E-2</v>
      </c>
    </row>
    <row r="6853" spans="7:8" x14ac:dyDescent="0.3">
      <c r="G6853" s="15">
        <v>19.022222222222222</v>
      </c>
      <c r="H6853" s="3">
        <v>4.0216444444444298E-2</v>
      </c>
    </row>
    <row r="6854" spans="7:8" x14ac:dyDescent="0.3">
      <c r="G6854" s="15">
        <v>19.024999999999999</v>
      </c>
      <c r="H6854" s="3">
        <v>4.0217249999999857E-2</v>
      </c>
    </row>
    <row r="6855" spans="7:8" x14ac:dyDescent="0.3">
      <c r="G6855" s="15">
        <v>19.027777777777779</v>
      </c>
      <c r="H6855" s="3">
        <v>4.021805555555541E-2</v>
      </c>
    </row>
    <row r="6856" spans="7:8" x14ac:dyDescent="0.3">
      <c r="G6856" s="15">
        <v>19.030555555555555</v>
      </c>
      <c r="H6856" s="3">
        <v>4.0218861111110962E-2</v>
      </c>
    </row>
    <row r="6857" spans="7:8" x14ac:dyDescent="0.3">
      <c r="G6857" s="15">
        <v>19.033333333333335</v>
      </c>
      <c r="H6857" s="3">
        <v>4.0219666666666522E-2</v>
      </c>
    </row>
    <row r="6858" spans="7:8" x14ac:dyDescent="0.3">
      <c r="G6858" s="15">
        <v>19.036111111111111</v>
      </c>
      <c r="H6858" s="3">
        <v>4.0220472222222081E-2</v>
      </c>
    </row>
    <row r="6859" spans="7:8" x14ac:dyDescent="0.3">
      <c r="G6859" s="15">
        <v>19.038888888888888</v>
      </c>
      <c r="H6859" s="3">
        <v>4.0221277777777634E-2</v>
      </c>
    </row>
    <row r="6860" spans="7:8" x14ac:dyDescent="0.3">
      <c r="G6860" s="15">
        <v>19.041666666666668</v>
      </c>
      <c r="H6860" s="3">
        <v>4.0222083333333186E-2</v>
      </c>
    </row>
    <row r="6861" spans="7:8" x14ac:dyDescent="0.3">
      <c r="G6861" s="15">
        <v>19.044444444444444</v>
      </c>
      <c r="H6861" s="3">
        <v>4.0222888888888746E-2</v>
      </c>
    </row>
    <row r="6862" spans="7:8" x14ac:dyDescent="0.3">
      <c r="G6862" s="15">
        <v>19.047222222222221</v>
      </c>
      <c r="H6862" s="3">
        <v>4.0223694444444305E-2</v>
      </c>
    </row>
    <row r="6863" spans="7:8" x14ac:dyDescent="0.3">
      <c r="G6863" s="15">
        <v>19.05</v>
      </c>
      <c r="H6863" s="3">
        <v>4.0224499999999858E-2</v>
      </c>
    </row>
    <row r="6864" spans="7:8" x14ac:dyDescent="0.3">
      <c r="G6864" s="15">
        <v>19.052777777777777</v>
      </c>
      <c r="H6864" s="3">
        <v>4.022530555555541E-2</v>
      </c>
    </row>
    <row r="6865" spans="7:8" x14ac:dyDescent="0.3">
      <c r="G6865" s="15">
        <v>19.055555555555557</v>
      </c>
      <c r="H6865" s="3">
        <v>4.022611111111097E-2</v>
      </c>
    </row>
    <row r="6866" spans="7:8" x14ac:dyDescent="0.3">
      <c r="G6866" s="15">
        <v>19.058333333333334</v>
      </c>
      <c r="H6866" s="3">
        <v>4.0226916666666529E-2</v>
      </c>
    </row>
    <row r="6867" spans="7:8" x14ac:dyDescent="0.3">
      <c r="G6867" s="15">
        <v>19.06111111111111</v>
      </c>
      <c r="H6867" s="3">
        <v>4.0227722222222081E-2</v>
      </c>
    </row>
    <row r="6868" spans="7:8" x14ac:dyDescent="0.3">
      <c r="G6868" s="15">
        <v>19.06388888888889</v>
      </c>
      <c r="H6868" s="3">
        <v>4.0228527777777634E-2</v>
      </c>
    </row>
    <row r="6869" spans="7:8" x14ac:dyDescent="0.3">
      <c r="G6869" s="15">
        <v>19.066666666666666</v>
      </c>
      <c r="H6869" s="3">
        <v>4.0229333333333193E-2</v>
      </c>
    </row>
    <row r="6870" spans="7:8" x14ac:dyDescent="0.3">
      <c r="G6870" s="15">
        <v>19.069444444444443</v>
      </c>
      <c r="H6870" s="3">
        <v>4.0230138888888753E-2</v>
      </c>
    </row>
    <row r="6871" spans="7:8" x14ac:dyDescent="0.3">
      <c r="G6871" s="15">
        <v>19.072222222222223</v>
      </c>
      <c r="H6871" s="3">
        <v>4.0230944444444305E-2</v>
      </c>
    </row>
    <row r="6872" spans="7:8" x14ac:dyDescent="0.3">
      <c r="G6872" s="15">
        <v>19.074999999999999</v>
      </c>
      <c r="H6872" s="3">
        <v>4.0231749999999858E-2</v>
      </c>
    </row>
    <row r="6873" spans="7:8" x14ac:dyDescent="0.3">
      <c r="G6873" s="15">
        <v>19.077777777777779</v>
      </c>
      <c r="H6873" s="3">
        <v>4.0232555555555417E-2</v>
      </c>
    </row>
    <row r="6874" spans="7:8" x14ac:dyDescent="0.3">
      <c r="G6874" s="15">
        <v>19.080555555555556</v>
      </c>
      <c r="H6874" s="3">
        <v>4.0233361111110977E-2</v>
      </c>
    </row>
    <row r="6875" spans="7:8" x14ac:dyDescent="0.3">
      <c r="G6875" s="15">
        <v>19.083333333333332</v>
      </c>
      <c r="H6875" s="3">
        <v>4.0234166666666529E-2</v>
      </c>
    </row>
    <row r="6876" spans="7:8" x14ac:dyDescent="0.3">
      <c r="G6876" s="15">
        <v>19.086111111111112</v>
      </c>
      <c r="H6876" s="3">
        <v>4.0234972222222082E-2</v>
      </c>
    </row>
    <row r="6877" spans="7:8" x14ac:dyDescent="0.3">
      <c r="G6877" s="15">
        <v>19.088888888888889</v>
      </c>
      <c r="H6877" s="3">
        <v>4.0235777777777641E-2</v>
      </c>
    </row>
    <row r="6878" spans="7:8" x14ac:dyDescent="0.3">
      <c r="G6878" s="15">
        <v>19.091666666666665</v>
      </c>
      <c r="H6878" s="3">
        <v>4.0236583333333201E-2</v>
      </c>
    </row>
    <row r="6879" spans="7:8" x14ac:dyDescent="0.3">
      <c r="G6879" s="15">
        <v>19.094444444444445</v>
      </c>
      <c r="H6879" s="3">
        <v>4.0237388888888753E-2</v>
      </c>
    </row>
    <row r="6880" spans="7:8" x14ac:dyDescent="0.3">
      <c r="G6880" s="15">
        <v>19.097222222222221</v>
      </c>
      <c r="H6880" s="3">
        <v>4.0238194444444306E-2</v>
      </c>
    </row>
    <row r="6881" spans="7:8" x14ac:dyDescent="0.3">
      <c r="G6881" s="15">
        <v>19.100000000000001</v>
      </c>
      <c r="H6881" s="3">
        <v>4.0238999999999865E-2</v>
      </c>
    </row>
    <row r="6882" spans="7:8" x14ac:dyDescent="0.3">
      <c r="G6882" s="15">
        <v>19.102777777777778</v>
      </c>
      <c r="H6882" s="3">
        <v>4.0239805555555425E-2</v>
      </c>
    </row>
    <row r="6883" spans="7:8" x14ac:dyDescent="0.3">
      <c r="G6883" s="15">
        <v>19.105555555555554</v>
      </c>
      <c r="H6883" s="3">
        <v>4.0240611111110977E-2</v>
      </c>
    </row>
    <row r="6884" spans="7:8" x14ac:dyDescent="0.3">
      <c r="G6884" s="15">
        <v>19.108333333333334</v>
      </c>
      <c r="H6884" s="3">
        <v>4.024141666666653E-2</v>
      </c>
    </row>
    <row r="6885" spans="7:8" x14ac:dyDescent="0.3">
      <c r="G6885" s="15">
        <v>19.111111111111111</v>
      </c>
      <c r="H6885" s="3">
        <v>4.0242222222222089E-2</v>
      </c>
    </row>
    <row r="6886" spans="7:8" x14ac:dyDescent="0.3">
      <c r="G6886" s="15">
        <v>19.113888888888887</v>
      </c>
      <c r="H6886" s="3">
        <v>4.0243027777777649E-2</v>
      </c>
    </row>
    <row r="6887" spans="7:8" x14ac:dyDescent="0.3">
      <c r="G6887" s="15">
        <v>19.116666666666667</v>
      </c>
      <c r="H6887" s="3">
        <v>4.0243833333333201E-2</v>
      </c>
    </row>
    <row r="6888" spans="7:8" x14ac:dyDescent="0.3">
      <c r="G6888" s="15">
        <v>19.119444444444444</v>
      </c>
      <c r="H6888" s="3">
        <v>4.0244638888888754E-2</v>
      </c>
    </row>
    <row r="6889" spans="7:8" x14ac:dyDescent="0.3">
      <c r="G6889" s="15">
        <v>19.122222222222224</v>
      </c>
      <c r="H6889" s="3">
        <v>4.0245444444444313E-2</v>
      </c>
    </row>
    <row r="6890" spans="7:8" x14ac:dyDescent="0.3">
      <c r="G6890" s="15">
        <v>19.125</v>
      </c>
      <c r="H6890" s="3">
        <v>4.0246249999999872E-2</v>
      </c>
    </row>
    <row r="6891" spans="7:8" x14ac:dyDescent="0.3">
      <c r="G6891" s="15">
        <v>19.127777777777776</v>
      </c>
      <c r="H6891" s="3">
        <v>4.0247055555555425E-2</v>
      </c>
    </row>
    <row r="6892" spans="7:8" x14ac:dyDescent="0.3">
      <c r="G6892" s="15">
        <v>19.130555555555556</v>
      </c>
      <c r="H6892" s="3">
        <v>4.0247861111110977E-2</v>
      </c>
    </row>
    <row r="6893" spans="7:8" x14ac:dyDescent="0.3">
      <c r="G6893" s="15">
        <v>19.133333333333333</v>
      </c>
      <c r="H6893" s="3">
        <v>4.0248666666666537E-2</v>
      </c>
    </row>
    <row r="6894" spans="7:8" x14ac:dyDescent="0.3">
      <c r="G6894" s="15">
        <v>19.136111111111113</v>
      </c>
      <c r="H6894" s="3">
        <v>4.0249472222222096E-2</v>
      </c>
    </row>
    <row r="6895" spans="7:8" x14ac:dyDescent="0.3">
      <c r="G6895" s="15">
        <v>19.138888888888889</v>
      </c>
      <c r="H6895" s="3">
        <v>4.0250277777777649E-2</v>
      </c>
    </row>
    <row r="6896" spans="7:8" x14ac:dyDescent="0.3">
      <c r="G6896" s="15">
        <v>19.141666666666666</v>
      </c>
      <c r="H6896" s="3">
        <v>4.0251083333333201E-2</v>
      </c>
    </row>
    <row r="6897" spans="7:8" x14ac:dyDescent="0.3">
      <c r="G6897" s="15">
        <v>19.144444444444446</v>
      </c>
      <c r="H6897" s="3">
        <v>4.0251888888888761E-2</v>
      </c>
    </row>
    <row r="6898" spans="7:8" x14ac:dyDescent="0.3">
      <c r="G6898" s="15">
        <v>19.147222222222222</v>
      </c>
      <c r="H6898" s="3">
        <v>4.025269444444432E-2</v>
      </c>
    </row>
    <row r="6899" spans="7:8" x14ac:dyDescent="0.3">
      <c r="G6899" s="15">
        <v>19.149999999999999</v>
      </c>
      <c r="H6899" s="3">
        <v>4.0253499999999873E-2</v>
      </c>
    </row>
    <row r="6900" spans="7:8" x14ac:dyDescent="0.3">
      <c r="G6900" s="15">
        <v>19.152777777777779</v>
      </c>
      <c r="H6900" s="3">
        <v>4.0254305555555425E-2</v>
      </c>
    </row>
    <row r="6901" spans="7:8" x14ac:dyDescent="0.3">
      <c r="G6901" s="15">
        <v>19.155555555555555</v>
      </c>
      <c r="H6901" s="3">
        <v>4.0255111111110985E-2</v>
      </c>
    </row>
    <row r="6902" spans="7:8" x14ac:dyDescent="0.3">
      <c r="G6902" s="15">
        <v>19.158333333333335</v>
      </c>
      <c r="H6902" s="3">
        <v>4.0255916666666544E-2</v>
      </c>
    </row>
    <row r="6903" spans="7:8" x14ac:dyDescent="0.3">
      <c r="G6903" s="15">
        <v>19.161111111111111</v>
      </c>
      <c r="H6903" s="3">
        <v>4.0256722222222097E-2</v>
      </c>
    </row>
    <row r="6904" spans="7:8" x14ac:dyDescent="0.3">
      <c r="G6904" s="15">
        <v>19.163888888888888</v>
      </c>
      <c r="H6904" s="3">
        <v>4.0257527777777649E-2</v>
      </c>
    </row>
    <row r="6905" spans="7:8" x14ac:dyDescent="0.3">
      <c r="G6905" s="15">
        <v>19.166666666666668</v>
      </c>
      <c r="H6905" s="3">
        <v>4.0258333333333209E-2</v>
      </c>
    </row>
    <row r="6906" spans="7:8" x14ac:dyDescent="0.3">
      <c r="G6906" s="15">
        <v>19.169444444444444</v>
      </c>
      <c r="H6906" s="3">
        <v>4.0259138888888768E-2</v>
      </c>
    </row>
    <row r="6907" spans="7:8" x14ac:dyDescent="0.3">
      <c r="G6907" s="15">
        <v>19.172222222222221</v>
      </c>
      <c r="H6907" s="3">
        <v>4.0259944444444321E-2</v>
      </c>
    </row>
    <row r="6908" spans="7:8" x14ac:dyDescent="0.3">
      <c r="G6908" s="15">
        <v>19.175000000000001</v>
      </c>
      <c r="H6908" s="3">
        <v>4.0260749999999873E-2</v>
      </c>
    </row>
    <row r="6909" spans="7:8" x14ac:dyDescent="0.3">
      <c r="G6909" s="15">
        <v>19.177777777777777</v>
      </c>
      <c r="H6909" s="3">
        <v>4.0261555555555432E-2</v>
      </c>
    </row>
    <row r="6910" spans="7:8" x14ac:dyDescent="0.3">
      <c r="G6910" s="15">
        <v>19.180555555555557</v>
      </c>
      <c r="H6910" s="3">
        <v>4.0262361111110992E-2</v>
      </c>
    </row>
    <row r="6911" spans="7:8" x14ac:dyDescent="0.3">
      <c r="G6911" s="15">
        <v>19.183333333333334</v>
      </c>
      <c r="H6911" s="3">
        <v>4.0263166666666544E-2</v>
      </c>
    </row>
    <row r="6912" spans="7:8" x14ac:dyDescent="0.3">
      <c r="G6912" s="15">
        <v>19.18611111111111</v>
      </c>
      <c r="H6912" s="3">
        <v>4.0263972222222097E-2</v>
      </c>
    </row>
    <row r="6913" spans="7:8" x14ac:dyDescent="0.3">
      <c r="G6913" s="15">
        <v>19.18888888888889</v>
      </c>
      <c r="H6913" s="3">
        <v>4.0264777777777656E-2</v>
      </c>
    </row>
    <row r="6914" spans="7:8" x14ac:dyDescent="0.3">
      <c r="G6914" s="15">
        <v>19.191666666666666</v>
      </c>
      <c r="H6914" s="3">
        <v>4.0265583333333216E-2</v>
      </c>
    </row>
    <row r="6915" spans="7:8" x14ac:dyDescent="0.3">
      <c r="G6915" s="15">
        <v>19.194444444444443</v>
      </c>
      <c r="H6915" s="3">
        <v>4.0266388888888768E-2</v>
      </c>
    </row>
    <row r="6916" spans="7:8" x14ac:dyDescent="0.3">
      <c r="G6916" s="15">
        <v>19.197222222222223</v>
      </c>
      <c r="H6916" s="3">
        <v>4.0267194444444321E-2</v>
      </c>
    </row>
    <row r="6917" spans="7:8" x14ac:dyDescent="0.3">
      <c r="G6917" s="15">
        <v>19.2</v>
      </c>
      <c r="H6917" s="3">
        <v>4.026799999999988E-2</v>
      </c>
    </row>
    <row r="6918" spans="7:8" x14ac:dyDescent="0.3">
      <c r="G6918" s="15">
        <v>19.202777777777779</v>
      </c>
      <c r="H6918" s="3">
        <v>4.026880555555544E-2</v>
      </c>
    </row>
    <row r="6919" spans="7:8" x14ac:dyDescent="0.3">
      <c r="G6919" s="15">
        <v>19.205555555555556</v>
      </c>
      <c r="H6919" s="3">
        <v>4.0269611111110992E-2</v>
      </c>
    </row>
    <row r="6920" spans="7:8" x14ac:dyDescent="0.3">
      <c r="G6920" s="15">
        <v>19.208333333333332</v>
      </c>
      <c r="H6920" s="3">
        <v>4.0270416666666545E-2</v>
      </c>
    </row>
    <row r="6921" spans="7:8" x14ac:dyDescent="0.3">
      <c r="G6921" s="15">
        <v>19.211111111111112</v>
      </c>
      <c r="H6921" s="3">
        <v>4.0271222222222104E-2</v>
      </c>
    </row>
    <row r="6922" spans="7:8" x14ac:dyDescent="0.3">
      <c r="G6922" s="15">
        <v>19.213888888888889</v>
      </c>
      <c r="H6922" s="3">
        <v>4.0272027777777664E-2</v>
      </c>
    </row>
    <row r="6923" spans="7:8" x14ac:dyDescent="0.3">
      <c r="G6923" s="15">
        <v>19.216666666666665</v>
      </c>
      <c r="H6923" s="3">
        <v>4.0272833333333216E-2</v>
      </c>
    </row>
    <row r="6924" spans="7:8" x14ac:dyDescent="0.3">
      <c r="G6924" s="15">
        <v>19.219444444444445</v>
      </c>
      <c r="H6924" s="3">
        <v>4.0273638888888769E-2</v>
      </c>
    </row>
    <row r="6925" spans="7:8" x14ac:dyDescent="0.3">
      <c r="G6925" s="15">
        <v>19.222222222222221</v>
      </c>
      <c r="H6925" s="3">
        <v>4.0274444444444328E-2</v>
      </c>
    </row>
    <row r="6926" spans="7:8" x14ac:dyDescent="0.3">
      <c r="G6926" s="15">
        <v>19.225000000000001</v>
      </c>
      <c r="H6926" s="3">
        <v>4.0275249999999888E-2</v>
      </c>
    </row>
    <row r="6927" spans="7:8" x14ac:dyDescent="0.3">
      <c r="G6927" s="15">
        <v>19.227777777777778</v>
      </c>
      <c r="H6927" s="3">
        <v>4.027605555555544E-2</v>
      </c>
    </row>
    <row r="6928" spans="7:8" x14ac:dyDescent="0.3">
      <c r="G6928" s="15">
        <v>19.230555555555554</v>
      </c>
      <c r="H6928" s="3">
        <v>4.0276861111110993E-2</v>
      </c>
    </row>
    <row r="6929" spans="7:8" x14ac:dyDescent="0.3">
      <c r="G6929" s="15">
        <v>19.233333333333334</v>
      </c>
      <c r="H6929" s="3">
        <v>4.0277666666666552E-2</v>
      </c>
    </row>
    <row r="6930" spans="7:8" x14ac:dyDescent="0.3">
      <c r="G6930" s="15">
        <v>19.236111111111111</v>
      </c>
      <c r="H6930" s="3">
        <v>4.0278472222222111E-2</v>
      </c>
    </row>
    <row r="6931" spans="7:8" x14ac:dyDescent="0.3">
      <c r="G6931" s="15">
        <v>19.238888888888887</v>
      </c>
      <c r="H6931" s="3">
        <v>4.0279277777777664E-2</v>
      </c>
    </row>
    <row r="6932" spans="7:8" x14ac:dyDescent="0.3">
      <c r="G6932" s="15">
        <v>19.241666666666667</v>
      </c>
      <c r="H6932" s="3">
        <v>4.0280083333333216E-2</v>
      </c>
    </row>
    <row r="6933" spans="7:8" x14ac:dyDescent="0.3">
      <c r="G6933" s="15">
        <v>19.244444444444444</v>
      </c>
      <c r="H6933" s="3">
        <v>4.0280888888888776E-2</v>
      </c>
    </row>
    <row r="6934" spans="7:8" x14ac:dyDescent="0.3">
      <c r="G6934" s="15">
        <v>19.247222222222224</v>
      </c>
      <c r="H6934" s="3">
        <v>4.0281694444444335E-2</v>
      </c>
    </row>
    <row r="6935" spans="7:8" x14ac:dyDescent="0.3">
      <c r="G6935" s="15">
        <v>19.25</v>
      </c>
      <c r="H6935" s="3">
        <v>4.0282499999999888E-2</v>
      </c>
    </row>
    <row r="6936" spans="7:8" x14ac:dyDescent="0.3">
      <c r="G6936" s="15">
        <v>19.252777777777776</v>
      </c>
      <c r="H6936" s="3">
        <v>4.028330555555544E-2</v>
      </c>
    </row>
    <row r="6937" spans="7:8" x14ac:dyDescent="0.3">
      <c r="G6937" s="15">
        <v>19.255555555555556</v>
      </c>
      <c r="H6937" s="3">
        <v>4.0284111111111E-2</v>
      </c>
    </row>
    <row r="6938" spans="7:8" x14ac:dyDescent="0.3">
      <c r="G6938" s="15">
        <v>19.258333333333333</v>
      </c>
      <c r="H6938" s="3">
        <v>4.0284916666666559E-2</v>
      </c>
    </row>
    <row r="6939" spans="7:8" x14ac:dyDescent="0.3">
      <c r="G6939" s="15">
        <v>19.261111111111113</v>
      </c>
      <c r="H6939" s="3">
        <v>4.0285722222222112E-2</v>
      </c>
    </row>
    <row r="6940" spans="7:8" x14ac:dyDescent="0.3">
      <c r="G6940" s="15">
        <v>19.263888888888889</v>
      </c>
      <c r="H6940" s="3">
        <v>4.0286527777777664E-2</v>
      </c>
    </row>
    <row r="6941" spans="7:8" x14ac:dyDescent="0.3">
      <c r="G6941" s="15">
        <v>19.266666666666666</v>
      </c>
      <c r="H6941" s="3">
        <v>4.0287333333333224E-2</v>
      </c>
    </row>
    <row r="6942" spans="7:8" x14ac:dyDescent="0.3">
      <c r="G6942" s="15">
        <v>19.269444444444446</v>
      </c>
      <c r="H6942" s="3">
        <v>4.0288138888888783E-2</v>
      </c>
    </row>
    <row r="6943" spans="7:8" x14ac:dyDescent="0.3">
      <c r="G6943" s="15">
        <v>19.272222222222222</v>
      </c>
      <c r="H6943" s="3">
        <v>4.0288944444444336E-2</v>
      </c>
    </row>
    <row r="6944" spans="7:8" x14ac:dyDescent="0.3">
      <c r="G6944" s="15">
        <v>19.274999999999999</v>
      </c>
      <c r="H6944" s="3">
        <v>4.0289749999999888E-2</v>
      </c>
    </row>
    <row r="6945" spans="7:8" x14ac:dyDescent="0.3">
      <c r="G6945" s="15">
        <v>19.277777777777779</v>
      </c>
      <c r="H6945" s="3">
        <v>4.0290555555555448E-2</v>
      </c>
    </row>
    <row r="6946" spans="7:8" x14ac:dyDescent="0.3">
      <c r="G6946" s="15">
        <v>19.280555555555555</v>
      </c>
      <c r="H6946" s="3">
        <v>4.0291361111111007E-2</v>
      </c>
    </row>
    <row r="6947" spans="7:8" x14ac:dyDescent="0.3">
      <c r="G6947" s="15">
        <v>19.283333333333335</v>
      </c>
      <c r="H6947" s="3">
        <v>4.029216666666656E-2</v>
      </c>
    </row>
    <row r="6948" spans="7:8" x14ac:dyDescent="0.3">
      <c r="G6948" s="15">
        <v>19.286111111111111</v>
      </c>
      <c r="H6948" s="3">
        <v>4.0292972222222112E-2</v>
      </c>
    </row>
    <row r="6949" spans="7:8" x14ac:dyDescent="0.3">
      <c r="G6949" s="15">
        <v>19.288888888888888</v>
      </c>
      <c r="H6949" s="3">
        <v>4.0293777777777672E-2</v>
      </c>
    </row>
    <row r="6950" spans="7:8" x14ac:dyDescent="0.3">
      <c r="G6950" s="15">
        <v>19.291666666666668</v>
      </c>
      <c r="H6950" s="3">
        <v>4.0294583333333231E-2</v>
      </c>
    </row>
    <row r="6951" spans="7:8" x14ac:dyDescent="0.3">
      <c r="G6951" s="15">
        <v>19.294444444444444</v>
      </c>
      <c r="H6951" s="3">
        <v>4.0295388888888783E-2</v>
      </c>
    </row>
    <row r="6952" spans="7:8" x14ac:dyDescent="0.3">
      <c r="G6952" s="15">
        <v>19.297222222222221</v>
      </c>
      <c r="H6952" s="3">
        <v>4.0296194444444336E-2</v>
      </c>
    </row>
    <row r="6953" spans="7:8" x14ac:dyDescent="0.3">
      <c r="G6953" s="15">
        <v>19.3</v>
      </c>
      <c r="H6953" s="3">
        <v>4.0296999999999895E-2</v>
      </c>
    </row>
    <row r="6954" spans="7:8" x14ac:dyDescent="0.3">
      <c r="G6954" s="15">
        <v>19.302777777777777</v>
      </c>
      <c r="H6954" s="3">
        <v>4.0297805555555455E-2</v>
      </c>
    </row>
    <row r="6955" spans="7:8" x14ac:dyDescent="0.3">
      <c r="G6955" s="15">
        <v>19.305555555555557</v>
      </c>
      <c r="H6955" s="3">
        <v>4.0298611111111007E-2</v>
      </c>
    </row>
    <row r="6956" spans="7:8" x14ac:dyDescent="0.3">
      <c r="G6956" s="15">
        <v>19.308333333333334</v>
      </c>
      <c r="H6956" s="3">
        <v>4.029941666666656E-2</v>
      </c>
    </row>
    <row r="6957" spans="7:8" x14ac:dyDescent="0.3">
      <c r="G6957" s="15">
        <v>19.31111111111111</v>
      </c>
      <c r="H6957" s="3">
        <v>4.0300222222222119E-2</v>
      </c>
    </row>
    <row r="6958" spans="7:8" x14ac:dyDescent="0.3">
      <c r="G6958" s="15">
        <v>19.31388888888889</v>
      </c>
      <c r="H6958" s="3">
        <v>4.0301027777777679E-2</v>
      </c>
    </row>
    <row r="6959" spans="7:8" x14ac:dyDescent="0.3">
      <c r="G6959" s="15">
        <v>19.316666666666666</v>
      </c>
      <c r="H6959" s="3">
        <v>4.0301833333333231E-2</v>
      </c>
    </row>
    <row r="6960" spans="7:8" x14ac:dyDescent="0.3">
      <c r="G6960" s="15">
        <v>19.319444444444443</v>
      </c>
      <c r="H6960" s="3">
        <v>4.0302638888888784E-2</v>
      </c>
    </row>
    <row r="6961" spans="7:8" x14ac:dyDescent="0.3">
      <c r="G6961" s="15">
        <v>19.322222222222223</v>
      </c>
      <c r="H6961" s="3">
        <v>4.0303444444444343E-2</v>
      </c>
    </row>
    <row r="6962" spans="7:8" x14ac:dyDescent="0.3">
      <c r="G6962" s="15">
        <v>19.324999999999999</v>
      </c>
      <c r="H6962" s="3">
        <v>4.0304249999999903E-2</v>
      </c>
    </row>
    <row r="6963" spans="7:8" x14ac:dyDescent="0.3">
      <c r="G6963" s="15">
        <v>19.327777777777779</v>
      </c>
      <c r="H6963" s="3">
        <v>4.0305055555555455E-2</v>
      </c>
    </row>
    <row r="6964" spans="7:8" x14ac:dyDescent="0.3">
      <c r="G6964" s="15">
        <v>19.330555555555556</v>
      </c>
      <c r="H6964" s="3">
        <v>4.0305861111111008E-2</v>
      </c>
    </row>
    <row r="6965" spans="7:8" x14ac:dyDescent="0.3">
      <c r="G6965" s="15">
        <v>19.333333333333332</v>
      </c>
      <c r="H6965" s="3">
        <v>4.0306666666666567E-2</v>
      </c>
    </row>
    <row r="6966" spans="7:8" x14ac:dyDescent="0.3">
      <c r="G6966" s="15">
        <v>19.336111111111112</v>
      </c>
      <c r="H6966" s="3">
        <v>4.0307472222222127E-2</v>
      </c>
    </row>
    <row r="6967" spans="7:8" x14ac:dyDescent="0.3">
      <c r="G6967" s="15">
        <v>19.338888888888889</v>
      </c>
      <c r="H6967" s="3">
        <v>4.0308277777777679E-2</v>
      </c>
    </row>
    <row r="6968" spans="7:8" x14ac:dyDescent="0.3">
      <c r="G6968" s="15">
        <v>19.341666666666665</v>
      </c>
      <c r="H6968" s="3">
        <v>4.0309083333333232E-2</v>
      </c>
    </row>
    <row r="6969" spans="7:8" x14ac:dyDescent="0.3">
      <c r="G6969" s="15">
        <v>19.344444444444445</v>
      </c>
      <c r="H6969" s="3">
        <v>4.0309888888888791E-2</v>
      </c>
    </row>
    <row r="6970" spans="7:8" x14ac:dyDescent="0.3">
      <c r="G6970" s="15">
        <v>19.347222222222221</v>
      </c>
      <c r="H6970" s="3">
        <v>4.031069444444435E-2</v>
      </c>
    </row>
    <row r="6971" spans="7:8" x14ac:dyDescent="0.3">
      <c r="G6971" s="15">
        <v>19.350000000000001</v>
      </c>
      <c r="H6971" s="3">
        <v>4.0311499999999903E-2</v>
      </c>
    </row>
    <row r="6972" spans="7:8" x14ac:dyDescent="0.3">
      <c r="G6972" s="15">
        <v>19.352777777777778</v>
      </c>
      <c r="H6972" s="3">
        <v>4.0312305555555455E-2</v>
      </c>
    </row>
    <row r="6973" spans="7:8" x14ac:dyDescent="0.3">
      <c r="G6973" s="15">
        <v>19.355555555555554</v>
      </c>
      <c r="H6973" s="3">
        <v>4.0313111111111015E-2</v>
      </c>
    </row>
    <row r="6974" spans="7:8" x14ac:dyDescent="0.3">
      <c r="G6974" s="15">
        <v>19.358333333333334</v>
      </c>
      <c r="H6974" s="3">
        <v>4.0313916666666574E-2</v>
      </c>
    </row>
    <row r="6975" spans="7:8" x14ac:dyDescent="0.3">
      <c r="G6975" s="15">
        <v>19.361111111111111</v>
      </c>
      <c r="H6975" s="3">
        <v>4.0314722222222127E-2</v>
      </c>
    </row>
    <row r="6976" spans="7:8" x14ac:dyDescent="0.3">
      <c r="G6976" s="15">
        <v>19.363888888888887</v>
      </c>
      <c r="H6976" s="3">
        <v>4.0315527777777679E-2</v>
      </c>
    </row>
    <row r="6977" spans="7:8" x14ac:dyDescent="0.3">
      <c r="G6977" s="15">
        <v>19.366666666666667</v>
      </c>
      <c r="H6977" s="3">
        <v>4.0316333333333239E-2</v>
      </c>
    </row>
    <row r="6978" spans="7:8" x14ac:dyDescent="0.3">
      <c r="G6978" s="15">
        <v>19.369444444444444</v>
      </c>
      <c r="H6978" s="3">
        <v>4.0317138888888798E-2</v>
      </c>
    </row>
    <row r="6979" spans="7:8" x14ac:dyDescent="0.3">
      <c r="G6979" s="15">
        <v>19.372222222222224</v>
      </c>
      <c r="H6979" s="3">
        <v>4.0317944444444351E-2</v>
      </c>
    </row>
    <row r="6980" spans="7:8" x14ac:dyDescent="0.3">
      <c r="G6980" s="15">
        <v>19.375</v>
      </c>
      <c r="H6980" s="3">
        <v>4.0318749999999903E-2</v>
      </c>
    </row>
    <row r="6981" spans="7:8" x14ac:dyDescent="0.3">
      <c r="G6981" s="15">
        <v>19.377777777777776</v>
      </c>
      <c r="H6981" s="3">
        <v>4.0319555555555463E-2</v>
      </c>
    </row>
    <row r="6982" spans="7:8" x14ac:dyDescent="0.3">
      <c r="G6982" s="15">
        <v>19.380555555555556</v>
      </c>
      <c r="H6982" s="3">
        <v>4.0320361111111022E-2</v>
      </c>
    </row>
    <row r="6983" spans="7:8" x14ac:dyDescent="0.3">
      <c r="G6983" s="15">
        <v>19.383333333333333</v>
      </c>
      <c r="H6983" s="3">
        <v>4.0321166666666575E-2</v>
      </c>
    </row>
    <row r="6984" spans="7:8" x14ac:dyDescent="0.3">
      <c r="G6984" s="15">
        <v>19.386111111111113</v>
      </c>
      <c r="H6984" s="3">
        <v>4.0321972222222127E-2</v>
      </c>
    </row>
    <row r="6985" spans="7:8" x14ac:dyDescent="0.3">
      <c r="G6985" s="15">
        <v>19.388888888888889</v>
      </c>
      <c r="H6985" s="3">
        <v>4.0322777777777687E-2</v>
      </c>
    </row>
    <row r="6986" spans="7:8" x14ac:dyDescent="0.3">
      <c r="G6986" s="15">
        <v>19.391666666666666</v>
      </c>
      <c r="H6986" s="3">
        <v>4.0323583333333246E-2</v>
      </c>
    </row>
    <row r="6987" spans="7:8" x14ac:dyDescent="0.3">
      <c r="G6987" s="15">
        <v>19.394444444444446</v>
      </c>
      <c r="H6987" s="3">
        <v>4.0324388888888799E-2</v>
      </c>
    </row>
    <row r="6988" spans="7:8" x14ac:dyDescent="0.3">
      <c r="G6988" s="15">
        <v>19.397222222222222</v>
      </c>
      <c r="H6988" s="3">
        <v>4.0325194444444351E-2</v>
      </c>
    </row>
    <row r="6989" spans="7:8" x14ac:dyDescent="0.3">
      <c r="G6989" s="15">
        <v>19.399999999999999</v>
      </c>
      <c r="H6989" s="3">
        <v>4.0325999999999911E-2</v>
      </c>
    </row>
    <row r="6990" spans="7:8" x14ac:dyDescent="0.3">
      <c r="G6990" s="15">
        <v>19.402777777777779</v>
      </c>
      <c r="H6990" s="3">
        <v>4.032680555555547E-2</v>
      </c>
    </row>
    <row r="6991" spans="7:8" x14ac:dyDescent="0.3">
      <c r="G6991" s="15">
        <v>19.405555555555555</v>
      </c>
      <c r="H6991" s="3">
        <v>4.0327611111111022E-2</v>
      </c>
    </row>
    <row r="6992" spans="7:8" x14ac:dyDescent="0.3">
      <c r="G6992" s="15">
        <v>19.408333333333335</v>
      </c>
      <c r="H6992" s="3">
        <v>4.0328416666666575E-2</v>
      </c>
    </row>
    <row r="6993" spans="7:8" x14ac:dyDescent="0.3">
      <c r="G6993" s="15">
        <v>19.411111111111111</v>
      </c>
      <c r="H6993" s="3">
        <v>4.0329222222222134E-2</v>
      </c>
    </row>
    <row r="6994" spans="7:8" x14ac:dyDescent="0.3">
      <c r="G6994" s="15">
        <v>19.413888888888888</v>
      </c>
      <c r="H6994" s="3">
        <v>4.0330027777777694E-2</v>
      </c>
    </row>
    <row r="6995" spans="7:8" x14ac:dyDescent="0.3">
      <c r="G6995" s="15">
        <v>19.416666666666668</v>
      </c>
      <c r="H6995" s="3">
        <v>4.0330833333333246E-2</v>
      </c>
    </row>
    <row r="6996" spans="7:8" x14ac:dyDescent="0.3">
      <c r="G6996" s="15">
        <v>19.419444444444444</v>
      </c>
      <c r="H6996" s="3">
        <v>4.0331638888888799E-2</v>
      </c>
    </row>
    <row r="6997" spans="7:8" x14ac:dyDescent="0.3">
      <c r="G6997" s="15">
        <v>19.422222222222221</v>
      </c>
      <c r="H6997" s="3">
        <v>4.0332444444444358E-2</v>
      </c>
    </row>
    <row r="6998" spans="7:8" x14ac:dyDescent="0.3">
      <c r="G6998" s="15">
        <v>19.425000000000001</v>
      </c>
      <c r="H6998" s="3">
        <v>4.0333249999999918E-2</v>
      </c>
    </row>
    <row r="6999" spans="7:8" x14ac:dyDescent="0.3">
      <c r="G6999" s="15">
        <v>19.427777777777777</v>
      </c>
      <c r="H6999" s="3">
        <v>4.033405555555547E-2</v>
      </c>
    </row>
    <row r="7000" spans="7:8" x14ac:dyDescent="0.3">
      <c r="G7000" s="15">
        <v>19.430555555555557</v>
      </c>
      <c r="H7000" s="3">
        <v>4.0334861111111023E-2</v>
      </c>
    </row>
    <row r="7001" spans="7:8" x14ac:dyDescent="0.3">
      <c r="G7001" s="15">
        <v>19.433333333333334</v>
      </c>
      <c r="H7001" s="3">
        <v>4.0335666666666582E-2</v>
      </c>
    </row>
    <row r="7002" spans="7:8" x14ac:dyDescent="0.3">
      <c r="G7002" s="15">
        <v>19.43611111111111</v>
      </c>
      <c r="H7002" s="3">
        <v>4.0336472222222142E-2</v>
      </c>
    </row>
    <row r="7003" spans="7:8" x14ac:dyDescent="0.3">
      <c r="G7003" s="15">
        <v>19.43888888888889</v>
      </c>
      <c r="H7003" s="3">
        <v>4.0337277777777694E-2</v>
      </c>
    </row>
    <row r="7004" spans="7:8" x14ac:dyDescent="0.3">
      <c r="G7004" s="15">
        <v>19.441666666666666</v>
      </c>
      <c r="H7004" s="3">
        <v>4.0338083333333247E-2</v>
      </c>
    </row>
    <row r="7005" spans="7:8" x14ac:dyDescent="0.3">
      <c r="G7005" s="15">
        <v>19.444444444444443</v>
      </c>
      <c r="H7005" s="3">
        <v>4.0338888888888806E-2</v>
      </c>
    </row>
    <row r="7006" spans="7:8" x14ac:dyDescent="0.3">
      <c r="G7006" s="15">
        <v>19.447222222222223</v>
      </c>
      <c r="H7006" s="3">
        <v>4.0339694444444366E-2</v>
      </c>
    </row>
    <row r="7007" spans="7:8" x14ac:dyDescent="0.3">
      <c r="G7007" s="15">
        <v>19.45</v>
      </c>
      <c r="H7007" s="3">
        <v>4.0340499999999918E-2</v>
      </c>
    </row>
    <row r="7008" spans="7:8" x14ac:dyDescent="0.3">
      <c r="G7008" s="15">
        <v>19.452777777777779</v>
      </c>
      <c r="H7008" s="3">
        <v>4.0341305555555471E-2</v>
      </c>
    </row>
    <row r="7009" spans="7:8" x14ac:dyDescent="0.3">
      <c r="G7009" s="15">
        <v>19.455555555555556</v>
      </c>
      <c r="H7009" s="3">
        <v>4.034211111111103E-2</v>
      </c>
    </row>
    <row r="7010" spans="7:8" x14ac:dyDescent="0.3">
      <c r="G7010" s="15">
        <v>19.458333333333332</v>
      </c>
      <c r="H7010" s="3">
        <v>4.0342916666666589E-2</v>
      </c>
    </row>
    <row r="7011" spans="7:8" x14ac:dyDescent="0.3">
      <c r="G7011" s="15">
        <v>19.461111111111112</v>
      </c>
      <c r="H7011" s="3">
        <v>4.0343722222222142E-2</v>
      </c>
    </row>
    <row r="7012" spans="7:8" x14ac:dyDescent="0.3">
      <c r="G7012" s="15">
        <v>19.463888888888889</v>
      </c>
      <c r="H7012" s="3">
        <v>4.0344527777777694E-2</v>
      </c>
    </row>
    <row r="7013" spans="7:8" x14ac:dyDescent="0.3">
      <c r="G7013" s="15">
        <v>19.466666666666665</v>
      </c>
      <c r="H7013" s="3">
        <v>4.0345333333333254E-2</v>
      </c>
    </row>
    <row r="7014" spans="7:8" x14ac:dyDescent="0.3">
      <c r="G7014" s="15">
        <v>19.469444444444445</v>
      </c>
      <c r="H7014" s="3">
        <v>4.0346138888888813E-2</v>
      </c>
    </row>
    <row r="7015" spans="7:8" x14ac:dyDescent="0.3">
      <c r="G7015" s="15">
        <v>19.472222222222221</v>
      </c>
      <c r="H7015" s="3">
        <v>4.0346944444444366E-2</v>
      </c>
    </row>
    <row r="7016" spans="7:8" x14ac:dyDescent="0.3">
      <c r="G7016" s="15">
        <v>19.475000000000001</v>
      </c>
      <c r="H7016" s="3">
        <v>4.0347749999999918E-2</v>
      </c>
    </row>
    <row r="7017" spans="7:8" x14ac:dyDescent="0.3">
      <c r="G7017" s="15">
        <v>19.477777777777778</v>
      </c>
      <c r="H7017" s="3">
        <v>4.0348555555555478E-2</v>
      </c>
    </row>
    <row r="7018" spans="7:8" x14ac:dyDescent="0.3">
      <c r="G7018" s="15">
        <v>19.480555555555554</v>
      </c>
      <c r="H7018" s="3">
        <v>4.0349361111111037E-2</v>
      </c>
    </row>
    <row r="7019" spans="7:8" x14ac:dyDescent="0.3">
      <c r="G7019" s="15">
        <v>19.483333333333334</v>
      </c>
      <c r="H7019" s="3">
        <v>4.035016666666659E-2</v>
      </c>
    </row>
    <row r="7020" spans="7:8" x14ac:dyDescent="0.3">
      <c r="G7020" s="15">
        <v>19.486111111111111</v>
      </c>
      <c r="H7020" s="3">
        <v>4.0350972222222142E-2</v>
      </c>
    </row>
    <row r="7021" spans="7:8" x14ac:dyDescent="0.3">
      <c r="G7021" s="15">
        <v>19.488888888888887</v>
      </c>
      <c r="H7021" s="3">
        <v>4.0351777777777702E-2</v>
      </c>
    </row>
    <row r="7022" spans="7:8" x14ac:dyDescent="0.3">
      <c r="G7022" s="15">
        <v>19.491666666666667</v>
      </c>
      <c r="H7022" s="3">
        <v>4.0352583333333261E-2</v>
      </c>
    </row>
    <row r="7023" spans="7:8" x14ac:dyDescent="0.3">
      <c r="G7023" s="15">
        <v>19.494444444444444</v>
      </c>
      <c r="H7023" s="3">
        <v>4.0353388888888814E-2</v>
      </c>
    </row>
    <row r="7024" spans="7:8" x14ac:dyDescent="0.3">
      <c r="G7024" s="15">
        <v>19.497222222222224</v>
      </c>
      <c r="H7024" s="3">
        <v>4.0354194444444366E-2</v>
      </c>
    </row>
    <row r="7025" spans="7:8" x14ac:dyDescent="0.3">
      <c r="G7025" s="15">
        <v>19.5</v>
      </c>
      <c r="H7025" s="3">
        <v>4.0354999999999926E-2</v>
      </c>
    </row>
    <row r="7026" spans="7:8" x14ac:dyDescent="0.3">
      <c r="G7026" s="15">
        <v>19.502777777777776</v>
      </c>
      <c r="H7026" s="3">
        <v>4.0355805555555485E-2</v>
      </c>
    </row>
    <row r="7027" spans="7:8" x14ac:dyDescent="0.3">
      <c r="G7027" s="15">
        <v>19.505555555555556</v>
      </c>
      <c r="H7027" s="3">
        <v>4.0356611111111038E-2</v>
      </c>
    </row>
    <row r="7028" spans="7:8" x14ac:dyDescent="0.3">
      <c r="G7028" s="15">
        <v>19.508333333333333</v>
      </c>
      <c r="H7028" s="3">
        <v>4.035741666666659E-2</v>
      </c>
    </row>
    <row r="7029" spans="7:8" x14ac:dyDescent="0.3">
      <c r="G7029" s="15">
        <v>19.511111111111113</v>
      </c>
      <c r="H7029" s="3">
        <v>4.035822222222215E-2</v>
      </c>
    </row>
    <row r="7030" spans="7:8" x14ac:dyDescent="0.3">
      <c r="G7030" s="15">
        <v>19.513888888888889</v>
      </c>
      <c r="H7030" s="3">
        <v>4.0359027777777709E-2</v>
      </c>
    </row>
    <row r="7031" spans="7:8" x14ac:dyDescent="0.3">
      <c r="G7031" s="15">
        <v>19.516666666666666</v>
      </c>
      <c r="H7031" s="3">
        <v>4.0359833333333262E-2</v>
      </c>
    </row>
    <row r="7032" spans="7:8" x14ac:dyDescent="0.3">
      <c r="G7032" s="15">
        <v>19.519444444444446</v>
      </c>
      <c r="H7032" s="3">
        <v>4.0360638888888814E-2</v>
      </c>
    </row>
    <row r="7033" spans="7:8" x14ac:dyDescent="0.3">
      <c r="G7033" s="15">
        <v>19.522222222222222</v>
      </c>
      <c r="H7033" s="3">
        <v>4.0361444444444373E-2</v>
      </c>
    </row>
    <row r="7034" spans="7:8" x14ac:dyDescent="0.3">
      <c r="G7034" s="15">
        <v>19.524999999999999</v>
      </c>
      <c r="H7034" s="3">
        <v>4.0362249999999933E-2</v>
      </c>
    </row>
    <row r="7035" spans="7:8" x14ac:dyDescent="0.3">
      <c r="G7035" s="15">
        <v>19.527777777777779</v>
      </c>
      <c r="H7035" s="3">
        <v>4.0363055555555485E-2</v>
      </c>
    </row>
    <row r="7036" spans="7:8" x14ac:dyDescent="0.3">
      <c r="G7036" s="15">
        <v>19.530555555555555</v>
      </c>
      <c r="H7036" s="3">
        <v>4.0363861111111038E-2</v>
      </c>
    </row>
    <row r="7037" spans="7:8" x14ac:dyDescent="0.3">
      <c r="G7037" s="15">
        <v>19.533333333333335</v>
      </c>
      <c r="H7037" s="3">
        <v>4.0364666666666597E-2</v>
      </c>
    </row>
    <row r="7038" spans="7:8" x14ac:dyDescent="0.3">
      <c r="G7038" s="15">
        <v>19.536111111111111</v>
      </c>
      <c r="H7038" s="3">
        <v>4.0365472222222157E-2</v>
      </c>
    </row>
    <row r="7039" spans="7:8" x14ac:dyDescent="0.3">
      <c r="G7039" s="15">
        <v>19.538888888888888</v>
      </c>
      <c r="H7039" s="3">
        <v>4.0366277777777709E-2</v>
      </c>
    </row>
    <row r="7040" spans="7:8" x14ac:dyDescent="0.3">
      <c r="G7040" s="15">
        <v>19.541666666666668</v>
      </c>
      <c r="H7040" s="3">
        <v>4.0367083333333262E-2</v>
      </c>
    </row>
    <row r="7041" spans="7:8" x14ac:dyDescent="0.3">
      <c r="G7041" s="15">
        <v>19.544444444444444</v>
      </c>
      <c r="H7041" s="3">
        <v>4.0367888888888821E-2</v>
      </c>
    </row>
    <row r="7042" spans="7:8" x14ac:dyDescent="0.3">
      <c r="G7042" s="15">
        <v>19.547222222222221</v>
      </c>
      <c r="H7042" s="3">
        <v>4.0368694444444381E-2</v>
      </c>
    </row>
    <row r="7043" spans="7:8" x14ac:dyDescent="0.3">
      <c r="G7043" s="15">
        <v>19.55</v>
      </c>
      <c r="H7043" s="3">
        <v>4.0369499999999933E-2</v>
      </c>
    </row>
    <row r="7044" spans="7:8" x14ac:dyDescent="0.3">
      <c r="G7044" s="15">
        <v>19.552777777777777</v>
      </c>
      <c r="H7044" s="3">
        <v>4.0370305555555486E-2</v>
      </c>
    </row>
    <row r="7045" spans="7:8" x14ac:dyDescent="0.3">
      <c r="G7045" s="15">
        <v>19.555555555555557</v>
      </c>
      <c r="H7045" s="3">
        <v>4.0371111111111045E-2</v>
      </c>
    </row>
    <row r="7046" spans="7:8" x14ac:dyDescent="0.3">
      <c r="G7046" s="15">
        <v>19.558333333333334</v>
      </c>
      <c r="H7046" s="3">
        <v>4.0371916666666605E-2</v>
      </c>
    </row>
    <row r="7047" spans="7:8" x14ac:dyDescent="0.3">
      <c r="G7047" s="15">
        <v>19.56111111111111</v>
      </c>
      <c r="H7047" s="3">
        <v>4.0372722222222157E-2</v>
      </c>
    </row>
    <row r="7048" spans="7:8" x14ac:dyDescent="0.3">
      <c r="G7048" s="15">
        <v>19.56388888888889</v>
      </c>
      <c r="H7048" s="3">
        <v>4.037352777777771E-2</v>
      </c>
    </row>
    <row r="7049" spans="7:8" x14ac:dyDescent="0.3">
      <c r="G7049" s="15">
        <v>19.566666666666666</v>
      </c>
      <c r="H7049" s="3">
        <v>4.0374333333333269E-2</v>
      </c>
    </row>
    <row r="7050" spans="7:8" x14ac:dyDescent="0.3">
      <c r="G7050" s="15">
        <v>19.569444444444443</v>
      </c>
      <c r="H7050" s="3">
        <v>4.0375138888888829E-2</v>
      </c>
    </row>
    <row r="7051" spans="7:8" x14ac:dyDescent="0.3">
      <c r="G7051" s="15">
        <v>19.572222222222223</v>
      </c>
      <c r="H7051" s="3">
        <v>4.0375944444444381E-2</v>
      </c>
    </row>
    <row r="7052" spans="7:8" x14ac:dyDescent="0.3">
      <c r="G7052" s="15">
        <v>19.574999999999999</v>
      </c>
      <c r="H7052" s="3">
        <v>4.0376749999999934E-2</v>
      </c>
    </row>
    <row r="7053" spans="7:8" x14ac:dyDescent="0.3">
      <c r="G7053" s="15">
        <v>19.577777777777779</v>
      </c>
      <c r="H7053" s="3">
        <v>4.0377555555555493E-2</v>
      </c>
    </row>
    <row r="7054" spans="7:8" x14ac:dyDescent="0.3">
      <c r="G7054" s="15">
        <v>19.580555555555556</v>
      </c>
      <c r="H7054" s="3">
        <v>4.0378361111111052E-2</v>
      </c>
    </row>
    <row r="7055" spans="7:8" x14ac:dyDescent="0.3">
      <c r="G7055" s="15">
        <v>19.583333333333332</v>
      </c>
      <c r="H7055" s="3">
        <v>4.0379166666666605E-2</v>
      </c>
    </row>
    <row r="7056" spans="7:8" x14ac:dyDescent="0.3">
      <c r="G7056" s="15">
        <v>19.586111111111112</v>
      </c>
      <c r="H7056" s="3">
        <v>4.0379972222222157E-2</v>
      </c>
    </row>
    <row r="7057" spans="7:8" x14ac:dyDescent="0.3">
      <c r="G7057" s="15">
        <v>19.588888888888889</v>
      </c>
      <c r="H7057" s="3">
        <v>4.0380777777777717E-2</v>
      </c>
    </row>
    <row r="7058" spans="7:8" x14ac:dyDescent="0.3">
      <c r="G7058" s="15">
        <v>19.591666666666665</v>
      </c>
      <c r="H7058" s="3">
        <v>4.0381583333333276E-2</v>
      </c>
    </row>
    <row r="7059" spans="7:8" x14ac:dyDescent="0.3">
      <c r="G7059" s="15">
        <v>19.594444444444445</v>
      </c>
      <c r="H7059" s="3">
        <v>4.0382388888888829E-2</v>
      </c>
    </row>
    <row r="7060" spans="7:8" x14ac:dyDescent="0.3">
      <c r="G7060" s="15">
        <v>19.597222222222221</v>
      </c>
      <c r="H7060" s="3">
        <v>4.0383194444444381E-2</v>
      </c>
    </row>
    <row r="7061" spans="7:8" x14ac:dyDescent="0.3">
      <c r="G7061" s="15">
        <v>19.600000000000001</v>
      </c>
      <c r="H7061" s="3">
        <v>4.0383999999999941E-2</v>
      </c>
    </row>
    <row r="7062" spans="7:8" x14ac:dyDescent="0.3">
      <c r="G7062" s="15">
        <v>19.602777777777778</v>
      </c>
      <c r="H7062" s="3">
        <v>4.03848055555555E-2</v>
      </c>
    </row>
    <row r="7063" spans="7:8" x14ac:dyDescent="0.3">
      <c r="G7063" s="15">
        <v>19.605555555555554</v>
      </c>
      <c r="H7063" s="3">
        <v>4.0385611111111053E-2</v>
      </c>
    </row>
    <row r="7064" spans="7:8" x14ac:dyDescent="0.3">
      <c r="G7064" s="15">
        <v>19.608333333333334</v>
      </c>
      <c r="H7064" s="3">
        <v>4.0386416666666605E-2</v>
      </c>
    </row>
    <row r="7065" spans="7:8" x14ac:dyDescent="0.3">
      <c r="G7065" s="15">
        <v>19.611111111111111</v>
      </c>
      <c r="H7065" s="3">
        <v>4.0387222222222165E-2</v>
      </c>
    </row>
    <row r="7066" spans="7:8" x14ac:dyDescent="0.3">
      <c r="G7066" s="15">
        <v>19.613888888888887</v>
      </c>
      <c r="H7066" s="3">
        <v>4.0388027777777724E-2</v>
      </c>
    </row>
    <row r="7067" spans="7:8" x14ac:dyDescent="0.3">
      <c r="G7067" s="15">
        <v>19.616666666666667</v>
      </c>
      <c r="H7067" s="3">
        <v>4.0388833333333277E-2</v>
      </c>
    </row>
    <row r="7068" spans="7:8" x14ac:dyDescent="0.3">
      <c r="G7068" s="15">
        <v>19.619444444444444</v>
      </c>
      <c r="H7068" s="3">
        <v>4.0389638888888829E-2</v>
      </c>
    </row>
    <row r="7069" spans="7:8" x14ac:dyDescent="0.3">
      <c r="G7069" s="15">
        <v>19.622222222222224</v>
      </c>
      <c r="H7069" s="3">
        <v>4.0390444444444389E-2</v>
      </c>
    </row>
    <row r="7070" spans="7:8" x14ac:dyDescent="0.3">
      <c r="G7070" s="15">
        <v>19.625</v>
      </c>
      <c r="H7070" s="3">
        <v>4.0391249999999948E-2</v>
      </c>
    </row>
    <row r="7071" spans="7:8" x14ac:dyDescent="0.3">
      <c r="G7071" s="15">
        <v>19.627777777777776</v>
      </c>
      <c r="H7071" s="3">
        <v>4.0392055555555501E-2</v>
      </c>
    </row>
    <row r="7072" spans="7:8" x14ac:dyDescent="0.3">
      <c r="G7072" s="15">
        <v>19.630555555555556</v>
      </c>
      <c r="H7072" s="3">
        <v>4.0392861111111053E-2</v>
      </c>
    </row>
    <row r="7073" spans="7:8" x14ac:dyDescent="0.3">
      <c r="G7073" s="15">
        <v>19.633333333333333</v>
      </c>
      <c r="H7073" s="3">
        <v>4.0393666666666612E-2</v>
      </c>
    </row>
    <row r="7074" spans="7:8" x14ac:dyDescent="0.3">
      <c r="G7074" s="15">
        <v>19.636111111111113</v>
      </c>
      <c r="H7074" s="3">
        <v>4.0394472222222172E-2</v>
      </c>
    </row>
    <row r="7075" spans="7:8" x14ac:dyDescent="0.3">
      <c r="G7075" s="15">
        <v>19.638888888888889</v>
      </c>
      <c r="H7075" s="3">
        <v>4.0395277777777724E-2</v>
      </c>
    </row>
    <row r="7076" spans="7:8" x14ac:dyDescent="0.3">
      <c r="G7076" s="15">
        <v>19.641666666666666</v>
      </c>
      <c r="H7076" s="3">
        <v>4.0396083333333277E-2</v>
      </c>
    </row>
    <row r="7077" spans="7:8" x14ac:dyDescent="0.3">
      <c r="G7077" s="15">
        <v>19.644444444444446</v>
      </c>
      <c r="H7077" s="3">
        <v>4.0396888888888836E-2</v>
      </c>
    </row>
    <row r="7078" spans="7:8" x14ac:dyDescent="0.3">
      <c r="G7078" s="15">
        <v>19.647222222222222</v>
      </c>
      <c r="H7078" s="3">
        <v>4.0397694444444396E-2</v>
      </c>
    </row>
    <row r="7079" spans="7:8" x14ac:dyDescent="0.3">
      <c r="G7079" s="15">
        <v>19.649999999999999</v>
      </c>
      <c r="H7079" s="3">
        <v>4.0398499999999948E-2</v>
      </c>
    </row>
    <row r="7080" spans="7:8" x14ac:dyDescent="0.3">
      <c r="G7080" s="15">
        <v>19.652777777777779</v>
      </c>
      <c r="H7080" s="3">
        <v>4.0399305555555501E-2</v>
      </c>
    </row>
    <row r="7081" spans="7:8" x14ac:dyDescent="0.3">
      <c r="G7081" s="15">
        <v>19.655555555555555</v>
      </c>
      <c r="H7081" s="3">
        <v>4.040011111111106E-2</v>
      </c>
    </row>
    <row r="7082" spans="7:8" x14ac:dyDescent="0.3">
      <c r="G7082" s="15">
        <v>19.658333333333335</v>
      </c>
      <c r="H7082" s="3">
        <v>4.040091666666662E-2</v>
      </c>
    </row>
    <row r="7083" spans="7:8" x14ac:dyDescent="0.3">
      <c r="G7083" s="15">
        <v>19.661111111111111</v>
      </c>
      <c r="H7083" s="3">
        <v>4.0401722222222172E-2</v>
      </c>
    </row>
    <row r="7084" spans="7:8" x14ac:dyDescent="0.3">
      <c r="G7084" s="15">
        <v>19.663888888888888</v>
      </c>
      <c r="H7084" s="3">
        <v>4.0402527777777725E-2</v>
      </c>
    </row>
    <row r="7085" spans="7:8" x14ac:dyDescent="0.3">
      <c r="G7085" s="15">
        <v>19.666666666666668</v>
      </c>
      <c r="H7085" s="3">
        <v>4.0403333333333284E-2</v>
      </c>
    </row>
    <row r="7086" spans="7:8" x14ac:dyDescent="0.3">
      <c r="G7086" s="15">
        <v>19.669444444444444</v>
      </c>
      <c r="H7086" s="3">
        <v>4.0404138888888844E-2</v>
      </c>
    </row>
    <row r="7087" spans="7:8" x14ac:dyDescent="0.3">
      <c r="G7087" s="15">
        <v>19.672222222222221</v>
      </c>
      <c r="H7087" s="3">
        <v>4.0404944444444396E-2</v>
      </c>
    </row>
    <row r="7088" spans="7:8" x14ac:dyDescent="0.3">
      <c r="G7088" s="15">
        <v>19.675000000000001</v>
      </c>
      <c r="H7088" s="3">
        <v>4.0405749999999949E-2</v>
      </c>
    </row>
    <row r="7089" spans="7:8" x14ac:dyDescent="0.3">
      <c r="G7089" s="15">
        <v>19.677777777777777</v>
      </c>
      <c r="H7089" s="3">
        <v>4.0406555555555508E-2</v>
      </c>
    </row>
    <row r="7090" spans="7:8" x14ac:dyDescent="0.3">
      <c r="G7090" s="15">
        <v>19.680555555555557</v>
      </c>
      <c r="H7090" s="3">
        <v>4.0407361111111068E-2</v>
      </c>
    </row>
    <row r="7091" spans="7:8" x14ac:dyDescent="0.3">
      <c r="G7091" s="15">
        <v>19.683333333333334</v>
      </c>
      <c r="H7091" s="3">
        <v>4.040816666666662E-2</v>
      </c>
    </row>
    <row r="7092" spans="7:8" x14ac:dyDescent="0.3">
      <c r="G7092" s="15">
        <v>19.68611111111111</v>
      </c>
      <c r="H7092" s="3">
        <v>4.0408972222222173E-2</v>
      </c>
    </row>
    <row r="7093" spans="7:8" x14ac:dyDescent="0.3">
      <c r="G7093" s="15">
        <v>19.68888888888889</v>
      </c>
      <c r="H7093" s="3">
        <v>4.0409777777777732E-2</v>
      </c>
    </row>
    <row r="7094" spans="7:8" x14ac:dyDescent="0.3">
      <c r="G7094" s="15">
        <v>19.691666666666666</v>
      </c>
      <c r="H7094" s="3">
        <v>4.0410583333333291E-2</v>
      </c>
    </row>
    <row r="7095" spans="7:8" x14ac:dyDescent="0.3">
      <c r="G7095" s="15">
        <v>19.694444444444443</v>
      </c>
      <c r="H7095" s="3">
        <v>4.0411388888888844E-2</v>
      </c>
    </row>
    <row r="7096" spans="7:8" x14ac:dyDescent="0.3">
      <c r="G7096" s="15">
        <v>19.697222222222223</v>
      </c>
      <c r="H7096" s="3">
        <v>4.0412194444444396E-2</v>
      </c>
    </row>
    <row r="7097" spans="7:8" x14ac:dyDescent="0.3">
      <c r="G7097" s="15">
        <v>19.7</v>
      </c>
      <c r="H7097" s="3">
        <v>4.0412999999999956E-2</v>
      </c>
    </row>
    <row r="7098" spans="7:8" x14ac:dyDescent="0.3">
      <c r="G7098" s="15">
        <v>19.702777777777779</v>
      </c>
      <c r="H7098" s="3">
        <v>4.0413805555555515E-2</v>
      </c>
    </row>
    <row r="7099" spans="7:8" x14ac:dyDescent="0.3">
      <c r="G7099" s="15">
        <v>19.705555555555556</v>
      </c>
      <c r="H7099" s="3">
        <v>4.0414611111111068E-2</v>
      </c>
    </row>
    <row r="7100" spans="7:8" x14ac:dyDescent="0.3">
      <c r="G7100" s="15">
        <v>19.708333333333332</v>
      </c>
      <c r="H7100" s="3">
        <v>4.041541666666662E-2</v>
      </c>
    </row>
    <row r="7101" spans="7:8" x14ac:dyDescent="0.3">
      <c r="G7101" s="15">
        <v>19.711111111111112</v>
      </c>
      <c r="H7101" s="3">
        <v>4.041622222222218E-2</v>
      </c>
    </row>
    <row r="7102" spans="7:8" x14ac:dyDescent="0.3">
      <c r="G7102" s="15">
        <v>19.713888888888889</v>
      </c>
      <c r="H7102" s="3">
        <v>4.0417027777777739E-2</v>
      </c>
    </row>
    <row r="7103" spans="7:8" x14ac:dyDescent="0.3">
      <c r="G7103" s="15">
        <v>19.716666666666665</v>
      </c>
      <c r="H7103" s="3">
        <v>4.0417833333333292E-2</v>
      </c>
    </row>
    <row r="7104" spans="7:8" x14ac:dyDescent="0.3">
      <c r="G7104" s="15">
        <v>19.719444444444445</v>
      </c>
      <c r="H7104" s="3">
        <v>4.0418638888888844E-2</v>
      </c>
    </row>
    <row r="7105" spans="7:8" x14ac:dyDescent="0.3">
      <c r="G7105" s="15">
        <v>19.722222222222221</v>
      </c>
      <c r="H7105" s="3">
        <v>4.0419444444444404E-2</v>
      </c>
    </row>
    <row r="7106" spans="7:8" x14ac:dyDescent="0.3">
      <c r="G7106" s="15">
        <v>19.725000000000001</v>
      </c>
      <c r="H7106" s="3">
        <v>4.0420249999999963E-2</v>
      </c>
    </row>
    <row r="7107" spans="7:8" x14ac:dyDescent="0.3">
      <c r="G7107" s="15">
        <v>19.727777777777778</v>
      </c>
      <c r="H7107" s="3">
        <v>4.0421055555555516E-2</v>
      </c>
    </row>
    <row r="7108" spans="7:8" x14ac:dyDescent="0.3">
      <c r="G7108" s="15">
        <v>19.730555555555554</v>
      </c>
      <c r="H7108" s="3">
        <v>4.0421861111111068E-2</v>
      </c>
    </row>
    <row r="7109" spans="7:8" x14ac:dyDescent="0.3">
      <c r="G7109" s="15">
        <v>19.733333333333334</v>
      </c>
      <c r="H7109" s="3">
        <v>4.0422666666666628E-2</v>
      </c>
    </row>
    <row r="7110" spans="7:8" x14ac:dyDescent="0.3">
      <c r="G7110" s="15">
        <v>19.736111111111111</v>
      </c>
      <c r="H7110" s="3">
        <v>4.0423472222222187E-2</v>
      </c>
    </row>
    <row r="7111" spans="7:8" x14ac:dyDescent="0.3">
      <c r="G7111" s="15">
        <v>19.738888888888887</v>
      </c>
      <c r="H7111" s="3">
        <v>4.042427777777774E-2</v>
      </c>
    </row>
    <row r="7112" spans="7:8" x14ac:dyDescent="0.3">
      <c r="G7112" s="15">
        <v>19.741666666666667</v>
      </c>
      <c r="H7112" s="3">
        <v>4.0425083333333292E-2</v>
      </c>
    </row>
    <row r="7113" spans="7:8" x14ac:dyDescent="0.3">
      <c r="G7113" s="15">
        <v>19.744444444444444</v>
      </c>
      <c r="H7113" s="3">
        <v>4.0425888888888852E-2</v>
      </c>
    </row>
    <row r="7114" spans="7:8" x14ac:dyDescent="0.3">
      <c r="G7114" s="15">
        <v>19.747222222222224</v>
      </c>
      <c r="H7114" s="3">
        <v>4.0426694444444411E-2</v>
      </c>
    </row>
    <row r="7115" spans="7:8" x14ac:dyDescent="0.3">
      <c r="G7115" s="15">
        <v>19.75</v>
      </c>
      <c r="H7115" s="3">
        <v>4.0427499999999963E-2</v>
      </c>
    </row>
    <row r="7116" spans="7:8" x14ac:dyDescent="0.3">
      <c r="G7116" s="15">
        <v>19.752777777777776</v>
      </c>
      <c r="H7116" s="3">
        <v>4.0428305555555516E-2</v>
      </c>
    </row>
    <row r="7117" spans="7:8" x14ac:dyDescent="0.3">
      <c r="G7117" s="15">
        <v>19.755555555555556</v>
      </c>
      <c r="H7117" s="3">
        <v>4.0429111111111075E-2</v>
      </c>
    </row>
    <row r="7118" spans="7:8" x14ac:dyDescent="0.3">
      <c r="G7118" s="15">
        <v>19.758333333333333</v>
      </c>
      <c r="H7118" s="3">
        <v>4.0429916666666635E-2</v>
      </c>
    </row>
    <row r="7119" spans="7:8" x14ac:dyDescent="0.3">
      <c r="G7119" s="15">
        <v>19.761111111111113</v>
      </c>
      <c r="H7119" s="3">
        <v>4.0430722222222187E-2</v>
      </c>
    </row>
    <row r="7120" spans="7:8" x14ac:dyDescent="0.3">
      <c r="G7120" s="15">
        <v>19.763888888888889</v>
      </c>
      <c r="H7120" s="3">
        <v>4.043152777777774E-2</v>
      </c>
    </row>
    <row r="7121" spans="7:8" x14ac:dyDescent="0.3">
      <c r="G7121" s="15">
        <v>19.766666666666666</v>
      </c>
      <c r="H7121" s="3">
        <v>4.0432333333333299E-2</v>
      </c>
    </row>
    <row r="7122" spans="7:8" x14ac:dyDescent="0.3">
      <c r="G7122" s="15">
        <v>19.769444444444446</v>
      </c>
      <c r="H7122" s="3">
        <v>4.0433138888888859E-2</v>
      </c>
    </row>
    <row r="7123" spans="7:8" x14ac:dyDescent="0.3">
      <c r="G7123" s="15">
        <v>19.772222222222222</v>
      </c>
      <c r="H7123" s="3">
        <v>4.0433944444444411E-2</v>
      </c>
    </row>
    <row r="7124" spans="7:8" x14ac:dyDescent="0.3">
      <c r="G7124" s="15">
        <v>19.774999999999999</v>
      </c>
      <c r="H7124" s="3">
        <v>4.0434749999999964E-2</v>
      </c>
    </row>
    <row r="7125" spans="7:8" x14ac:dyDescent="0.3">
      <c r="G7125" s="15">
        <v>19.777777777777779</v>
      </c>
      <c r="H7125" s="3">
        <v>4.0435555555555523E-2</v>
      </c>
    </row>
    <row r="7126" spans="7:8" x14ac:dyDescent="0.3">
      <c r="G7126" s="15">
        <v>19.780555555555555</v>
      </c>
      <c r="H7126" s="3">
        <v>4.0436361111111083E-2</v>
      </c>
    </row>
    <row r="7127" spans="7:8" x14ac:dyDescent="0.3">
      <c r="G7127" s="15">
        <v>19.783333333333335</v>
      </c>
      <c r="H7127" s="3">
        <v>4.0437166666666635E-2</v>
      </c>
    </row>
    <row r="7128" spans="7:8" x14ac:dyDescent="0.3">
      <c r="G7128" s="15">
        <v>19.786111111111111</v>
      </c>
      <c r="H7128" s="3">
        <v>4.0437972222222188E-2</v>
      </c>
    </row>
    <row r="7129" spans="7:8" x14ac:dyDescent="0.3">
      <c r="G7129" s="15">
        <v>19.788888888888888</v>
      </c>
      <c r="H7129" s="3">
        <v>4.0438777777777747E-2</v>
      </c>
    </row>
    <row r="7130" spans="7:8" x14ac:dyDescent="0.3">
      <c r="G7130" s="15">
        <v>19.791666666666668</v>
      </c>
      <c r="H7130" s="3">
        <v>4.0439583333333307E-2</v>
      </c>
    </row>
    <row r="7131" spans="7:8" x14ac:dyDescent="0.3">
      <c r="G7131" s="15">
        <v>19.794444444444444</v>
      </c>
      <c r="H7131" s="3">
        <v>4.0440388888888859E-2</v>
      </c>
    </row>
    <row r="7132" spans="7:8" x14ac:dyDescent="0.3">
      <c r="G7132" s="15">
        <v>19.797222222222221</v>
      </c>
      <c r="H7132" s="3">
        <v>4.0441194444444412E-2</v>
      </c>
    </row>
    <row r="7133" spans="7:8" x14ac:dyDescent="0.3">
      <c r="G7133" s="15">
        <v>19.8</v>
      </c>
      <c r="H7133" s="3">
        <v>4.0441999999999971E-2</v>
      </c>
    </row>
    <row r="7134" spans="7:8" x14ac:dyDescent="0.3">
      <c r="G7134" s="15">
        <v>19.802777777777777</v>
      </c>
      <c r="H7134" s="3">
        <v>4.044280555555553E-2</v>
      </c>
    </row>
    <row r="7135" spans="7:8" x14ac:dyDescent="0.3">
      <c r="G7135" s="15">
        <v>19.805555555555557</v>
      </c>
      <c r="H7135" s="3">
        <v>4.0443611111111083E-2</v>
      </c>
    </row>
    <row r="7136" spans="7:8" x14ac:dyDescent="0.3">
      <c r="G7136" s="15">
        <v>19.808333333333334</v>
      </c>
      <c r="H7136" s="3">
        <v>4.0444416666666635E-2</v>
      </c>
    </row>
    <row r="7137" spans="7:8" x14ac:dyDescent="0.3">
      <c r="G7137" s="15">
        <v>19.81111111111111</v>
      </c>
      <c r="H7137" s="3">
        <v>4.0445222222222195E-2</v>
      </c>
    </row>
    <row r="7138" spans="7:8" x14ac:dyDescent="0.3">
      <c r="G7138" s="15">
        <v>19.81388888888889</v>
      </c>
      <c r="H7138" s="3">
        <v>4.0446027777777754E-2</v>
      </c>
    </row>
    <row r="7139" spans="7:8" x14ac:dyDescent="0.3">
      <c r="G7139" s="15">
        <v>19.816666666666666</v>
      </c>
      <c r="H7139" s="3">
        <v>4.0446833333333307E-2</v>
      </c>
    </row>
    <row r="7140" spans="7:8" x14ac:dyDescent="0.3">
      <c r="G7140" s="15">
        <v>19.819444444444443</v>
      </c>
      <c r="H7140" s="3">
        <v>4.0447638888888859E-2</v>
      </c>
    </row>
    <row r="7141" spans="7:8" x14ac:dyDescent="0.3">
      <c r="G7141" s="15">
        <v>19.822222222222223</v>
      </c>
      <c r="H7141" s="3">
        <v>4.0448444444444419E-2</v>
      </c>
    </row>
    <row r="7142" spans="7:8" x14ac:dyDescent="0.3">
      <c r="G7142" s="15">
        <v>19.824999999999999</v>
      </c>
      <c r="H7142" s="3">
        <v>4.0449249999999978E-2</v>
      </c>
    </row>
    <row r="7143" spans="7:8" x14ac:dyDescent="0.3">
      <c r="G7143" s="15">
        <v>19.827777777777779</v>
      </c>
      <c r="H7143" s="3">
        <v>4.0450055555555531E-2</v>
      </c>
    </row>
    <row r="7144" spans="7:8" x14ac:dyDescent="0.3">
      <c r="G7144" s="15">
        <v>19.830555555555556</v>
      </c>
      <c r="H7144" s="3">
        <v>4.0450861111111083E-2</v>
      </c>
    </row>
    <row r="7145" spans="7:8" x14ac:dyDescent="0.3">
      <c r="G7145" s="15">
        <v>19.833333333333332</v>
      </c>
      <c r="H7145" s="3">
        <v>4.0451666666666643E-2</v>
      </c>
    </row>
    <row r="7146" spans="7:8" x14ac:dyDescent="0.3">
      <c r="G7146" s="15">
        <v>19.836111111111112</v>
      </c>
      <c r="H7146" s="3">
        <v>4.0452472222222202E-2</v>
      </c>
    </row>
    <row r="7147" spans="7:8" x14ac:dyDescent="0.3">
      <c r="G7147" s="15">
        <v>19.838888888888889</v>
      </c>
      <c r="H7147" s="3">
        <v>4.0453277777777755E-2</v>
      </c>
    </row>
    <row r="7148" spans="7:8" x14ac:dyDescent="0.3">
      <c r="G7148" s="15">
        <v>19.841666666666665</v>
      </c>
      <c r="H7148" s="3">
        <v>4.0454083333333307E-2</v>
      </c>
    </row>
    <row r="7149" spans="7:8" x14ac:dyDescent="0.3">
      <c r="G7149" s="15">
        <v>19.844444444444445</v>
      </c>
      <c r="H7149" s="3">
        <v>4.0454888888888867E-2</v>
      </c>
    </row>
    <row r="7150" spans="7:8" x14ac:dyDescent="0.3">
      <c r="G7150" s="15">
        <v>19.847222222222221</v>
      </c>
      <c r="H7150" s="3">
        <v>4.0455694444444426E-2</v>
      </c>
    </row>
    <row r="7151" spans="7:8" x14ac:dyDescent="0.3">
      <c r="G7151" s="15">
        <v>19.850000000000001</v>
      </c>
      <c r="H7151" s="3">
        <v>4.0456499999999979E-2</v>
      </c>
    </row>
    <row r="7152" spans="7:8" x14ac:dyDescent="0.3">
      <c r="G7152" s="15">
        <v>19.852777777777778</v>
      </c>
      <c r="H7152" s="3">
        <v>4.0457305555555531E-2</v>
      </c>
    </row>
    <row r="7153" spans="7:8" x14ac:dyDescent="0.3">
      <c r="G7153" s="15">
        <v>19.855555555555554</v>
      </c>
      <c r="H7153" s="3">
        <v>4.0458111111111091E-2</v>
      </c>
    </row>
    <row r="7154" spans="7:8" x14ac:dyDescent="0.3">
      <c r="G7154" s="15">
        <v>19.858333333333334</v>
      </c>
      <c r="H7154" s="3">
        <v>4.045891666666665E-2</v>
      </c>
    </row>
    <row r="7155" spans="7:8" x14ac:dyDescent="0.3">
      <c r="G7155" s="15">
        <v>19.861111111111111</v>
      </c>
      <c r="H7155" s="3">
        <v>4.0459722222222202E-2</v>
      </c>
    </row>
    <row r="7156" spans="7:8" x14ac:dyDescent="0.3">
      <c r="G7156" s="15">
        <v>19.863888888888887</v>
      </c>
      <c r="H7156" s="3">
        <v>4.0460527777777755E-2</v>
      </c>
    </row>
    <row r="7157" spans="7:8" x14ac:dyDescent="0.3">
      <c r="G7157" s="15">
        <v>19.866666666666667</v>
      </c>
      <c r="H7157" s="3">
        <v>4.0461333333333314E-2</v>
      </c>
    </row>
    <row r="7158" spans="7:8" x14ac:dyDescent="0.3">
      <c r="G7158" s="15">
        <v>19.869444444444444</v>
      </c>
      <c r="H7158" s="3">
        <v>4.0462138888888874E-2</v>
      </c>
    </row>
    <row r="7159" spans="7:8" x14ac:dyDescent="0.3">
      <c r="G7159" s="15">
        <v>19.872222222222224</v>
      </c>
      <c r="H7159" s="3">
        <v>4.0462944444444426E-2</v>
      </c>
    </row>
    <row r="7160" spans="7:8" x14ac:dyDescent="0.3">
      <c r="G7160" s="15">
        <v>19.875</v>
      </c>
      <c r="H7160" s="3">
        <v>4.0463749999999979E-2</v>
      </c>
    </row>
    <row r="7161" spans="7:8" x14ac:dyDescent="0.3">
      <c r="G7161" s="15">
        <v>19.877777777777776</v>
      </c>
      <c r="H7161" s="3">
        <v>4.0464555555555538E-2</v>
      </c>
    </row>
    <row r="7162" spans="7:8" x14ac:dyDescent="0.3">
      <c r="G7162" s="15">
        <v>19.880555555555556</v>
      </c>
      <c r="H7162" s="3">
        <v>4.0465361111111098E-2</v>
      </c>
    </row>
    <row r="7163" spans="7:8" x14ac:dyDescent="0.3">
      <c r="G7163" s="15">
        <v>19.883333333333333</v>
      </c>
      <c r="H7163" s="3">
        <v>4.046616666666665E-2</v>
      </c>
    </row>
    <row r="7164" spans="7:8" x14ac:dyDescent="0.3">
      <c r="G7164" s="15">
        <v>19.886111111111113</v>
      </c>
      <c r="H7164" s="3">
        <v>4.0466972222222203E-2</v>
      </c>
    </row>
    <row r="7165" spans="7:8" x14ac:dyDescent="0.3">
      <c r="G7165" s="15">
        <v>19.888888888888889</v>
      </c>
      <c r="H7165" s="3">
        <v>4.0467777777777762E-2</v>
      </c>
    </row>
    <row r="7166" spans="7:8" x14ac:dyDescent="0.3">
      <c r="G7166" s="15">
        <v>19.891666666666666</v>
      </c>
      <c r="H7166" s="3">
        <v>4.0468583333333322E-2</v>
      </c>
    </row>
    <row r="7167" spans="7:8" x14ac:dyDescent="0.3">
      <c r="G7167" s="15">
        <v>19.894444444444446</v>
      </c>
      <c r="H7167" s="3">
        <v>4.0469388888888874E-2</v>
      </c>
    </row>
    <row r="7168" spans="7:8" x14ac:dyDescent="0.3">
      <c r="G7168" s="15">
        <v>19.897222222222222</v>
      </c>
      <c r="H7168" s="3">
        <v>4.0470194444444427E-2</v>
      </c>
    </row>
    <row r="7169" spans="7:8" x14ac:dyDescent="0.3">
      <c r="G7169" s="15">
        <v>19.899999999999999</v>
      </c>
      <c r="H7169" s="3">
        <v>4.0470999999999986E-2</v>
      </c>
    </row>
    <row r="7170" spans="7:8" x14ac:dyDescent="0.3">
      <c r="G7170" s="15">
        <v>19.902777777777779</v>
      </c>
      <c r="H7170" s="3">
        <v>4.0471805555555546E-2</v>
      </c>
    </row>
    <row r="7171" spans="7:8" x14ac:dyDescent="0.3">
      <c r="G7171" s="15">
        <v>19.905555555555555</v>
      </c>
      <c r="H7171" s="3">
        <v>4.0472611111111098E-2</v>
      </c>
    </row>
    <row r="7172" spans="7:8" x14ac:dyDescent="0.3">
      <c r="G7172" s="15">
        <v>19.908333333333335</v>
      </c>
      <c r="H7172" s="3">
        <v>4.0473416666666651E-2</v>
      </c>
    </row>
    <row r="7173" spans="7:8" x14ac:dyDescent="0.3">
      <c r="G7173" s="15">
        <v>19.911111111111111</v>
      </c>
      <c r="H7173" s="3">
        <v>4.047422222222221E-2</v>
      </c>
    </row>
    <row r="7174" spans="7:8" x14ac:dyDescent="0.3">
      <c r="G7174" s="15">
        <v>19.913888888888888</v>
      </c>
      <c r="H7174" s="3">
        <v>4.0475027777777769E-2</v>
      </c>
    </row>
    <row r="7175" spans="7:8" x14ac:dyDescent="0.3">
      <c r="G7175" s="15">
        <v>19.916666666666668</v>
      </c>
      <c r="H7175" s="3">
        <v>4.0475833333333322E-2</v>
      </c>
    </row>
    <row r="7176" spans="7:8" x14ac:dyDescent="0.3">
      <c r="G7176" s="15">
        <v>19.919444444444444</v>
      </c>
      <c r="H7176" s="3">
        <v>4.0476638888888875E-2</v>
      </c>
    </row>
    <row r="7177" spans="7:8" x14ac:dyDescent="0.3">
      <c r="G7177" s="15">
        <v>19.922222222222221</v>
      </c>
      <c r="H7177" s="3">
        <v>4.0477444444444434E-2</v>
      </c>
    </row>
    <row r="7178" spans="7:8" x14ac:dyDescent="0.3">
      <c r="G7178" s="15">
        <v>19.925000000000001</v>
      </c>
      <c r="H7178" s="3">
        <v>4.0478249999999993E-2</v>
      </c>
    </row>
    <row r="7179" spans="7:8" x14ac:dyDescent="0.3">
      <c r="G7179" s="15">
        <v>19.927777777777777</v>
      </c>
      <c r="H7179" s="3">
        <v>4.0479055555555546E-2</v>
      </c>
    </row>
    <row r="7180" spans="7:8" x14ac:dyDescent="0.3">
      <c r="G7180" s="15">
        <v>19.930555555555557</v>
      </c>
      <c r="H7180" s="3">
        <v>4.0479861111111098E-2</v>
      </c>
    </row>
    <row r="7181" spans="7:8" x14ac:dyDescent="0.3">
      <c r="G7181" s="15">
        <v>19.933333333333334</v>
      </c>
      <c r="H7181" s="3">
        <v>4.0480666666666658E-2</v>
      </c>
    </row>
    <row r="7182" spans="7:8" x14ac:dyDescent="0.3">
      <c r="G7182" s="15">
        <v>19.93611111111111</v>
      </c>
      <c r="H7182" s="3">
        <v>4.0481472222222217E-2</v>
      </c>
    </row>
    <row r="7183" spans="7:8" x14ac:dyDescent="0.3">
      <c r="G7183" s="15">
        <v>19.93888888888889</v>
      </c>
      <c r="H7183" s="3">
        <v>4.048227777777777E-2</v>
      </c>
    </row>
    <row r="7184" spans="7:8" x14ac:dyDescent="0.3">
      <c r="G7184" s="15">
        <v>19.941666666666666</v>
      </c>
      <c r="H7184" s="3">
        <v>4.0483083333333322E-2</v>
      </c>
    </row>
    <row r="7185" spans="7:8" x14ac:dyDescent="0.3">
      <c r="G7185" s="15">
        <v>19.944444444444443</v>
      </c>
      <c r="H7185" s="3">
        <v>4.0483888888888882E-2</v>
      </c>
    </row>
    <row r="7186" spans="7:8" x14ac:dyDescent="0.3">
      <c r="G7186" s="15">
        <v>19.947222222222223</v>
      </c>
      <c r="H7186" s="3">
        <v>4.0484694444444441E-2</v>
      </c>
    </row>
    <row r="7187" spans="7:8" x14ac:dyDescent="0.3">
      <c r="G7187" s="15">
        <v>19.95</v>
      </c>
      <c r="H7187" s="3">
        <v>4.0485499999999994E-2</v>
      </c>
    </row>
    <row r="7188" spans="7:8" x14ac:dyDescent="0.3">
      <c r="G7188" s="15">
        <v>19.952777777777779</v>
      </c>
      <c r="H7188" s="3">
        <v>4.0486305555555546E-2</v>
      </c>
    </row>
    <row r="7189" spans="7:8" x14ac:dyDescent="0.3">
      <c r="G7189" s="15">
        <v>19.955555555555556</v>
      </c>
      <c r="H7189" s="3">
        <v>4.0487111111111106E-2</v>
      </c>
    </row>
    <row r="7190" spans="7:8" x14ac:dyDescent="0.3">
      <c r="G7190" s="15">
        <v>19.958333333333332</v>
      </c>
      <c r="H7190" s="3">
        <v>4.0487916666666665E-2</v>
      </c>
    </row>
    <row r="7191" spans="7:8" x14ac:dyDescent="0.3">
      <c r="G7191" s="15">
        <v>19.961111111111112</v>
      </c>
      <c r="H7191" s="3">
        <v>4.0488722222222218E-2</v>
      </c>
    </row>
    <row r="7192" spans="7:8" x14ac:dyDescent="0.3">
      <c r="G7192" s="15">
        <v>19.963888888888889</v>
      </c>
      <c r="H7192" s="3">
        <v>4.048952777777777E-2</v>
      </c>
    </row>
    <row r="7193" spans="7:8" x14ac:dyDescent="0.3">
      <c r="G7193" s="15">
        <v>19.966666666666665</v>
      </c>
      <c r="H7193" s="3">
        <v>4.049033333333333E-2</v>
      </c>
    </row>
    <row r="7194" spans="7:8" x14ac:dyDescent="0.3">
      <c r="G7194" s="15">
        <v>19.969444444444445</v>
      </c>
      <c r="H7194" s="3">
        <v>4.0491138888888889E-2</v>
      </c>
    </row>
    <row r="7195" spans="7:8" x14ac:dyDescent="0.3">
      <c r="G7195" s="15">
        <v>19.972222222222221</v>
      </c>
      <c r="H7195" s="3">
        <v>4.0491944444444442E-2</v>
      </c>
    </row>
    <row r="7196" spans="7:8" x14ac:dyDescent="0.3">
      <c r="G7196" s="15">
        <v>19.975000000000001</v>
      </c>
      <c r="H7196" s="3">
        <v>4.0492749999999994E-2</v>
      </c>
    </row>
    <row r="7197" spans="7:8" x14ac:dyDescent="0.3">
      <c r="G7197" s="15">
        <v>19.977777777777778</v>
      </c>
      <c r="H7197" s="3">
        <v>4.0493555555555553E-2</v>
      </c>
    </row>
    <row r="7198" spans="7:8" x14ac:dyDescent="0.3">
      <c r="G7198" s="15">
        <v>19.980555555555554</v>
      </c>
      <c r="H7198" s="3">
        <v>4.0494361111111113E-2</v>
      </c>
    </row>
    <row r="7199" spans="7:8" x14ac:dyDescent="0.3">
      <c r="G7199" s="15">
        <v>19.983333333333334</v>
      </c>
      <c r="H7199" s="3">
        <v>4.0495166666666665E-2</v>
      </c>
    </row>
    <row r="7200" spans="7:8" x14ac:dyDescent="0.3">
      <c r="G7200" s="15">
        <v>19.986111111111111</v>
      </c>
      <c r="H7200" s="3">
        <v>4.0495972222222218E-2</v>
      </c>
    </row>
    <row r="7201" spans="7:8" x14ac:dyDescent="0.3">
      <c r="G7201" s="15">
        <v>19.988888888888887</v>
      </c>
      <c r="H7201" s="3">
        <v>4.0496777777777777E-2</v>
      </c>
    </row>
    <row r="7202" spans="7:8" x14ac:dyDescent="0.3">
      <c r="G7202" s="15">
        <v>19.991666666666667</v>
      </c>
      <c r="H7202" s="3">
        <v>4.0497583333333337E-2</v>
      </c>
    </row>
    <row r="7203" spans="7:8" x14ac:dyDescent="0.3">
      <c r="G7203" s="15">
        <v>19.994444444444444</v>
      </c>
      <c r="H7203" s="3">
        <v>4.0498388888888889E-2</v>
      </c>
    </row>
    <row r="7204" spans="7:8" x14ac:dyDescent="0.3">
      <c r="G7204" s="15">
        <v>19.997222222222224</v>
      </c>
      <c r="H7204" s="3">
        <v>4.0499194444444442E-2</v>
      </c>
    </row>
    <row r="7205" spans="7:8" x14ac:dyDescent="0.3">
      <c r="G7205" s="15">
        <v>20</v>
      </c>
      <c r="H7205" s="3">
        <v>4.0500000000000001E-2</v>
      </c>
    </row>
    <row r="7206" spans="7:8" x14ac:dyDescent="0.3">
      <c r="G7206" s="15">
        <v>20.002777777777776</v>
      </c>
      <c r="H7206" s="3">
        <v>4.049938888888889E-2</v>
      </c>
    </row>
    <row r="7207" spans="7:8" x14ac:dyDescent="0.3">
      <c r="G7207" s="15">
        <v>20.005555555555556</v>
      </c>
      <c r="H7207" s="3">
        <v>4.0498777777777779E-2</v>
      </c>
    </row>
    <row r="7208" spans="7:8" x14ac:dyDescent="0.3">
      <c r="G7208" s="15">
        <v>20.008333333333333</v>
      </c>
      <c r="H7208" s="3">
        <v>4.0498166666666668E-2</v>
      </c>
    </row>
    <row r="7209" spans="7:8" x14ac:dyDescent="0.3">
      <c r="G7209" s="15">
        <v>20.011111111111113</v>
      </c>
      <c r="H7209" s="3">
        <v>4.0497555555555557E-2</v>
      </c>
    </row>
    <row r="7210" spans="7:8" x14ac:dyDescent="0.3">
      <c r="G7210" s="15">
        <v>20.013888888888889</v>
      </c>
      <c r="H7210" s="3">
        <v>4.0496944444444447E-2</v>
      </c>
    </row>
    <row r="7211" spans="7:8" x14ac:dyDescent="0.3">
      <c r="G7211" s="15">
        <v>20.016666666666666</v>
      </c>
      <c r="H7211" s="3">
        <v>4.0496333333333336E-2</v>
      </c>
    </row>
    <row r="7212" spans="7:8" x14ac:dyDescent="0.3">
      <c r="G7212" s="15">
        <v>20.019444444444446</v>
      </c>
      <c r="H7212" s="3">
        <v>4.0495722222222225E-2</v>
      </c>
    </row>
    <row r="7213" spans="7:8" x14ac:dyDescent="0.3">
      <c r="G7213" s="15">
        <v>20.022222222222222</v>
      </c>
      <c r="H7213" s="3">
        <v>4.0495111111111114E-2</v>
      </c>
    </row>
    <row r="7214" spans="7:8" x14ac:dyDescent="0.3">
      <c r="G7214" s="15">
        <v>20.024999999999999</v>
      </c>
      <c r="H7214" s="3">
        <v>4.0494500000000003E-2</v>
      </c>
    </row>
    <row r="7215" spans="7:8" x14ac:dyDescent="0.3">
      <c r="G7215" s="15">
        <v>20.027777777777779</v>
      </c>
      <c r="H7215" s="3">
        <v>4.0493888888888892E-2</v>
      </c>
    </row>
    <row r="7216" spans="7:8" x14ac:dyDescent="0.3">
      <c r="G7216" s="15">
        <v>20.030555555555555</v>
      </c>
      <c r="H7216" s="3">
        <v>4.0493277777777781E-2</v>
      </c>
    </row>
    <row r="7217" spans="7:8" x14ac:dyDescent="0.3">
      <c r="G7217" s="15">
        <v>20.033333333333335</v>
      </c>
      <c r="H7217" s="3">
        <v>4.049266666666667E-2</v>
      </c>
    </row>
    <row r="7218" spans="7:8" x14ac:dyDescent="0.3">
      <c r="G7218" s="15">
        <v>20.036111111111111</v>
      </c>
      <c r="H7218" s="3">
        <v>4.0492055555555559E-2</v>
      </c>
    </row>
    <row r="7219" spans="7:8" x14ac:dyDescent="0.3">
      <c r="G7219" s="15">
        <v>20.038888888888888</v>
      </c>
      <c r="H7219" s="3">
        <v>4.0491444444444448E-2</v>
      </c>
    </row>
    <row r="7220" spans="7:8" x14ac:dyDescent="0.3">
      <c r="G7220" s="15">
        <v>20.041666666666668</v>
      </c>
      <c r="H7220" s="3">
        <v>4.0490833333333337E-2</v>
      </c>
    </row>
    <row r="7221" spans="7:8" x14ac:dyDescent="0.3">
      <c r="G7221" s="15">
        <v>20.044444444444444</v>
      </c>
      <c r="H7221" s="3">
        <v>4.0490222222222226E-2</v>
      </c>
    </row>
    <row r="7222" spans="7:8" x14ac:dyDescent="0.3">
      <c r="G7222" s="15">
        <v>20.047222222222221</v>
      </c>
      <c r="H7222" s="3">
        <v>4.0489611111111115E-2</v>
      </c>
    </row>
    <row r="7223" spans="7:8" x14ac:dyDescent="0.3">
      <c r="G7223" s="15">
        <v>20.05</v>
      </c>
      <c r="H7223" s="3">
        <v>4.0489000000000004E-2</v>
      </c>
    </row>
    <row r="7224" spans="7:8" x14ac:dyDescent="0.3">
      <c r="G7224" s="15">
        <v>20.052777777777777</v>
      </c>
      <c r="H7224" s="3">
        <v>4.0488388888888893E-2</v>
      </c>
    </row>
    <row r="7225" spans="7:8" x14ac:dyDescent="0.3">
      <c r="G7225" s="15">
        <v>20.055555555555557</v>
      </c>
      <c r="H7225" s="3">
        <v>4.0487777777777782E-2</v>
      </c>
    </row>
    <row r="7226" spans="7:8" x14ac:dyDescent="0.3">
      <c r="G7226" s="15">
        <v>20.058333333333334</v>
      </c>
      <c r="H7226" s="3">
        <v>4.0487166666666671E-2</v>
      </c>
    </row>
    <row r="7227" spans="7:8" x14ac:dyDescent="0.3">
      <c r="G7227" s="15">
        <v>20.06111111111111</v>
      </c>
      <c r="H7227" s="3">
        <v>4.048655555555556E-2</v>
      </c>
    </row>
    <row r="7228" spans="7:8" x14ac:dyDescent="0.3">
      <c r="G7228" s="15">
        <v>20.06388888888889</v>
      </c>
      <c r="H7228" s="3">
        <v>4.0485944444444449E-2</v>
      </c>
    </row>
    <row r="7229" spans="7:8" x14ac:dyDescent="0.3">
      <c r="G7229" s="15">
        <v>20.066666666666666</v>
      </c>
      <c r="H7229" s="3">
        <v>4.0485333333333338E-2</v>
      </c>
    </row>
    <row r="7230" spans="7:8" x14ac:dyDescent="0.3">
      <c r="G7230" s="15">
        <v>20.069444444444443</v>
      </c>
      <c r="H7230" s="3">
        <v>4.0484722222222227E-2</v>
      </c>
    </row>
    <row r="7231" spans="7:8" x14ac:dyDescent="0.3">
      <c r="G7231" s="15">
        <v>20.072222222222223</v>
      </c>
      <c r="H7231" s="3">
        <v>4.0484111111111117E-2</v>
      </c>
    </row>
    <row r="7232" spans="7:8" x14ac:dyDescent="0.3">
      <c r="G7232" s="15">
        <v>20.074999999999999</v>
      </c>
      <c r="H7232" s="3">
        <v>4.0483500000000006E-2</v>
      </c>
    </row>
    <row r="7233" spans="7:8" x14ac:dyDescent="0.3">
      <c r="G7233" s="15">
        <v>20.077777777777779</v>
      </c>
      <c r="H7233" s="3">
        <v>4.0482888888888895E-2</v>
      </c>
    </row>
    <row r="7234" spans="7:8" x14ac:dyDescent="0.3">
      <c r="G7234" s="15">
        <v>20.080555555555556</v>
      </c>
      <c r="H7234" s="3">
        <v>4.0482277777777784E-2</v>
      </c>
    </row>
    <row r="7235" spans="7:8" x14ac:dyDescent="0.3">
      <c r="G7235" s="15">
        <v>20.083333333333332</v>
      </c>
      <c r="H7235" s="3">
        <v>4.0481666666666673E-2</v>
      </c>
    </row>
    <row r="7236" spans="7:8" x14ac:dyDescent="0.3">
      <c r="G7236" s="15">
        <v>20.086111111111112</v>
      </c>
      <c r="H7236" s="3">
        <v>4.0481055555555562E-2</v>
      </c>
    </row>
    <row r="7237" spans="7:8" x14ac:dyDescent="0.3">
      <c r="G7237" s="15">
        <v>20.088888888888889</v>
      </c>
      <c r="H7237" s="3">
        <v>4.0480444444444451E-2</v>
      </c>
    </row>
    <row r="7238" spans="7:8" x14ac:dyDescent="0.3">
      <c r="G7238" s="15">
        <v>20.091666666666665</v>
      </c>
      <c r="H7238" s="3">
        <v>4.047983333333334E-2</v>
      </c>
    </row>
    <row r="7239" spans="7:8" x14ac:dyDescent="0.3">
      <c r="G7239" s="15">
        <v>20.094444444444445</v>
      </c>
      <c r="H7239" s="3">
        <v>4.0479222222222229E-2</v>
      </c>
    </row>
    <row r="7240" spans="7:8" x14ac:dyDescent="0.3">
      <c r="G7240" s="15">
        <v>20.097222222222221</v>
      </c>
      <c r="H7240" s="3">
        <v>4.0478611111111118E-2</v>
      </c>
    </row>
    <row r="7241" spans="7:8" x14ac:dyDescent="0.3">
      <c r="G7241" s="15">
        <v>20.100000000000001</v>
      </c>
      <c r="H7241" s="3">
        <v>4.0478000000000007E-2</v>
      </c>
    </row>
    <row r="7242" spans="7:8" x14ac:dyDescent="0.3">
      <c r="G7242" s="15">
        <v>20.102777777777778</v>
      </c>
      <c r="H7242" s="3">
        <v>4.0477388888888896E-2</v>
      </c>
    </row>
    <row r="7243" spans="7:8" x14ac:dyDescent="0.3">
      <c r="G7243" s="15">
        <v>20.105555555555554</v>
      </c>
      <c r="H7243" s="3">
        <v>4.0476777777777785E-2</v>
      </c>
    </row>
    <row r="7244" spans="7:8" x14ac:dyDescent="0.3">
      <c r="G7244" s="15">
        <v>20.108333333333334</v>
      </c>
      <c r="H7244" s="3">
        <v>4.0476166666666674E-2</v>
      </c>
    </row>
    <row r="7245" spans="7:8" x14ac:dyDescent="0.3">
      <c r="G7245" s="15">
        <v>20.111111111111111</v>
      </c>
      <c r="H7245" s="3">
        <v>4.0475555555555563E-2</v>
      </c>
    </row>
    <row r="7246" spans="7:8" x14ac:dyDescent="0.3">
      <c r="G7246" s="15">
        <v>20.113888888888887</v>
      </c>
      <c r="H7246" s="3">
        <v>4.0474944444444452E-2</v>
      </c>
    </row>
    <row r="7247" spans="7:8" x14ac:dyDescent="0.3">
      <c r="G7247" s="15">
        <v>20.116666666666667</v>
      </c>
      <c r="H7247" s="3">
        <v>4.0474333333333341E-2</v>
      </c>
    </row>
    <row r="7248" spans="7:8" x14ac:dyDescent="0.3">
      <c r="G7248" s="15">
        <v>20.119444444444444</v>
      </c>
      <c r="H7248" s="3">
        <v>4.047372222222223E-2</v>
      </c>
    </row>
    <row r="7249" spans="7:8" x14ac:dyDescent="0.3">
      <c r="G7249" s="15">
        <v>20.122222222222224</v>
      </c>
      <c r="H7249" s="3">
        <v>4.0473111111111119E-2</v>
      </c>
    </row>
    <row r="7250" spans="7:8" x14ac:dyDescent="0.3">
      <c r="G7250" s="15">
        <v>20.125</v>
      </c>
      <c r="H7250" s="3">
        <v>4.0472500000000008E-2</v>
      </c>
    </row>
    <row r="7251" spans="7:8" x14ac:dyDescent="0.3">
      <c r="G7251" s="15">
        <v>20.127777777777776</v>
      </c>
      <c r="H7251" s="3">
        <v>4.0471888888888898E-2</v>
      </c>
    </row>
    <row r="7252" spans="7:8" x14ac:dyDescent="0.3">
      <c r="G7252" s="15">
        <v>20.130555555555556</v>
      </c>
      <c r="H7252" s="3">
        <v>4.0471277777777787E-2</v>
      </c>
    </row>
    <row r="7253" spans="7:8" x14ac:dyDescent="0.3">
      <c r="G7253" s="15">
        <v>20.133333333333333</v>
      </c>
      <c r="H7253" s="3">
        <v>4.0470666666666676E-2</v>
      </c>
    </row>
    <row r="7254" spans="7:8" x14ac:dyDescent="0.3">
      <c r="G7254" s="15">
        <v>20.136111111111113</v>
      </c>
      <c r="H7254" s="3">
        <v>4.0470055555555565E-2</v>
      </c>
    </row>
    <row r="7255" spans="7:8" x14ac:dyDescent="0.3">
      <c r="G7255" s="15">
        <v>20.138888888888889</v>
      </c>
      <c r="H7255" s="3">
        <v>4.0469444444444454E-2</v>
      </c>
    </row>
    <row r="7256" spans="7:8" x14ac:dyDescent="0.3">
      <c r="G7256" s="15">
        <v>20.141666666666666</v>
      </c>
      <c r="H7256" s="3">
        <v>4.0468833333333343E-2</v>
      </c>
    </row>
    <row r="7257" spans="7:8" x14ac:dyDescent="0.3">
      <c r="G7257" s="15">
        <v>20.144444444444446</v>
      </c>
      <c r="H7257" s="3">
        <v>4.0468222222222232E-2</v>
      </c>
    </row>
    <row r="7258" spans="7:8" x14ac:dyDescent="0.3">
      <c r="G7258" s="15">
        <v>20.147222222222222</v>
      </c>
      <c r="H7258" s="3">
        <v>4.0467611111111121E-2</v>
      </c>
    </row>
    <row r="7259" spans="7:8" x14ac:dyDescent="0.3">
      <c r="G7259" s="15">
        <v>20.149999999999999</v>
      </c>
      <c r="H7259" s="3">
        <v>4.046700000000001E-2</v>
      </c>
    </row>
    <row r="7260" spans="7:8" x14ac:dyDescent="0.3">
      <c r="G7260" s="15">
        <v>20.152777777777779</v>
      </c>
      <c r="H7260" s="3">
        <v>4.0466388888888899E-2</v>
      </c>
    </row>
    <row r="7261" spans="7:8" x14ac:dyDescent="0.3">
      <c r="G7261" s="15">
        <v>20.155555555555555</v>
      </c>
      <c r="H7261" s="3">
        <v>4.0465777777777788E-2</v>
      </c>
    </row>
    <row r="7262" spans="7:8" x14ac:dyDescent="0.3">
      <c r="G7262" s="15">
        <v>20.158333333333335</v>
      </c>
      <c r="H7262" s="3">
        <v>4.0465166666666677E-2</v>
      </c>
    </row>
    <row r="7263" spans="7:8" x14ac:dyDescent="0.3">
      <c r="G7263" s="15">
        <v>20.161111111111111</v>
      </c>
      <c r="H7263" s="3">
        <v>4.0464555555555566E-2</v>
      </c>
    </row>
    <row r="7264" spans="7:8" x14ac:dyDescent="0.3">
      <c r="G7264" s="15">
        <v>20.163888888888888</v>
      </c>
      <c r="H7264" s="3">
        <v>4.0463944444444455E-2</v>
      </c>
    </row>
    <row r="7265" spans="7:8" x14ac:dyDescent="0.3">
      <c r="G7265" s="15">
        <v>20.166666666666668</v>
      </c>
      <c r="H7265" s="3">
        <v>4.0463333333333344E-2</v>
      </c>
    </row>
    <row r="7266" spans="7:8" x14ac:dyDescent="0.3">
      <c r="G7266" s="15">
        <v>20.169444444444444</v>
      </c>
      <c r="H7266" s="3">
        <v>4.0462722222222233E-2</v>
      </c>
    </row>
    <row r="7267" spans="7:8" x14ac:dyDescent="0.3">
      <c r="G7267" s="15">
        <v>20.172222222222221</v>
      </c>
      <c r="H7267" s="3">
        <v>4.0462111111111122E-2</v>
      </c>
    </row>
    <row r="7268" spans="7:8" x14ac:dyDescent="0.3">
      <c r="G7268" s="15">
        <v>20.175000000000001</v>
      </c>
      <c r="H7268" s="3">
        <v>4.0461500000000011E-2</v>
      </c>
    </row>
    <row r="7269" spans="7:8" x14ac:dyDescent="0.3">
      <c r="G7269" s="15">
        <v>20.177777777777777</v>
      </c>
      <c r="H7269" s="3">
        <v>4.04608888888889E-2</v>
      </c>
    </row>
    <row r="7270" spans="7:8" x14ac:dyDescent="0.3">
      <c r="G7270" s="15">
        <v>20.180555555555557</v>
      </c>
      <c r="H7270" s="3">
        <v>4.0460277777777789E-2</v>
      </c>
    </row>
    <row r="7271" spans="7:8" x14ac:dyDescent="0.3">
      <c r="G7271" s="15">
        <v>20.183333333333334</v>
      </c>
      <c r="H7271" s="3">
        <v>4.0459666666666678E-2</v>
      </c>
    </row>
    <row r="7272" spans="7:8" x14ac:dyDescent="0.3">
      <c r="G7272" s="15">
        <v>20.18611111111111</v>
      </c>
      <c r="H7272" s="3">
        <v>4.0459055555555568E-2</v>
      </c>
    </row>
    <row r="7273" spans="7:8" x14ac:dyDescent="0.3">
      <c r="G7273" s="15">
        <v>20.18888888888889</v>
      </c>
      <c r="H7273" s="3">
        <v>4.0458444444444457E-2</v>
      </c>
    </row>
    <row r="7274" spans="7:8" x14ac:dyDescent="0.3">
      <c r="G7274" s="15">
        <v>20.191666666666666</v>
      </c>
      <c r="H7274" s="3">
        <v>4.0457833333333346E-2</v>
      </c>
    </row>
    <row r="7275" spans="7:8" x14ac:dyDescent="0.3">
      <c r="G7275" s="15">
        <v>20.194444444444443</v>
      </c>
      <c r="H7275" s="3">
        <v>4.0457222222222235E-2</v>
      </c>
    </row>
    <row r="7276" spans="7:8" x14ac:dyDescent="0.3">
      <c r="G7276" s="15">
        <v>20.197222222222223</v>
      </c>
      <c r="H7276" s="3">
        <v>4.0456611111111124E-2</v>
      </c>
    </row>
    <row r="7277" spans="7:8" x14ac:dyDescent="0.3">
      <c r="G7277" s="15">
        <v>20.2</v>
      </c>
      <c r="H7277" s="3">
        <v>4.0456000000000013E-2</v>
      </c>
    </row>
    <row r="7278" spans="7:8" x14ac:dyDescent="0.3">
      <c r="G7278" s="15">
        <v>20.202777777777779</v>
      </c>
      <c r="H7278" s="3">
        <v>4.0455388888888902E-2</v>
      </c>
    </row>
    <row r="7279" spans="7:8" x14ac:dyDescent="0.3">
      <c r="G7279" s="15">
        <v>20.205555555555556</v>
      </c>
      <c r="H7279" s="3">
        <v>4.0454777777777791E-2</v>
      </c>
    </row>
    <row r="7280" spans="7:8" x14ac:dyDescent="0.3">
      <c r="G7280" s="15">
        <v>20.208333333333332</v>
      </c>
      <c r="H7280" s="3">
        <v>4.045416666666668E-2</v>
      </c>
    </row>
    <row r="7281" spans="7:8" x14ac:dyDescent="0.3">
      <c r="G7281" s="15">
        <v>20.211111111111112</v>
      </c>
      <c r="H7281" s="3">
        <v>4.0453555555555569E-2</v>
      </c>
    </row>
    <row r="7282" spans="7:8" x14ac:dyDescent="0.3">
      <c r="G7282" s="15">
        <v>20.213888888888889</v>
      </c>
      <c r="H7282" s="3">
        <v>4.0452944444444458E-2</v>
      </c>
    </row>
    <row r="7283" spans="7:8" x14ac:dyDescent="0.3">
      <c r="G7283" s="15">
        <v>20.216666666666665</v>
      </c>
      <c r="H7283" s="3">
        <v>4.0452333333333347E-2</v>
      </c>
    </row>
    <row r="7284" spans="7:8" x14ac:dyDescent="0.3">
      <c r="G7284" s="15">
        <v>20.219444444444445</v>
      </c>
      <c r="H7284" s="3">
        <v>4.0451722222222236E-2</v>
      </c>
    </row>
    <row r="7285" spans="7:8" x14ac:dyDescent="0.3">
      <c r="G7285" s="15">
        <v>20.222222222222221</v>
      </c>
      <c r="H7285" s="3">
        <v>4.0451111111111125E-2</v>
      </c>
    </row>
    <row r="7286" spans="7:8" x14ac:dyDescent="0.3">
      <c r="G7286" s="15">
        <v>20.225000000000001</v>
      </c>
      <c r="H7286" s="3">
        <v>4.0450500000000014E-2</v>
      </c>
    </row>
    <row r="7287" spans="7:8" x14ac:dyDescent="0.3">
      <c r="G7287" s="15">
        <v>20.227777777777778</v>
      </c>
      <c r="H7287" s="3">
        <v>4.0449888888888903E-2</v>
      </c>
    </row>
    <row r="7288" spans="7:8" x14ac:dyDescent="0.3">
      <c r="G7288" s="15">
        <v>20.230555555555554</v>
      </c>
      <c r="H7288" s="3">
        <v>4.0449277777777792E-2</v>
      </c>
    </row>
    <row r="7289" spans="7:8" x14ac:dyDescent="0.3">
      <c r="G7289" s="15">
        <v>20.233333333333334</v>
      </c>
      <c r="H7289" s="3">
        <v>4.0448666666666681E-2</v>
      </c>
    </row>
    <row r="7290" spans="7:8" x14ac:dyDescent="0.3">
      <c r="G7290" s="15">
        <v>20.236111111111111</v>
      </c>
      <c r="H7290" s="3">
        <v>4.044805555555557E-2</v>
      </c>
    </row>
    <row r="7291" spans="7:8" x14ac:dyDescent="0.3">
      <c r="G7291" s="15">
        <v>20.238888888888887</v>
      </c>
      <c r="H7291" s="3">
        <v>4.0447444444444459E-2</v>
      </c>
    </row>
    <row r="7292" spans="7:8" x14ac:dyDescent="0.3">
      <c r="G7292" s="15">
        <v>20.241666666666667</v>
      </c>
      <c r="H7292" s="3">
        <v>4.0446833333333349E-2</v>
      </c>
    </row>
    <row r="7293" spans="7:8" x14ac:dyDescent="0.3">
      <c r="G7293" s="15">
        <v>20.244444444444444</v>
      </c>
      <c r="H7293" s="3">
        <v>4.0446222222222238E-2</v>
      </c>
    </row>
    <row r="7294" spans="7:8" x14ac:dyDescent="0.3">
      <c r="G7294" s="15">
        <v>20.247222222222224</v>
      </c>
      <c r="H7294" s="3">
        <v>4.0445611111111127E-2</v>
      </c>
    </row>
    <row r="7295" spans="7:8" x14ac:dyDescent="0.3">
      <c r="G7295" s="15">
        <v>20.25</v>
      </c>
      <c r="H7295" s="3">
        <v>4.0445000000000016E-2</v>
      </c>
    </row>
    <row r="7296" spans="7:8" x14ac:dyDescent="0.3">
      <c r="G7296" s="15">
        <v>20.252777777777776</v>
      </c>
      <c r="H7296" s="3">
        <v>4.0444388888888905E-2</v>
      </c>
    </row>
    <row r="7297" spans="7:8" x14ac:dyDescent="0.3">
      <c r="G7297" s="15">
        <v>20.255555555555556</v>
      </c>
      <c r="H7297" s="3">
        <v>4.0443777777777794E-2</v>
      </c>
    </row>
    <row r="7298" spans="7:8" x14ac:dyDescent="0.3">
      <c r="G7298" s="15">
        <v>20.258333333333333</v>
      </c>
      <c r="H7298" s="3">
        <v>4.0443166666666683E-2</v>
      </c>
    </row>
    <row r="7299" spans="7:8" x14ac:dyDescent="0.3">
      <c r="G7299" s="15">
        <v>20.261111111111113</v>
      </c>
      <c r="H7299" s="3">
        <v>4.0442555555555572E-2</v>
      </c>
    </row>
    <row r="7300" spans="7:8" x14ac:dyDescent="0.3">
      <c r="G7300" s="15">
        <v>20.263888888888889</v>
      </c>
      <c r="H7300" s="3">
        <v>4.0441944444444461E-2</v>
      </c>
    </row>
    <row r="7301" spans="7:8" x14ac:dyDescent="0.3">
      <c r="G7301" s="15">
        <v>20.266666666666666</v>
      </c>
      <c r="H7301" s="3">
        <v>4.044133333333335E-2</v>
      </c>
    </row>
    <row r="7302" spans="7:8" x14ac:dyDescent="0.3">
      <c r="G7302" s="15">
        <v>20.269444444444446</v>
      </c>
      <c r="H7302" s="3">
        <v>4.0440722222222239E-2</v>
      </c>
    </row>
    <row r="7303" spans="7:8" x14ac:dyDescent="0.3">
      <c r="G7303" s="15">
        <v>20.272222222222222</v>
      </c>
      <c r="H7303" s="3">
        <v>4.0440111111111128E-2</v>
      </c>
    </row>
    <row r="7304" spans="7:8" x14ac:dyDescent="0.3">
      <c r="G7304" s="15">
        <v>20.274999999999999</v>
      </c>
      <c r="H7304" s="3">
        <v>4.0439500000000017E-2</v>
      </c>
    </row>
    <row r="7305" spans="7:8" x14ac:dyDescent="0.3">
      <c r="G7305" s="15">
        <v>20.277777777777779</v>
      </c>
      <c r="H7305" s="3">
        <v>4.0438888888888906E-2</v>
      </c>
    </row>
    <row r="7306" spans="7:8" x14ac:dyDescent="0.3">
      <c r="G7306" s="15">
        <v>20.280555555555555</v>
      </c>
      <c r="H7306" s="3">
        <v>4.0438277777777795E-2</v>
      </c>
    </row>
    <row r="7307" spans="7:8" x14ac:dyDescent="0.3">
      <c r="G7307" s="15">
        <v>20.283333333333335</v>
      </c>
      <c r="H7307" s="3">
        <v>4.0437666666666684E-2</v>
      </c>
    </row>
    <row r="7308" spans="7:8" x14ac:dyDescent="0.3">
      <c r="G7308" s="15">
        <v>20.286111111111111</v>
      </c>
      <c r="H7308" s="3">
        <v>4.0437055555555573E-2</v>
      </c>
    </row>
    <row r="7309" spans="7:8" x14ac:dyDescent="0.3">
      <c r="G7309" s="15">
        <v>20.288888888888888</v>
      </c>
      <c r="H7309" s="3">
        <v>4.0436444444444462E-2</v>
      </c>
    </row>
    <row r="7310" spans="7:8" x14ac:dyDescent="0.3">
      <c r="G7310" s="15">
        <v>20.291666666666668</v>
      </c>
      <c r="H7310" s="3">
        <v>4.0435833333333351E-2</v>
      </c>
    </row>
    <row r="7311" spans="7:8" x14ac:dyDescent="0.3">
      <c r="G7311" s="15">
        <v>20.294444444444444</v>
      </c>
      <c r="H7311" s="3">
        <v>4.043522222222224E-2</v>
      </c>
    </row>
    <row r="7312" spans="7:8" x14ac:dyDescent="0.3">
      <c r="G7312" s="15">
        <v>20.297222222222221</v>
      </c>
      <c r="H7312" s="3">
        <v>4.0434611111111129E-2</v>
      </c>
    </row>
    <row r="7313" spans="7:8" x14ac:dyDescent="0.3">
      <c r="G7313" s="15">
        <v>20.3</v>
      </c>
      <c r="H7313" s="3">
        <v>4.0434000000000019E-2</v>
      </c>
    </row>
    <row r="7314" spans="7:8" x14ac:dyDescent="0.3">
      <c r="G7314" s="15">
        <v>20.302777777777777</v>
      </c>
      <c r="H7314" s="3">
        <v>4.0433388888888908E-2</v>
      </c>
    </row>
    <row r="7315" spans="7:8" x14ac:dyDescent="0.3">
      <c r="G7315" s="15">
        <v>20.305555555555557</v>
      </c>
      <c r="H7315" s="3">
        <v>4.0432777777777797E-2</v>
      </c>
    </row>
    <row r="7316" spans="7:8" x14ac:dyDescent="0.3">
      <c r="G7316" s="15">
        <v>20.308333333333334</v>
      </c>
      <c r="H7316" s="3">
        <v>4.0432166666666686E-2</v>
      </c>
    </row>
    <row r="7317" spans="7:8" x14ac:dyDescent="0.3">
      <c r="G7317" s="15">
        <v>20.31111111111111</v>
      </c>
      <c r="H7317" s="3">
        <v>4.0431555555555575E-2</v>
      </c>
    </row>
    <row r="7318" spans="7:8" x14ac:dyDescent="0.3">
      <c r="G7318" s="15">
        <v>20.31388888888889</v>
      </c>
      <c r="H7318" s="3">
        <v>4.0430944444444464E-2</v>
      </c>
    </row>
    <row r="7319" spans="7:8" x14ac:dyDescent="0.3">
      <c r="G7319" s="15">
        <v>20.316666666666666</v>
      </c>
      <c r="H7319" s="3">
        <v>4.0430333333333353E-2</v>
      </c>
    </row>
    <row r="7320" spans="7:8" x14ac:dyDescent="0.3">
      <c r="G7320" s="15">
        <v>20.319444444444443</v>
      </c>
      <c r="H7320" s="3">
        <v>4.0429722222222242E-2</v>
      </c>
    </row>
    <row r="7321" spans="7:8" x14ac:dyDescent="0.3">
      <c r="G7321" s="15">
        <v>20.322222222222223</v>
      </c>
      <c r="H7321" s="3">
        <v>4.0429111111111131E-2</v>
      </c>
    </row>
    <row r="7322" spans="7:8" x14ac:dyDescent="0.3">
      <c r="G7322" s="15">
        <v>20.324999999999999</v>
      </c>
      <c r="H7322" s="3">
        <v>4.042850000000002E-2</v>
      </c>
    </row>
    <row r="7323" spans="7:8" x14ac:dyDescent="0.3">
      <c r="G7323" s="15">
        <v>20.327777777777779</v>
      </c>
      <c r="H7323" s="3">
        <v>4.0427888888888909E-2</v>
      </c>
    </row>
    <row r="7324" spans="7:8" x14ac:dyDescent="0.3">
      <c r="G7324" s="15">
        <v>20.330555555555556</v>
      </c>
      <c r="H7324" s="3">
        <v>4.0427277777777798E-2</v>
      </c>
    </row>
    <row r="7325" spans="7:8" x14ac:dyDescent="0.3">
      <c r="G7325" s="15">
        <v>20.333333333333332</v>
      </c>
      <c r="H7325" s="3">
        <v>4.0426666666666687E-2</v>
      </c>
    </row>
    <row r="7326" spans="7:8" x14ac:dyDescent="0.3">
      <c r="G7326" s="15">
        <v>20.336111111111112</v>
      </c>
      <c r="H7326" s="3">
        <v>4.0426055555555576E-2</v>
      </c>
    </row>
    <row r="7327" spans="7:8" x14ac:dyDescent="0.3">
      <c r="G7327" s="15">
        <v>20.338888888888889</v>
      </c>
      <c r="H7327" s="3">
        <v>4.0425444444444465E-2</v>
      </c>
    </row>
    <row r="7328" spans="7:8" x14ac:dyDescent="0.3">
      <c r="G7328" s="15">
        <v>20.341666666666665</v>
      </c>
      <c r="H7328" s="3">
        <v>4.0424833333333354E-2</v>
      </c>
    </row>
    <row r="7329" spans="7:8" x14ac:dyDescent="0.3">
      <c r="G7329" s="15">
        <v>20.344444444444445</v>
      </c>
      <c r="H7329" s="3">
        <v>4.0424222222222243E-2</v>
      </c>
    </row>
    <row r="7330" spans="7:8" x14ac:dyDescent="0.3">
      <c r="G7330" s="15">
        <v>20.347222222222221</v>
      </c>
      <c r="H7330" s="3">
        <v>4.0423611111111132E-2</v>
      </c>
    </row>
    <row r="7331" spans="7:8" x14ac:dyDescent="0.3">
      <c r="G7331" s="15">
        <v>20.350000000000001</v>
      </c>
      <c r="H7331" s="3">
        <v>4.0423000000000021E-2</v>
      </c>
    </row>
    <row r="7332" spans="7:8" x14ac:dyDescent="0.3">
      <c r="G7332" s="15">
        <v>20.352777777777778</v>
      </c>
      <c r="H7332" s="3">
        <v>4.042238888888891E-2</v>
      </c>
    </row>
    <row r="7333" spans="7:8" x14ac:dyDescent="0.3">
      <c r="G7333" s="15">
        <v>20.355555555555554</v>
      </c>
      <c r="H7333" s="3">
        <v>4.04217777777778E-2</v>
      </c>
    </row>
    <row r="7334" spans="7:8" x14ac:dyDescent="0.3">
      <c r="G7334" s="15">
        <v>20.358333333333334</v>
      </c>
      <c r="H7334" s="3">
        <v>4.0421166666666689E-2</v>
      </c>
    </row>
    <row r="7335" spans="7:8" x14ac:dyDescent="0.3">
      <c r="G7335" s="15">
        <v>20.361111111111111</v>
      </c>
      <c r="H7335" s="3">
        <v>4.0420555555555578E-2</v>
      </c>
    </row>
    <row r="7336" spans="7:8" x14ac:dyDescent="0.3">
      <c r="G7336" s="15">
        <v>20.363888888888887</v>
      </c>
      <c r="H7336" s="3">
        <v>4.0419944444444467E-2</v>
      </c>
    </row>
    <row r="7337" spans="7:8" x14ac:dyDescent="0.3">
      <c r="G7337" s="15">
        <v>20.366666666666667</v>
      </c>
      <c r="H7337" s="3">
        <v>4.0419333333333356E-2</v>
      </c>
    </row>
    <row r="7338" spans="7:8" x14ac:dyDescent="0.3">
      <c r="G7338" s="15">
        <v>20.369444444444444</v>
      </c>
      <c r="H7338" s="3">
        <v>4.0418722222222245E-2</v>
      </c>
    </row>
    <row r="7339" spans="7:8" x14ac:dyDescent="0.3">
      <c r="G7339" s="15">
        <v>20.372222222222224</v>
      </c>
      <c r="H7339" s="3">
        <v>4.0418111111111134E-2</v>
      </c>
    </row>
    <row r="7340" spans="7:8" x14ac:dyDescent="0.3">
      <c r="G7340" s="15">
        <v>20.375</v>
      </c>
      <c r="H7340" s="3">
        <v>4.0417500000000023E-2</v>
      </c>
    </row>
    <row r="7341" spans="7:8" x14ac:dyDescent="0.3">
      <c r="G7341" s="15">
        <v>20.377777777777776</v>
      </c>
      <c r="H7341" s="3">
        <v>4.0416888888888912E-2</v>
      </c>
    </row>
    <row r="7342" spans="7:8" x14ac:dyDescent="0.3">
      <c r="G7342" s="15">
        <v>20.380555555555556</v>
      </c>
      <c r="H7342" s="3">
        <v>4.0416277777777801E-2</v>
      </c>
    </row>
    <row r="7343" spans="7:8" x14ac:dyDescent="0.3">
      <c r="G7343" s="15">
        <v>20.383333333333333</v>
      </c>
      <c r="H7343" s="3">
        <v>4.041566666666669E-2</v>
      </c>
    </row>
    <row r="7344" spans="7:8" x14ac:dyDescent="0.3">
      <c r="G7344" s="15">
        <v>20.386111111111113</v>
      </c>
      <c r="H7344" s="3">
        <v>4.0415055555555579E-2</v>
      </c>
    </row>
    <row r="7345" spans="7:8" x14ac:dyDescent="0.3">
      <c r="G7345" s="15">
        <v>20.388888888888889</v>
      </c>
      <c r="H7345" s="3">
        <v>4.0414444444444468E-2</v>
      </c>
    </row>
    <row r="7346" spans="7:8" x14ac:dyDescent="0.3">
      <c r="G7346" s="15">
        <v>20.391666666666666</v>
      </c>
      <c r="H7346" s="3">
        <v>4.0413833333333357E-2</v>
      </c>
    </row>
    <row r="7347" spans="7:8" x14ac:dyDescent="0.3">
      <c r="G7347" s="15">
        <v>20.394444444444446</v>
      </c>
      <c r="H7347" s="3">
        <v>4.0413222222222246E-2</v>
      </c>
    </row>
    <row r="7348" spans="7:8" x14ac:dyDescent="0.3">
      <c r="G7348" s="15">
        <v>20.397222222222222</v>
      </c>
      <c r="H7348" s="3">
        <v>4.0412611111111135E-2</v>
      </c>
    </row>
    <row r="7349" spans="7:8" x14ac:dyDescent="0.3">
      <c r="G7349" s="15">
        <v>20.399999999999999</v>
      </c>
      <c r="H7349" s="3">
        <v>4.0412000000000024E-2</v>
      </c>
    </row>
    <row r="7350" spans="7:8" x14ac:dyDescent="0.3">
      <c r="G7350" s="15">
        <v>20.402777777777779</v>
      </c>
      <c r="H7350" s="3">
        <v>4.0411388888888913E-2</v>
      </c>
    </row>
    <row r="7351" spans="7:8" x14ac:dyDescent="0.3">
      <c r="G7351" s="15">
        <v>20.405555555555555</v>
      </c>
      <c r="H7351" s="3">
        <v>4.0410777777777802E-2</v>
      </c>
    </row>
    <row r="7352" spans="7:8" x14ac:dyDescent="0.3">
      <c r="G7352" s="15">
        <v>20.408333333333335</v>
      </c>
      <c r="H7352" s="3">
        <v>4.0410166666666691E-2</v>
      </c>
    </row>
    <row r="7353" spans="7:8" x14ac:dyDescent="0.3">
      <c r="G7353" s="15">
        <v>20.411111111111111</v>
      </c>
      <c r="H7353" s="3">
        <v>4.040955555555558E-2</v>
      </c>
    </row>
    <row r="7354" spans="7:8" x14ac:dyDescent="0.3">
      <c r="G7354" s="15">
        <v>20.413888888888888</v>
      </c>
      <c r="H7354" s="3">
        <v>4.040894444444447E-2</v>
      </c>
    </row>
    <row r="7355" spans="7:8" x14ac:dyDescent="0.3">
      <c r="G7355" s="15">
        <v>20.416666666666668</v>
      </c>
      <c r="H7355" s="3">
        <v>4.0408333333333359E-2</v>
      </c>
    </row>
    <row r="7356" spans="7:8" x14ac:dyDescent="0.3">
      <c r="G7356" s="15">
        <v>20.419444444444444</v>
      </c>
      <c r="H7356" s="3">
        <v>4.0407722222222248E-2</v>
      </c>
    </row>
    <row r="7357" spans="7:8" x14ac:dyDescent="0.3">
      <c r="G7357" s="15">
        <v>20.422222222222221</v>
      </c>
      <c r="H7357" s="3">
        <v>4.0407111111111137E-2</v>
      </c>
    </row>
    <row r="7358" spans="7:8" x14ac:dyDescent="0.3">
      <c r="G7358" s="15">
        <v>20.425000000000001</v>
      </c>
      <c r="H7358" s="3">
        <v>4.0406500000000026E-2</v>
      </c>
    </row>
    <row r="7359" spans="7:8" x14ac:dyDescent="0.3">
      <c r="G7359" s="15">
        <v>20.427777777777777</v>
      </c>
      <c r="H7359" s="3">
        <v>4.0405888888888915E-2</v>
      </c>
    </row>
    <row r="7360" spans="7:8" x14ac:dyDescent="0.3">
      <c r="G7360" s="15">
        <v>20.430555555555557</v>
      </c>
      <c r="H7360" s="3">
        <v>4.0405277777777804E-2</v>
      </c>
    </row>
    <row r="7361" spans="7:8" x14ac:dyDescent="0.3">
      <c r="G7361" s="15">
        <v>20.433333333333334</v>
      </c>
      <c r="H7361" s="3">
        <v>4.0404666666666693E-2</v>
      </c>
    </row>
    <row r="7362" spans="7:8" x14ac:dyDescent="0.3">
      <c r="G7362" s="15">
        <v>20.43611111111111</v>
      </c>
      <c r="H7362" s="3">
        <v>4.0404055555555582E-2</v>
      </c>
    </row>
    <row r="7363" spans="7:8" x14ac:dyDescent="0.3">
      <c r="G7363" s="15">
        <v>20.43888888888889</v>
      </c>
      <c r="H7363" s="3">
        <v>4.0403444444444471E-2</v>
      </c>
    </row>
    <row r="7364" spans="7:8" x14ac:dyDescent="0.3">
      <c r="G7364" s="15">
        <v>20.441666666666666</v>
      </c>
      <c r="H7364" s="3">
        <v>4.040283333333336E-2</v>
      </c>
    </row>
    <row r="7365" spans="7:8" x14ac:dyDescent="0.3">
      <c r="G7365" s="15">
        <v>20.444444444444443</v>
      </c>
      <c r="H7365" s="3">
        <v>4.0402222222222249E-2</v>
      </c>
    </row>
    <row r="7366" spans="7:8" x14ac:dyDescent="0.3">
      <c r="G7366" s="15">
        <v>20.447222222222223</v>
      </c>
      <c r="H7366" s="3">
        <v>4.0401611111111138E-2</v>
      </c>
    </row>
    <row r="7367" spans="7:8" x14ac:dyDescent="0.3">
      <c r="G7367" s="15">
        <v>20.45</v>
      </c>
      <c r="H7367" s="3">
        <v>4.0401000000000027E-2</v>
      </c>
    </row>
    <row r="7368" spans="7:8" x14ac:dyDescent="0.3">
      <c r="G7368" s="15">
        <v>20.452777777777779</v>
      </c>
      <c r="H7368" s="3">
        <v>4.0400388888888916E-2</v>
      </c>
    </row>
    <row r="7369" spans="7:8" x14ac:dyDescent="0.3">
      <c r="G7369" s="15">
        <v>20.455555555555556</v>
      </c>
      <c r="H7369" s="3">
        <v>4.0399777777777805E-2</v>
      </c>
    </row>
    <row r="7370" spans="7:8" x14ac:dyDescent="0.3">
      <c r="G7370" s="15">
        <v>20.458333333333332</v>
      </c>
      <c r="H7370" s="3">
        <v>4.0399166666666694E-2</v>
      </c>
    </row>
    <row r="7371" spans="7:8" x14ac:dyDescent="0.3">
      <c r="G7371" s="15">
        <v>20.461111111111112</v>
      </c>
      <c r="H7371" s="3">
        <v>4.0398555555555583E-2</v>
      </c>
    </row>
    <row r="7372" spans="7:8" x14ac:dyDescent="0.3">
      <c r="G7372" s="15">
        <v>20.463888888888889</v>
      </c>
      <c r="H7372" s="3">
        <v>4.0397944444444472E-2</v>
      </c>
    </row>
    <row r="7373" spans="7:8" x14ac:dyDescent="0.3">
      <c r="G7373" s="15">
        <v>20.466666666666665</v>
      </c>
      <c r="H7373" s="3">
        <v>4.0397333333333361E-2</v>
      </c>
    </row>
    <row r="7374" spans="7:8" x14ac:dyDescent="0.3">
      <c r="G7374" s="15">
        <v>20.469444444444445</v>
      </c>
      <c r="H7374" s="3">
        <v>4.0396722222222251E-2</v>
      </c>
    </row>
    <row r="7375" spans="7:8" x14ac:dyDescent="0.3">
      <c r="G7375" s="15">
        <v>20.472222222222221</v>
      </c>
      <c r="H7375" s="3">
        <v>4.039611111111114E-2</v>
      </c>
    </row>
    <row r="7376" spans="7:8" x14ac:dyDescent="0.3">
      <c r="G7376" s="15">
        <v>20.475000000000001</v>
      </c>
      <c r="H7376" s="3">
        <v>4.0395500000000029E-2</v>
      </c>
    </row>
    <row r="7377" spans="7:8" x14ac:dyDescent="0.3">
      <c r="G7377" s="15">
        <v>20.477777777777778</v>
      </c>
      <c r="H7377" s="3">
        <v>4.0394888888888918E-2</v>
      </c>
    </row>
    <row r="7378" spans="7:8" x14ac:dyDescent="0.3">
      <c r="G7378" s="15">
        <v>20.480555555555554</v>
      </c>
      <c r="H7378" s="3">
        <v>4.0394277777777807E-2</v>
      </c>
    </row>
    <row r="7379" spans="7:8" x14ac:dyDescent="0.3">
      <c r="G7379" s="15">
        <v>20.483333333333334</v>
      </c>
      <c r="H7379" s="3">
        <v>4.0393666666666696E-2</v>
      </c>
    </row>
    <row r="7380" spans="7:8" x14ac:dyDescent="0.3">
      <c r="G7380" s="15">
        <v>20.486111111111111</v>
      </c>
      <c r="H7380" s="3">
        <v>4.0393055555555585E-2</v>
      </c>
    </row>
    <row r="7381" spans="7:8" x14ac:dyDescent="0.3">
      <c r="G7381" s="15">
        <v>20.488888888888887</v>
      </c>
      <c r="H7381" s="3">
        <v>4.0392444444444474E-2</v>
      </c>
    </row>
    <row r="7382" spans="7:8" x14ac:dyDescent="0.3">
      <c r="G7382" s="15">
        <v>20.491666666666667</v>
      </c>
      <c r="H7382" s="3">
        <v>4.0391833333333363E-2</v>
      </c>
    </row>
    <row r="7383" spans="7:8" x14ac:dyDescent="0.3">
      <c r="G7383" s="15">
        <v>20.494444444444444</v>
      </c>
      <c r="H7383" s="3">
        <v>4.0391222222222252E-2</v>
      </c>
    </row>
    <row r="7384" spans="7:8" x14ac:dyDescent="0.3">
      <c r="G7384" s="15">
        <v>20.497222222222224</v>
      </c>
      <c r="H7384" s="3">
        <v>4.0390611111111141E-2</v>
      </c>
    </row>
    <row r="7385" spans="7:8" x14ac:dyDescent="0.3">
      <c r="G7385" s="15">
        <v>20.5</v>
      </c>
      <c r="H7385" s="3">
        <v>4.039000000000003E-2</v>
      </c>
    </row>
    <row r="7386" spans="7:8" x14ac:dyDescent="0.3">
      <c r="G7386" s="15">
        <v>20.502777777777776</v>
      </c>
      <c r="H7386" s="3">
        <v>4.0389388888888919E-2</v>
      </c>
    </row>
    <row r="7387" spans="7:8" x14ac:dyDescent="0.3">
      <c r="G7387" s="15">
        <v>20.505555555555556</v>
      </c>
      <c r="H7387" s="3">
        <v>4.0388777777777808E-2</v>
      </c>
    </row>
    <row r="7388" spans="7:8" x14ac:dyDescent="0.3">
      <c r="G7388" s="15">
        <v>20.508333333333333</v>
      </c>
      <c r="H7388" s="3">
        <v>4.0388166666666697E-2</v>
      </c>
    </row>
    <row r="7389" spans="7:8" x14ac:dyDescent="0.3">
      <c r="G7389" s="15">
        <v>20.511111111111113</v>
      </c>
      <c r="H7389" s="3">
        <v>4.0387555555555586E-2</v>
      </c>
    </row>
    <row r="7390" spans="7:8" x14ac:dyDescent="0.3">
      <c r="G7390" s="15">
        <v>20.513888888888889</v>
      </c>
      <c r="H7390" s="3">
        <v>4.0386944444444475E-2</v>
      </c>
    </row>
    <row r="7391" spans="7:8" x14ac:dyDescent="0.3">
      <c r="G7391" s="15">
        <v>20.516666666666666</v>
      </c>
      <c r="H7391" s="3">
        <v>4.0386333333333364E-2</v>
      </c>
    </row>
    <row r="7392" spans="7:8" x14ac:dyDescent="0.3">
      <c r="G7392" s="15">
        <v>20.519444444444446</v>
      </c>
      <c r="H7392" s="3">
        <v>4.0385722222222253E-2</v>
      </c>
    </row>
    <row r="7393" spans="7:8" x14ac:dyDescent="0.3">
      <c r="G7393" s="15">
        <v>20.522222222222222</v>
      </c>
      <c r="H7393" s="3">
        <v>4.0385111111111142E-2</v>
      </c>
    </row>
    <row r="7394" spans="7:8" x14ac:dyDescent="0.3">
      <c r="G7394" s="15">
        <v>20.524999999999999</v>
      </c>
      <c r="H7394" s="3">
        <v>4.0384500000000031E-2</v>
      </c>
    </row>
    <row r="7395" spans="7:8" x14ac:dyDescent="0.3">
      <c r="G7395" s="15">
        <v>20.527777777777779</v>
      </c>
      <c r="H7395" s="3">
        <v>4.0383888888888921E-2</v>
      </c>
    </row>
    <row r="7396" spans="7:8" x14ac:dyDescent="0.3">
      <c r="G7396" s="15">
        <v>20.530555555555555</v>
      </c>
      <c r="H7396" s="3">
        <v>4.038327777777781E-2</v>
      </c>
    </row>
    <row r="7397" spans="7:8" x14ac:dyDescent="0.3">
      <c r="G7397" s="15">
        <v>20.533333333333335</v>
      </c>
      <c r="H7397" s="3">
        <v>4.0382666666666699E-2</v>
      </c>
    </row>
    <row r="7398" spans="7:8" x14ac:dyDescent="0.3">
      <c r="G7398" s="15">
        <v>20.536111111111111</v>
      </c>
      <c r="H7398" s="3">
        <v>4.0382055555555588E-2</v>
      </c>
    </row>
    <row r="7399" spans="7:8" x14ac:dyDescent="0.3">
      <c r="G7399" s="15">
        <v>20.538888888888888</v>
      </c>
      <c r="H7399" s="3">
        <v>4.0381444444444477E-2</v>
      </c>
    </row>
    <row r="7400" spans="7:8" x14ac:dyDescent="0.3">
      <c r="G7400" s="15">
        <v>20.541666666666668</v>
      </c>
      <c r="H7400" s="3">
        <v>4.0380833333333366E-2</v>
      </c>
    </row>
    <row r="7401" spans="7:8" x14ac:dyDescent="0.3">
      <c r="G7401" s="15">
        <v>20.544444444444444</v>
      </c>
      <c r="H7401" s="3">
        <v>4.0380222222222255E-2</v>
      </c>
    </row>
    <row r="7402" spans="7:8" x14ac:dyDescent="0.3">
      <c r="G7402" s="15">
        <v>20.547222222222221</v>
      </c>
      <c r="H7402" s="3">
        <v>4.0379611111111144E-2</v>
      </c>
    </row>
    <row r="7403" spans="7:8" x14ac:dyDescent="0.3">
      <c r="G7403" s="15">
        <v>20.55</v>
      </c>
      <c r="H7403" s="3">
        <v>4.0379000000000033E-2</v>
      </c>
    </row>
    <row r="7404" spans="7:8" x14ac:dyDescent="0.3">
      <c r="G7404" s="15">
        <v>20.552777777777777</v>
      </c>
      <c r="H7404" s="3">
        <v>4.0378388888888922E-2</v>
      </c>
    </row>
    <row r="7405" spans="7:8" x14ac:dyDescent="0.3">
      <c r="G7405" s="15">
        <v>20.555555555555557</v>
      </c>
      <c r="H7405" s="3">
        <v>4.0377777777777811E-2</v>
      </c>
    </row>
    <row r="7406" spans="7:8" x14ac:dyDescent="0.3">
      <c r="G7406" s="15">
        <v>20.558333333333334</v>
      </c>
      <c r="H7406" s="3">
        <v>4.03771666666667E-2</v>
      </c>
    </row>
    <row r="7407" spans="7:8" x14ac:dyDescent="0.3">
      <c r="G7407" s="15">
        <v>20.56111111111111</v>
      </c>
      <c r="H7407" s="3">
        <v>4.0376555555555589E-2</v>
      </c>
    </row>
    <row r="7408" spans="7:8" x14ac:dyDescent="0.3">
      <c r="G7408" s="15">
        <v>20.56388888888889</v>
      </c>
      <c r="H7408" s="3">
        <v>4.0375944444444478E-2</v>
      </c>
    </row>
    <row r="7409" spans="7:8" x14ac:dyDescent="0.3">
      <c r="G7409" s="15">
        <v>20.566666666666666</v>
      </c>
      <c r="H7409" s="3">
        <v>4.0375333333333367E-2</v>
      </c>
    </row>
    <row r="7410" spans="7:8" x14ac:dyDescent="0.3">
      <c r="G7410" s="15">
        <v>20.569444444444443</v>
      </c>
      <c r="H7410" s="3">
        <v>4.0374722222222256E-2</v>
      </c>
    </row>
    <row r="7411" spans="7:8" x14ac:dyDescent="0.3">
      <c r="G7411" s="15">
        <v>20.572222222222223</v>
      </c>
      <c r="H7411" s="3">
        <v>4.0374111111111145E-2</v>
      </c>
    </row>
    <row r="7412" spans="7:8" x14ac:dyDescent="0.3">
      <c r="G7412" s="15">
        <v>20.574999999999999</v>
      </c>
      <c r="H7412" s="3">
        <v>4.0373500000000034E-2</v>
      </c>
    </row>
    <row r="7413" spans="7:8" x14ac:dyDescent="0.3">
      <c r="G7413" s="15">
        <v>20.577777777777779</v>
      </c>
      <c r="H7413" s="3">
        <v>4.0372888888888923E-2</v>
      </c>
    </row>
    <row r="7414" spans="7:8" x14ac:dyDescent="0.3">
      <c r="G7414" s="15">
        <v>20.580555555555556</v>
      </c>
      <c r="H7414" s="3">
        <v>4.0372277777777812E-2</v>
      </c>
    </row>
    <row r="7415" spans="7:8" x14ac:dyDescent="0.3">
      <c r="G7415" s="15">
        <v>20.583333333333332</v>
      </c>
      <c r="H7415" s="3">
        <v>4.0371666666666702E-2</v>
      </c>
    </row>
    <row r="7416" spans="7:8" x14ac:dyDescent="0.3">
      <c r="G7416" s="15">
        <v>20.586111111111112</v>
      </c>
      <c r="H7416" s="3">
        <v>4.0371055555555591E-2</v>
      </c>
    </row>
    <row r="7417" spans="7:8" x14ac:dyDescent="0.3">
      <c r="G7417" s="15">
        <v>20.588888888888889</v>
      </c>
      <c r="H7417" s="3">
        <v>4.037044444444448E-2</v>
      </c>
    </row>
    <row r="7418" spans="7:8" x14ac:dyDescent="0.3">
      <c r="G7418" s="15">
        <v>20.591666666666665</v>
      </c>
      <c r="H7418" s="3">
        <v>4.0369833333333369E-2</v>
      </c>
    </row>
    <row r="7419" spans="7:8" x14ac:dyDescent="0.3">
      <c r="G7419" s="15">
        <v>20.594444444444445</v>
      </c>
      <c r="H7419" s="3">
        <v>4.0369222222222258E-2</v>
      </c>
    </row>
    <row r="7420" spans="7:8" x14ac:dyDescent="0.3">
      <c r="G7420" s="15">
        <v>20.597222222222221</v>
      </c>
      <c r="H7420" s="3">
        <v>4.0368611111111147E-2</v>
      </c>
    </row>
    <row r="7421" spans="7:8" x14ac:dyDescent="0.3">
      <c r="G7421" s="15">
        <v>20.6</v>
      </c>
      <c r="H7421" s="3">
        <v>4.0368000000000036E-2</v>
      </c>
    </row>
    <row r="7422" spans="7:8" x14ac:dyDescent="0.3">
      <c r="G7422" s="15">
        <v>20.602777777777778</v>
      </c>
      <c r="H7422" s="3">
        <v>4.0367388888888925E-2</v>
      </c>
    </row>
    <row r="7423" spans="7:8" x14ac:dyDescent="0.3">
      <c r="G7423" s="15">
        <v>20.605555555555554</v>
      </c>
      <c r="H7423" s="3">
        <v>4.0366777777777814E-2</v>
      </c>
    </row>
    <row r="7424" spans="7:8" x14ac:dyDescent="0.3">
      <c r="G7424" s="15">
        <v>20.608333333333334</v>
      </c>
      <c r="H7424" s="3">
        <v>4.0366166666666703E-2</v>
      </c>
    </row>
    <row r="7425" spans="7:8" x14ac:dyDescent="0.3">
      <c r="G7425" s="15">
        <v>20.611111111111111</v>
      </c>
      <c r="H7425" s="3">
        <v>4.0365555555555592E-2</v>
      </c>
    </row>
    <row r="7426" spans="7:8" x14ac:dyDescent="0.3">
      <c r="G7426" s="15">
        <v>20.613888888888887</v>
      </c>
      <c r="H7426" s="3">
        <v>4.0364944444444481E-2</v>
      </c>
    </row>
    <row r="7427" spans="7:8" x14ac:dyDescent="0.3">
      <c r="G7427" s="15">
        <v>20.616666666666667</v>
      </c>
      <c r="H7427" s="3">
        <v>4.036433333333337E-2</v>
      </c>
    </row>
    <row r="7428" spans="7:8" x14ac:dyDescent="0.3">
      <c r="G7428" s="15">
        <v>20.619444444444444</v>
      </c>
      <c r="H7428" s="3">
        <v>4.0363722222222259E-2</v>
      </c>
    </row>
    <row r="7429" spans="7:8" x14ac:dyDescent="0.3">
      <c r="G7429" s="15">
        <v>20.622222222222224</v>
      </c>
      <c r="H7429" s="3">
        <v>4.0363111111111148E-2</v>
      </c>
    </row>
    <row r="7430" spans="7:8" x14ac:dyDescent="0.3">
      <c r="G7430" s="15">
        <v>20.625</v>
      </c>
      <c r="H7430" s="3">
        <v>4.0362500000000037E-2</v>
      </c>
    </row>
    <row r="7431" spans="7:8" x14ac:dyDescent="0.3">
      <c r="G7431" s="15">
        <v>20.627777777777776</v>
      </c>
      <c r="H7431" s="3">
        <v>4.0361888888888926E-2</v>
      </c>
    </row>
    <row r="7432" spans="7:8" x14ac:dyDescent="0.3">
      <c r="G7432" s="15">
        <v>20.630555555555556</v>
      </c>
      <c r="H7432" s="3">
        <v>4.0361277777777815E-2</v>
      </c>
    </row>
    <row r="7433" spans="7:8" x14ac:dyDescent="0.3">
      <c r="G7433" s="15">
        <v>20.633333333333333</v>
      </c>
      <c r="H7433" s="3">
        <v>4.0360666666666704E-2</v>
      </c>
    </row>
    <row r="7434" spans="7:8" x14ac:dyDescent="0.3">
      <c r="G7434" s="15">
        <v>20.636111111111113</v>
      </c>
      <c r="H7434" s="3">
        <v>4.0360055555555593E-2</v>
      </c>
    </row>
    <row r="7435" spans="7:8" x14ac:dyDescent="0.3">
      <c r="G7435" s="15">
        <v>20.638888888888889</v>
      </c>
      <c r="H7435" s="3">
        <v>4.0359444444444482E-2</v>
      </c>
    </row>
    <row r="7436" spans="7:8" x14ac:dyDescent="0.3">
      <c r="G7436" s="15">
        <v>20.641666666666666</v>
      </c>
      <c r="H7436" s="3">
        <v>4.0358833333333372E-2</v>
      </c>
    </row>
    <row r="7437" spans="7:8" x14ac:dyDescent="0.3">
      <c r="G7437" s="15">
        <v>20.644444444444446</v>
      </c>
      <c r="H7437" s="3">
        <v>4.0358222222222261E-2</v>
      </c>
    </row>
    <row r="7438" spans="7:8" x14ac:dyDescent="0.3">
      <c r="G7438" s="15">
        <v>20.647222222222222</v>
      </c>
      <c r="H7438" s="3">
        <v>4.035761111111115E-2</v>
      </c>
    </row>
    <row r="7439" spans="7:8" x14ac:dyDescent="0.3">
      <c r="G7439" s="15">
        <v>20.65</v>
      </c>
      <c r="H7439" s="3">
        <v>4.0357000000000039E-2</v>
      </c>
    </row>
    <row r="7440" spans="7:8" x14ac:dyDescent="0.3">
      <c r="G7440" s="15">
        <v>20.652777777777779</v>
      </c>
      <c r="H7440" s="3">
        <v>4.0356388888888928E-2</v>
      </c>
    </row>
    <row r="7441" spans="7:8" x14ac:dyDescent="0.3">
      <c r="G7441" s="15">
        <v>20.655555555555555</v>
      </c>
      <c r="H7441" s="3">
        <v>4.0355777777777817E-2</v>
      </c>
    </row>
    <row r="7442" spans="7:8" x14ac:dyDescent="0.3">
      <c r="G7442" s="15">
        <v>20.658333333333335</v>
      </c>
      <c r="H7442" s="3">
        <v>4.0355166666666706E-2</v>
      </c>
    </row>
    <row r="7443" spans="7:8" x14ac:dyDescent="0.3">
      <c r="G7443" s="15">
        <v>20.661111111111111</v>
      </c>
      <c r="H7443" s="3">
        <v>4.0354555555555595E-2</v>
      </c>
    </row>
    <row r="7444" spans="7:8" x14ac:dyDescent="0.3">
      <c r="G7444" s="15">
        <v>20.663888888888888</v>
      </c>
      <c r="H7444" s="3">
        <v>4.0353944444444484E-2</v>
      </c>
    </row>
    <row r="7445" spans="7:8" x14ac:dyDescent="0.3">
      <c r="G7445" s="15">
        <v>20.666666666666668</v>
      </c>
      <c r="H7445" s="3">
        <v>4.0353333333333373E-2</v>
      </c>
    </row>
    <row r="7446" spans="7:8" x14ac:dyDescent="0.3">
      <c r="G7446" s="15">
        <v>20.669444444444444</v>
      </c>
      <c r="H7446" s="3">
        <v>4.0352722222222262E-2</v>
      </c>
    </row>
    <row r="7447" spans="7:8" x14ac:dyDescent="0.3">
      <c r="G7447" s="15">
        <v>20.672222222222221</v>
      </c>
      <c r="H7447" s="3">
        <v>4.0352111111111151E-2</v>
      </c>
    </row>
    <row r="7448" spans="7:8" x14ac:dyDescent="0.3">
      <c r="G7448" s="15">
        <v>20.675000000000001</v>
      </c>
      <c r="H7448" s="3">
        <v>4.035150000000004E-2</v>
      </c>
    </row>
    <row r="7449" spans="7:8" x14ac:dyDescent="0.3">
      <c r="G7449" s="15">
        <v>20.677777777777777</v>
      </c>
      <c r="H7449" s="3">
        <v>4.0350888888888929E-2</v>
      </c>
    </row>
    <row r="7450" spans="7:8" x14ac:dyDescent="0.3">
      <c r="G7450" s="15">
        <v>20.680555555555557</v>
      </c>
      <c r="H7450" s="3">
        <v>4.0350277777777818E-2</v>
      </c>
    </row>
    <row r="7451" spans="7:8" x14ac:dyDescent="0.3">
      <c r="G7451" s="15">
        <v>20.683333333333334</v>
      </c>
      <c r="H7451" s="3">
        <v>4.0349666666666707E-2</v>
      </c>
    </row>
    <row r="7452" spans="7:8" x14ac:dyDescent="0.3">
      <c r="G7452" s="15">
        <v>20.68611111111111</v>
      </c>
      <c r="H7452" s="3">
        <v>4.0349055555555596E-2</v>
      </c>
    </row>
    <row r="7453" spans="7:8" x14ac:dyDescent="0.3">
      <c r="G7453" s="15">
        <v>20.68888888888889</v>
      </c>
      <c r="H7453" s="3">
        <v>4.0348444444444485E-2</v>
      </c>
    </row>
    <row r="7454" spans="7:8" x14ac:dyDescent="0.3">
      <c r="G7454" s="15">
        <v>20.691666666666666</v>
      </c>
      <c r="H7454" s="3">
        <v>4.0347833333333374E-2</v>
      </c>
    </row>
    <row r="7455" spans="7:8" x14ac:dyDescent="0.3">
      <c r="G7455" s="15">
        <v>20.694444444444443</v>
      </c>
      <c r="H7455" s="3">
        <v>4.0347222222222263E-2</v>
      </c>
    </row>
    <row r="7456" spans="7:8" x14ac:dyDescent="0.3">
      <c r="G7456" s="15">
        <v>20.697222222222223</v>
      </c>
      <c r="H7456" s="3">
        <v>4.0346611111111153E-2</v>
      </c>
    </row>
    <row r="7457" spans="7:8" x14ac:dyDescent="0.3">
      <c r="G7457" s="15">
        <v>20.7</v>
      </c>
      <c r="H7457" s="3">
        <v>4.0346000000000042E-2</v>
      </c>
    </row>
    <row r="7458" spans="7:8" x14ac:dyDescent="0.3">
      <c r="G7458" s="15">
        <v>20.702777777777779</v>
      </c>
      <c r="H7458" s="3">
        <v>4.0345388888888931E-2</v>
      </c>
    </row>
    <row r="7459" spans="7:8" x14ac:dyDescent="0.3">
      <c r="G7459" s="15">
        <v>20.705555555555556</v>
      </c>
      <c r="H7459" s="3">
        <v>4.034477777777782E-2</v>
      </c>
    </row>
    <row r="7460" spans="7:8" x14ac:dyDescent="0.3">
      <c r="G7460" s="15">
        <v>20.708333333333332</v>
      </c>
      <c r="H7460" s="3">
        <v>4.0344166666666709E-2</v>
      </c>
    </row>
    <row r="7461" spans="7:8" x14ac:dyDescent="0.3">
      <c r="G7461" s="15">
        <v>20.711111111111112</v>
      </c>
      <c r="H7461" s="3">
        <v>4.0343555555555598E-2</v>
      </c>
    </row>
    <row r="7462" spans="7:8" x14ac:dyDescent="0.3">
      <c r="G7462" s="15">
        <v>20.713888888888889</v>
      </c>
      <c r="H7462" s="3">
        <v>4.0342944444444487E-2</v>
      </c>
    </row>
    <row r="7463" spans="7:8" x14ac:dyDescent="0.3">
      <c r="G7463" s="15">
        <v>20.716666666666665</v>
      </c>
      <c r="H7463" s="3">
        <v>4.0342333333333376E-2</v>
      </c>
    </row>
    <row r="7464" spans="7:8" x14ac:dyDescent="0.3">
      <c r="G7464" s="15">
        <v>20.719444444444445</v>
      </c>
      <c r="H7464" s="3">
        <v>4.0341722222222265E-2</v>
      </c>
    </row>
    <row r="7465" spans="7:8" x14ac:dyDescent="0.3">
      <c r="G7465" s="15">
        <v>20.722222222222221</v>
      </c>
      <c r="H7465" s="3">
        <v>4.0341111111111154E-2</v>
      </c>
    </row>
    <row r="7466" spans="7:8" x14ac:dyDescent="0.3">
      <c r="G7466" s="15">
        <v>20.725000000000001</v>
      </c>
      <c r="H7466" s="3">
        <v>4.0340500000000043E-2</v>
      </c>
    </row>
    <row r="7467" spans="7:8" x14ac:dyDescent="0.3">
      <c r="G7467" s="15">
        <v>20.727777777777778</v>
      </c>
      <c r="H7467" s="3">
        <v>4.0339888888888932E-2</v>
      </c>
    </row>
    <row r="7468" spans="7:8" x14ac:dyDescent="0.3">
      <c r="G7468" s="15">
        <v>20.730555555555554</v>
      </c>
      <c r="H7468" s="3">
        <v>4.0339277777777821E-2</v>
      </c>
    </row>
    <row r="7469" spans="7:8" x14ac:dyDescent="0.3">
      <c r="G7469" s="15">
        <v>20.733333333333334</v>
      </c>
      <c r="H7469" s="3">
        <v>4.033866666666671E-2</v>
      </c>
    </row>
    <row r="7470" spans="7:8" x14ac:dyDescent="0.3">
      <c r="G7470" s="15">
        <v>20.736111111111111</v>
      </c>
      <c r="H7470" s="3">
        <v>4.0338055555555599E-2</v>
      </c>
    </row>
    <row r="7471" spans="7:8" x14ac:dyDescent="0.3">
      <c r="G7471" s="15">
        <v>20.738888888888887</v>
      </c>
      <c r="H7471" s="3">
        <v>4.0337444444444488E-2</v>
      </c>
    </row>
    <row r="7472" spans="7:8" x14ac:dyDescent="0.3">
      <c r="G7472" s="15">
        <v>20.741666666666667</v>
      </c>
      <c r="H7472" s="3">
        <v>4.0336833333333377E-2</v>
      </c>
    </row>
    <row r="7473" spans="7:8" x14ac:dyDescent="0.3">
      <c r="G7473" s="15">
        <v>20.744444444444444</v>
      </c>
      <c r="H7473" s="3">
        <v>4.0336222222222266E-2</v>
      </c>
    </row>
    <row r="7474" spans="7:8" x14ac:dyDescent="0.3">
      <c r="G7474" s="15">
        <v>20.747222222222224</v>
      </c>
      <c r="H7474" s="3">
        <v>4.0335611111111155E-2</v>
      </c>
    </row>
    <row r="7475" spans="7:8" x14ac:dyDescent="0.3">
      <c r="G7475" s="15">
        <v>20.75</v>
      </c>
      <c r="H7475" s="3">
        <v>4.0335000000000044E-2</v>
      </c>
    </row>
    <row r="7476" spans="7:8" x14ac:dyDescent="0.3">
      <c r="G7476" s="15">
        <v>20.752777777777776</v>
      </c>
      <c r="H7476" s="3">
        <v>4.0334388888888933E-2</v>
      </c>
    </row>
    <row r="7477" spans="7:8" x14ac:dyDescent="0.3">
      <c r="G7477" s="15">
        <v>20.755555555555556</v>
      </c>
      <c r="H7477" s="3">
        <v>4.0333777777777823E-2</v>
      </c>
    </row>
    <row r="7478" spans="7:8" x14ac:dyDescent="0.3">
      <c r="G7478" s="15">
        <v>20.758333333333333</v>
      </c>
      <c r="H7478" s="3">
        <v>4.0333166666666712E-2</v>
      </c>
    </row>
    <row r="7479" spans="7:8" x14ac:dyDescent="0.3">
      <c r="G7479" s="15">
        <v>20.761111111111113</v>
      </c>
      <c r="H7479" s="3">
        <v>4.0332555555555601E-2</v>
      </c>
    </row>
    <row r="7480" spans="7:8" x14ac:dyDescent="0.3">
      <c r="G7480" s="15">
        <v>20.763888888888889</v>
      </c>
      <c r="H7480" s="3">
        <v>4.033194444444449E-2</v>
      </c>
    </row>
    <row r="7481" spans="7:8" x14ac:dyDescent="0.3">
      <c r="G7481" s="15">
        <v>20.766666666666666</v>
      </c>
      <c r="H7481" s="3">
        <v>4.0331333333333379E-2</v>
      </c>
    </row>
    <row r="7482" spans="7:8" x14ac:dyDescent="0.3">
      <c r="G7482" s="15">
        <v>20.769444444444446</v>
      </c>
      <c r="H7482" s="3">
        <v>4.0330722222222268E-2</v>
      </c>
    </row>
    <row r="7483" spans="7:8" x14ac:dyDescent="0.3">
      <c r="G7483" s="15">
        <v>20.772222222222222</v>
      </c>
      <c r="H7483" s="3">
        <v>4.0330111111111157E-2</v>
      </c>
    </row>
    <row r="7484" spans="7:8" x14ac:dyDescent="0.3">
      <c r="G7484" s="15">
        <v>20.774999999999999</v>
      </c>
      <c r="H7484" s="3">
        <v>4.0329500000000046E-2</v>
      </c>
    </row>
    <row r="7485" spans="7:8" x14ac:dyDescent="0.3">
      <c r="G7485" s="15">
        <v>20.777777777777779</v>
      </c>
      <c r="H7485" s="3">
        <v>4.0328888888888935E-2</v>
      </c>
    </row>
    <row r="7486" spans="7:8" x14ac:dyDescent="0.3">
      <c r="G7486" s="15">
        <v>20.780555555555555</v>
      </c>
      <c r="H7486" s="3">
        <v>4.0328277777777824E-2</v>
      </c>
    </row>
    <row r="7487" spans="7:8" x14ac:dyDescent="0.3">
      <c r="G7487" s="15">
        <v>20.783333333333335</v>
      </c>
      <c r="H7487" s="3">
        <v>4.0327666666666713E-2</v>
      </c>
    </row>
    <row r="7488" spans="7:8" x14ac:dyDescent="0.3">
      <c r="G7488" s="15">
        <v>20.786111111111111</v>
      </c>
      <c r="H7488" s="3">
        <v>4.0327055555555602E-2</v>
      </c>
    </row>
    <row r="7489" spans="7:8" x14ac:dyDescent="0.3">
      <c r="G7489" s="15">
        <v>20.788888888888888</v>
      </c>
      <c r="H7489" s="3">
        <v>4.0326444444444491E-2</v>
      </c>
    </row>
    <row r="7490" spans="7:8" x14ac:dyDescent="0.3">
      <c r="G7490" s="15">
        <v>20.791666666666668</v>
      </c>
      <c r="H7490" s="3">
        <v>4.032583333333338E-2</v>
      </c>
    </row>
    <row r="7491" spans="7:8" x14ac:dyDescent="0.3">
      <c r="G7491" s="15">
        <v>20.794444444444444</v>
      </c>
      <c r="H7491" s="3">
        <v>4.0325222222222269E-2</v>
      </c>
    </row>
    <row r="7492" spans="7:8" x14ac:dyDescent="0.3">
      <c r="G7492" s="15">
        <v>20.797222222222221</v>
      </c>
      <c r="H7492" s="3">
        <v>4.0324611111111158E-2</v>
      </c>
    </row>
    <row r="7493" spans="7:8" x14ac:dyDescent="0.3">
      <c r="G7493" s="15">
        <v>20.8</v>
      </c>
      <c r="H7493" s="3">
        <v>4.0324000000000047E-2</v>
      </c>
    </row>
    <row r="7494" spans="7:8" x14ac:dyDescent="0.3">
      <c r="G7494" s="15">
        <v>20.802777777777777</v>
      </c>
      <c r="H7494" s="3">
        <v>4.0323388888888936E-2</v>
      </c>
    </row>
    <row r="7495" spans="7:8" x14ac:dyDescent="0.3">
      <c r="G7495" s="15">
        <v>20.805555555555557</v>
      </c>
      <c r="H7495" s="3">
        <v>4.0322777777777825E-2</v>
      </c>
    </row>
    <row r="7496" spans="7:8" x14ac:dyDescent="0.3">
      <c r="G7496" s="15">
        <v>20.808333333333334</v>
      </c>
      <c r="H7496" s="3">
        <v>4.0322166666666714E-2</v>
      </c>
    </row>
    <row r="7497" spans="7:8" x14ac:dyDescent="0.3">
      <c r="G7497" s="15">
        <v>20.81111111111111</v>
      </c>
      <c r="H7497" s="3">
        <v>4.0321555555555604E-2</v>
      </c>
    </row>
    <row r="7498" spans="7:8" x14ac:dyDescent="0.3">
      <c r="G7498" s="15">
        <v>20.81388888888889</v>
      </c>
      <c r="H7498" s="3">
        <v>4.0320944444444493E-2</v>
      </c>
    </row>
    <row r="7499" spans="7:8" x14ac:dyDescent="0.3">
      <c r="G7499" s="15">
        <v>20.816666666666666</v>
      </c>
      <c r="H7499" s="3">
        <v>4.0320333333333382E-2</v>
      </c>
    </row>
    <row r="7500" spans="7:8" x14ac:dyDescent="0.3">
      <c r="G7500" s="15">
        <v>20.819444444444443</v>
      </c>
      <c r="H7500" s="3">
        <v>4.0319722222222271E-2</v>
      </c>
    </row>
    <row r="7501" spans="7:8" x14ac:dyDescent="0.3">
      <c r="G7501" s="15">
        <v>20.822222222222223</v>
      </c>
      <c r="H7501" s="3">
        <v>4.031911111111116E-2</v>
      </c>
    </row>
    <row r="7502" spans="7:8" x14ac:dyDescent="0.3">
      <c r="G7502" s="15">
        <v>20.824999999999999</v>
      </c>
      <c r="H7502" s="3">
        <v>4.0318500000000049E-2</v>
      </c>
    </row>
    <row r="7503" spans="7:8" x14ac:dyDescent="0.3">
      <c r="G7503" s="15">
        <v>20.827777777777779</v>
      </c>
      <c r="H7503" s="3">
        <v>4.0317888888888938E-2</v>
      </c>
    </row>
    <row r="7504" spans="7:8" x14ac:dyDescent="0.3">
      <c r="G7504" s="15">
        <v>20.830555555555556</v>
      </c>
      <c r="H7504" s="3">
        <v>4.0317277777777827E-2</v>
      </c>
    </row>
    <row r="7505" spans="7:8" x14ac:dyDescent="0.3">
      <c r="G7505" s="15">
        <v>20.833333333333332</v>
      </c>
      <c r="H7505" s="3">
        <v>4.0316666666666716E-2</v>
      </c>
    </row>
    <row r="7506" spans="7:8" x14ac:dyDescent="0.3">
      <c r="G7506" s="15">
        <v>20.836111111111112</v>
      </c>
      <c r="H7506" s="3">
        <v>4.0316055555555605E-2</v>
      </c>
    </row>
    <row r="7507" spans="7:8" x14ac:dyDescent="0.3">
      <c r="G7507" s="15">
        <v>20.838888888888889</v>
      </c>
      <c r="H7507" s="3">
        <v>4.0315444444444494E-2</v>
      </c>
    </row>
    <row r="7508" spans="7:8" x14ac:dyDescent="0.3">
      <c r="G7508" s="15">
        <v>20.841666666666665</v>
      </c>
      <c r="H7508" s="3">
        <v>4.0314833333333383E-2</v>
      </c>
    </row>
    <row r="7509" spans="7:8" x14ac:dyDescent="0.3">
      <c r="G7509" s="15">
        <v>20.844444444444445</v>
      </c>
      <c r="H7509" s="3">
        <v>4.0314222222222272E-2</v>
      </c>
    </row>
    <row r="7510" spans="7:8" x14ac:dyDescent="0.3">
      <c r="G7510" s="15">
        <v>20.847222222222221</v>
      </c>
      <c r="H7510" s="3">
        <v>4.0313611111111161E-2</v>
      </c>
    </row>
    <row r="7511" spans="7:8" x14ac:dyDescent="0.3">
      <c r="G7511" s="15">
        <v>20.85</v>
      </c>
      <c r="H7511" s="3">
        <v>4.031300000000005E-2</v>
      </c>
    </row>
    <row r="7512" spans="7:8" x14ac:dyDescent="0.3">
      <c r="G7512" s="15">
        <v>20.852777777777778</v>
      </c>
      <c r="H7512" s="3">
        <v>4.0312388888888939E-2</v>
      </c>
    </row>
    <row r="7513" spans="7:8" x14ac:dyDescent="0.3">
      <c r="G7513" s="15">
        <v>20.855555555555554</v>
      </c>
      <c r="H7513" s="3">
        <v>4.0311777777777828E-2</v>
      </c>
    </row>
    <row r="7514" spans="7:8" x14ac:dyDescent="0.3">
      <c r="G7514" s="15">
        <v>20.858333333333334</v>
      </c>
      <c r="H7514" s="3">
        <v>4.0311166666666717E-2</v>
      </c>
    </row>
    <row r="7515" spans="7:8" x14ac:dyDescent="0.3">
      <c r="G7515" s="15">
        <v>20.861111111111111</v>
      </c>
      <c r="H7515" s="3">
        <v>4.0310555555555606E-2</v>
      </c>
    </row>
    <row r="7516" spans="7:8" x14ac:dyDescent="0.3">
      <c r="G7516" s="15">
        <v>20.863888888888887</v>
      </c>
      <c r="H7516" s="3">
        <v>4.0309944444444495E-2</v>
      </c>
    </row>
    <row r="7517" spans="7:8" x14ac:dyDescent="0.3">
      <c r="G7517" s="15">
        <v>20.866666666666667</v>
      </c>
      <c r="H7517" s="3">
        <v>4.0309333333333384E-2</v>
      </c>
    </row>
    <row r="7518" spans="7:8" x14ac:dyDescent="0.3">
      <c r="G7518" s="15">
        <v>20.869444444444444</v>
      </c>
      <c r="H7518" s="3">
        <v>4.0308722222222274E-2</v>
      </c>
    </row>
    <row r="7519" spans="7:8" x14ac:dyDescent="0.3">
      <c r="G7519" s="15">
        <v>20.872222222222224</v>
      </c>
      <c r="H7519" s="3">
        <v>4.0308111111111163E-2</v>
      </c>
    </row>
    <row r="7520" spans="7:8" x14ac:dyDescent="0.3">
      <c r="G7520" s="15">
        <v>20.875</v>
      </c>
      <c r="H7520" s="3">
        <v>4.0307500000000052E-2</v>
      </c>
    </row>
    <row r="7521" spans="7:8" x14ac:dyDescent="0.3">
      <c r="G7521" s="15">
        <v>20.877777777777776</v>
      </c>
      <c r="H7521" s="3">
        <v>4.0306888888888941E-2</v>
      </c>
    </row>
    <row r="7522" spans="7:8" x14ac:dyDescent="0.3">
      <c r="G7522" s="15">
        <v>20.880555555555556</v>
      </c>
      <c r="H7522" s="3">
        <v>4.030627777777783E-2</v>
      </c>
    </row>
    <row r="7523" spans="7:8" x14ac:dyDescent="0.3">
      <c r="G7523" s="15">
        <v>20.883333333333333</v>
      </c>
      <c r="H7523" s="3">
        <v>4.0305666666666719E-2</v>
      </c>
    </row>
    <row r="7524" spans="7:8" x14ac:dyDescent="0.3">
      <c r="G7524" s="15">
        <v>20.886111111111113</v>
      </c>
      <c r="H7524" s="3">
        <v>4.0305055555555608E-2</v>
      </c>
    </row>
    <row r="7525" spans="7:8" x14ac:dyDescent="0.3">
      <c r="G7525" s="15">
        <v>20.888888888888889</v>
      </c>
      <c r="H7525" s="3">
        <v>4.0304444444444497E-2</v>
      </c>
    </row>
    <row r="7526" spans="7:8" x14ac:dyDescent="0.3">
      <c r="G7526" s="15">
        <v>20.891666666666666</v>
      </c>
      <c r="H7526" s="3">
        <v>4.0303833333333386E-2</v>
      </c>
    </row>
    <row r="7527" spans="7:8" x14ac:dyDescent="0.3">
      <c r="G7527" s="15">
        <v>20.894444444444446</v>
      </c>
      <c r="H7527" s="3">
        <v>4.0303222222222275E-2</v>
      </c>
    </row>
    <row r="7528" spans="7:8" x14ac:dyDescent="0.3">
      <c r="G7528" s="15">
        <v>20.897222222222222</v>
      </c>
      <c r="H7528" s="3">
        <v>4.0302611111111164E-2</v>
      </c>
    </row>
    <row r="7529" spans="7:8" x14ac:dyDescent="0.3">
      <c r="G7529" s="15">
        <v>20.9</v>
      </c>
      <c r="H7529" s="3">
        <v>4.0302000000000053E-2</v>
      </c>
    </row>
    <row r="7530" spans="7:8" x14ac:dyDescent="0.3">
      <c r="G7530" s="15">
        <v>20.902777777777779</v>
      </c>
      <c r="H7530" s="3">
        <v>4.0301388888888942E-2</v>
      </c>
    </row>
    <row r="7531" spans="7:8" x14ac:dyDescent="0.3">
      <c r="G7531" s="15">
        <v>20.905555555555555</v>
      </c>
      <c r="H7531" s="3">
        <v>4.0300777777777831E-2</v>
      </c>
    </row>
    <row r="7532" spans="7:8" x14ac:dyDescent="0.3">
      <c r="G7532" s="15">
        <v>20.908333333333335</v>
      </c>
      <c r="H7532" s="3">
        <v>4.030016666666672E-2</v>
      </c>
    </row>
    <row r="7533" spans="7:8" x14ac:dyDescent="0.3">
      <c r="G7533" s="15">
        <v>20.911111111111111</v>
      </c>
      <c r="H7533" s="3">
        <v>4.0299555555555609E-2</v>
      </c>
    </row>
    <row r="7534" spans="7:8" x14ac:dyDescent="0.3">
      <c r="G7534" s="15">
        <v>20.913888888888888</v>
      </c>
      <c r="H7534" s="3">
        <v>4.0298944444444498E-2</v>
      </c>
    </row>
    <row r="7535" spans="7:8" x14ac:dyDescent="0.3">
      <c r="G7535" s="15">
        <v>20.916666666666668</v>
      </c>
      <c r="H7535" s="3">
        <v>4.0298333333333387E-2</v>
      </c>
    </row>
    <row r="7536" spans="7:8" x14ac:dyDescent="0.3">
      <c r="G7536" s="15">
        <v>20.919444444444444</v>
      </c>
      <c r="H7536" s="3">
        <v>4.0297722222222276E-2</v>
      </c>
    </row>
    <row r="7537" spans="7:8" x14ac:dyDescent="0.3">
      <c r="G7537" s="15">
        <v>20.922222222222221</v>
      </c>
      <c r="H7537" s="3">
        <v>4.0297111111111165E-2</v>
      </c>
    </row>
    <row r="7538" spans="7:8" x14ac:dyDescent="0.3">
      <c r="G7538" s="15">
        <v>20.925000000000001</v>
      </c>
      <c r="H7538" s="3">
        <v>4.0296500000000054E-2</v>
      </c>
    </row>
    <row r="7539" spans="7:8" x14ac:dyDescent="0.3">
      <c r="G7539" s="15">
        <v>20.927777777777777</v>
      </c>
      <c r="H7539" s="3">
        <v>4.0295888888888944E-2</v>
      </c>
    </row>
    <row r="7540" spans="7:8" x14ac:dyDescent="0.3">
      <c r="G7540" s="15">
        <v>20.930555555555557</v>
      </c>
      <c r="H7540" s="3">
        <v>4.0295277777777833E-2</v>
      </c>
    </row>
    <row r="7541" spans="7:8" x14ac:dyDescent="0.3">
      <c r="G7541" s="15">
        <v>20.933333333333334</v>
      </c>
      <c r="H7541" s="3">
        <v>4.0294666666666722E-2</v>
      </c>
    </row>
    <row r="7542" spans="7:8" x14ac:dyDescent="0.3">
      <c r="G7542" s="15">
        <v>20.93611111111111</v>
      </c>
      <c r="H7542" s="3">
        <v>4.0294055555555611E-2</v>
      </c>
    </row>
    <row r="7543" spans="7:8" x14ac:dyDescent="0.3">
      <c r="G7543" s="15">
        <v>20.93888888888889</v>
      </c>
      <c r="H7543" s="3">
        <v>4.02934444444445E-2</v>
      </c>
    </row>
    <row r="7544" spans="7:8" x14ac:dyDescent="0.3">
      <c r="G7544" s="15">
        <v>20.941666666666666</v>
      </c>
      <c r="H7544" s="3">
        <v>4.0292833333333389E-2</v>
      </c>
    </row>
    <row r="7545" spans="7:8" x14ac:dyDescent="0.3">
      <c r="G7545" s="15">
        <v>20.944444444444443</v>
      </c>
      <c r="H7545" s="3">
        <v>4.0292222222222278E-2</v>
      </c>
    </row>
    <row r="7546" spans="7:8" x14ac:dyDescent="0.3">
      <c r="G7546" s="15">
        <v>20.947222222222223</v>
      </c>
      <c r="H7546" s="3">
        <v>4.0291611111111167E-2</v>
      </c>
    </row>
    <row r="7547" spans="7:8" x14ac:dyDescent="0.3">
      <c r="G7547" s="15">
        <v>20.95</v>
      </c>
      <c r="H7547" s="3">
        <v>4.0291000000000056E-2</v>
      </c>
    </row>
    <row r="7548" spans="7:8" x14ac:dyDescent="0.3">
      <c r="G7548" s="15">
        <v>20.952777777777779</v>
      </c>
      <c r="H7548" s="3">
        <v>4.0290388888888945E-2</v>
      </c>
    </row>
    <row r="7549" spans="7:8" x14ac:dyDescent="0.3">
      <c r="G7549" s="15">
        <v>20.955555555555556</v>
      </c>
      <c r="H7549" s="3">
        <v>4.0289777777777834E-2</v>
      </c>
    </row>
    <row r="7550" spans="7:8" x14ac:dyDescent="0.3">
      <c r="G7550" s="15">
        <v>20.958333333333332</v>
      </c>
      <c r="H7550" s="3">
        <v>4.0289166666666723E-2</v>
      </c>
    </row>
    <row r="7551" spans="7:8" x14ac:dyDescent="0.3">
      <c r="G7551" s="15">
        <v>20.961111111111112</v>
      </c>
      <c r="H7551" s="3">
        <v>4.0288555555555612E-2</v>
      </c>
    </row>
    <row r="7552" spans="7:8" x14ac:dyDescent="0.3">
      <c r="G7552" s="15">
        <v>20.963888888888889</v>
      </c>
      <c r="H7552" s="3">
        <v>4.0287944444444501E-2</v>
      </c>
    </row>
    <row r="7553" spans="7:8" x14ac:dyDescent="0.3">
      <c r="G7553" s="15">
        <v>20.966666666666665</v>
      </c>
      <c r="H7553" s="3">
        <v>4.028733333333339E-2</v>
      </c>
    </row>
    <row r="7554" spans="7:8" x14ac:dyDescent="0.3">
      <c r="G7554" s="15">
        <v>20.969444444444445</v>
      </c>
      <c r="H7554" s="3">
        <v>4.0286722222222279E-2</v>
      </c>
    </row>
    <row r="7555" spans="7:8" x14ac:dyDescent="0.3">
      <c r="G7555" s="15">
        <v>20.972222222222221</v>
      </c>
      <c r="H7555" s="3">
        <v>4.0286111111111168E-2</v>
      </c>
    </row>
    <row r="7556" spans="7:8" x14ac:dyDescent="0.3">
      <c r="G7556" s="15">
        <v>20.975000000000001</v>
      </c>
      <c r="H7556" s="3">
        <v>4.0285500000000057E-2</v>
      </c>
    </row>
    <row r="7557" spans="7:8" x14ac:dyDescent="0.3">
      <c r="G7557" s="15">
        <v>20.977777777777778</v>
      </c>
      <c r="H7557" s="3">
        <v>4.0284888888888946E-2</v>
      </c>
    </row>
    <row r="7558" spans="7:8" x14ac:dyDescent="0.3">
      <c r="G7558" s="15">
        <v>20.980555555555554</v>
      </c>
      <c r="H7558" s="3">
        <v>4.0284277777777835E-2</v>
      </c>
    </row>
    <row r="7559" spans="7:8" x14ac:dyDescent="0.3">
      <c r="G7559" s="15">
        <v>20.983333333333334</v>
      </c>
      <c r="H7559" s="3">
        <v>4.0283666666666725E-2</v>
      </c>
    </row>
    <row r="7560" spans="7:8" x14ac:dyDescent="0.3">
      <c r="G7560" s="15">
        <v>20.986111111111111</v>
      </c>
      <c r="H7560" s="3">
        <v>4.0283055555555614E-2</v>
      </c>
    </row>
    <row r="7561" spans="7:8" x14ac:dyDescent="0.3">
      <c r="G7561" s="15">
        <v>20.988888888888887</v>
      </c>
      <c r="H7561" s="3">
        <v>4.0282444444444503E-2</v>
      </c>
    </row>
    <row r="7562" spans="7:8" x14ac:dyDescent="0.3">
      <c r="G7562" s="15">
        <v>20.991666666666667</v>
      </c>
      <c r="H7562" s="3">
        <v>4.0281833333333392E-2</v>
      </c>
    </row>
    <row r="7563" spans="7:8" x14ac:dyDescent="0.3">
      <c r="G7563" s="15">
        <v>20.994444444444444</v>
      </c>
      <c r="H7563" s="3">
        <v>4.0281222222222281E-2</v>
      </c>
    </row>
    <row r="7564" spans="7:8" x14ac:dyDescent="0.3">
      <c r="G7564" s="15">
        <v>20.997222222222224</v>
      </c>
      <c r="H7564" s="3">
        <v>4.028061111111117E-2</v>
      </c>
    </row>
    <row r="7565" spans="7:8" x14ac:dyDescent="0.3">
      <c r="G7565" s="15">
        <v>21</v>
      </c>
      <c r="H7565" s="3">
        <v>4.0280000000000059E-2</v>
      </c>
    </row>
    <row r="7566" spans="7:8" x14ac:dyDescent="0.3">
      <c r="G7566" s="15">
        <v>21.002777777777776</v>
      </c>
      <c r="H7566" s="3">
        <v>4.0279388888888948E-2</v>
      </c>
    </row>
    <row r="7567" spans="7:8" x14ac:dyDescent="0.3">
      <c r="G7567" s="15">
        <v>21.005555555555556</v>
      </c>
      <c r="H7567" s="3">
        <v>4.0278777777777837E-2</v>
      </c>
    </row>
    <row r="7568" spans="7:8" x14ac:dyDescent="0.3">
      <c r="G7568" s="15">
        <v>21.008333333333333</v>
      </c>
      <c r="H7568" s="3">
        <v>4.0278166666666726E-2</v>
      </c>
    </row>
    <row r="7569" spans="7:8" x14ac:dyDescent="0.3">
      <c r="G7569" s="15">
        <v>21.011111111111113</v>
      </c>
      <c r="H7569" s="3">
        <v>4.0277555555555615E-2</v>
      </c>
    </row>
    <row r="7570" spans="7:8" x14ac:dyDescent="0.3">
      <c r="G7570" s="15">
        <v>21.013888888888889</v>
      </c>
      <c r="H7570" s="3">
        <v>4.0276944444444504E-2</v>
      </c>
    </row>
    <row r="7571" spans="7:8" x14ac:dyDescent="0.3">
      <c r="G7571" s="15">
        <v>21.016666666666666</v>
      </c>
      <c r="H7571" s="3">
        <v>4.0276333333333393E-2</v>
      </c>
    </row>
    <row r="7572" spans="7:8" x14ac:dyDescent="0.3">
      <c r="G7572" s="15">
        <v>21.019444444444446</v>
      </c>
      <c r="H7572" s="3">
        <v>4.0275722222222282E-2</v>
      </c>
    </row>
    <row r="7573" spans="7:8" x14ac:dyDescent="0.3">
      <c r="G7573" s="15">
        <v>21.022222222222222</v>
      </c>
      <c r="H7573" s="3">
        <v>4.0275111111111171E-2</v>
      </c>
    </row>
    <row r="7574" spans="7:8" x14ac:dyDescent="0.3">
      <c r="G7574" s="15">
        <v>21.024999999999999</v>
      </c>
      <c r="H7574" s="3">
        <v>4.027450000000006E-2</v>
      </c>
    </row>
    <row r="7575" spans="7:8" x14ac:dyDescent="0.3">
      <c r="G7575" s="15">
        <v>21.027777777777779</v>
      </c>
      <c r="H7575" s="3">
        <v>4.0273888888888949E-2</v>
      </c>
    </row>
    <row r="7576" spans="7:8" x14ac:dyDescent="0.3">
      <c r="G7576" s="15">
        <v>21.030555555555555</v>
      </c>
      <c r="H7576" s="3">
        <v>4.0273277777777838E-2</v>
      </c>
    </row>
    <row r="7577" spans="7:8" x14ac:dyDescent="0.3">
      <c r="G7577" s="15">
        <v>21.033333333333335</v>
      </c>
      <c r="H7577" s="3">
        <v>4.0272666666666727E-2</v>
      </c>
    </row>
    <row r="7578" spans="7:8" x14ac:dyDescent="0.3">
      <c r="G7578" s="15">
        <v>21.036111111111111</v>
      </c>
      <c r="H7578" s="3">
        <v>4.0272055555555616E-2</v>
      </c>
    </row>
    <row r="7579" spans="7:8" x14ac:dyDescent="0.3">
      <c r="G7579" s="15">
        <v>21.038888888888888</v>
      </c>
      <c r="H7579" s="3">
        <v>4.0271444444444505E-2</v>
      </c>
    </row>
    <row r="7580" spans="7:8" x14ac:dyDescent="0.3">
      <c r="G7580" s="15">
        <v>21.041666666666668</v>
      </c>
      <c r="H7580" s="3">
        <v>4.0270833333333395E-2</v>
      </c>
    </row>
    <row r="7581" spans="7:8" x14ac:dyDescent="0.3">
      <c r="G7581" s="15">
        <v>21.044444444444444</v>
      </c>
      <c r="H7581" s="3">
        <v>4.0270222222222284E-2</v>
      </c>
    </row>
    <row r="7582" spans="7:8" x14ac:dyDescent="0.3">
      <c r="G7582" s="15">
        <v>21.047222222222221</v>
      </c>
      <c r="H7582" s="3">
        <v>4.0269611111111173E-2</v>
      </c>
    </row>
    <row r="7583" spans="7:8" x14ac:dyDescent="0.3">
      <c r="G7583" s="15">
        <v>21.05</v>
      </c>
      <c r="H7583" s="3">
        <v>4.0269000000000062E-2</v>
      </c>
    </row>
    <row r="7584" spans="7:8" x14ac:dyDescent="0.3">
      <c r="G7584" s="15">
        <v>21.052777777777777</v>
      </c>
      <c r="H7584" s="3">
        <v>4.0268388888888951E-2</v>
      </c>
    </row>
    <row r="7585" spans="7:8" x14ac:dyDescent="0.3">
      <c r="G7585" s="15">
        <v>21.055555555555557</v>
      </c>
      <c r="H7585" s="3">
        <v>4.026777777777784E-2</v>
      </c>
    </row>
    <row r="7586" spans="7:8" x14ac:dyDescent="0.3">
      <c r="G7586" s="15">
        <v>21.058333333333334</v>
      </c>
      <c r="H7586" s="3">
        <v>4.0267166666666729E-2</v>
      </c>
    </row>
    <row r="7587" spans="7:8" x14ac:dyDescent="0.3">
      <c r="G7587" s="15">
        <v>21.06111111111111</v>
      </c>
      <c r="H7587" s="3">
        <v>4.0266555555555618E-2</v>
      </c>
    </row>
    <row r="7588" spans="7:8" x14ac:dyDescent="0.3">
      <c r="G7588" s="15">
        <v>21.06388888888889</v>
      </c>
      <c r="H7588" s="3">
        <v>4.0265944444444507E-2</v>
      </c>
    </row>
    <row r="7589" spans="7:8" x14ac:dyDescent="0.3">
      <c r="G7589" s="15">
        <v>21.066666666666666</v>
      </c>
      <c r="H7589" s="3">
        <v>4.0265333333333396E-2</v>
      </c>
    </row>
    <row r="7590" spans="7:8" x14ac:dyDescent="0.3">
      <c r="G7590" s="15">
        <v>21.069444444444443</v>
      </c>
      <c r="H7590" s="3">
        <v>4.0264722222222285E-2</v>
      </c>
    </row>
    <row r="7591" spans="7:8" x14ac:dyDescent="0.3">
      <c r="G7591" s="15">
        <v>21.072222222222223</v>
      </c>
      <c r="H7591" s="3">
        <v>4.0264111111111174E-2</v>
      </c>
    </row>
    <row r="7592" spans="7:8" x14ac:dyDescent="0.3">
      <c r="G7592" s="15">
        <v>21.074999999999999</v>
      </c>
      <c r="H7592" s="3">
        <v>4.0263500000000063E-2</v>
      </c>
    </row>
    <row r="7593" spans="7:8" x14ac:dyDescent="0.3">
      <c r="G7593" s="15">
        <v>21.077777777777779</v>
      </c>
      <c r="H7593" s="3">
        <v>4.0262888888888952E-2</v>
      </c>
    </row>
    <row r="7594" spans="7:8" x14ac:dyDescent="0.3">
      <c r="G7594" s="15">
        <v>21.080555555555556</v>
      </c>
      <c r="H7594" s="3">
        <v>4.0262277777777841E-2</v>
      </c>
    </row>
    <row r="7595" spans="7:8" x14ac:dyDescent="0.3">
      <c r="G7595" s="15">
        <v>21.083333333333332</v>
      </c>
      <c r="H7595" s="3">
        <v>4.026166666666673E-2</v>
      </c>
    </row>
    <row r="7596" spans="7:8" x14ac:dyDescent="0.3">
      <c r="G7596" s="15">
        <v>21.086111111111112</v>
      </c>
      <c r="H7596" s="3">
        <v>4.0261055555555619E-2</v>
      </c>
    </row>
    <row r="7597" spans="7:8" x14ac:dyDescent="0.3">
      <c r="G7597" s="15">
        <v>21.088888888888889</v>
      </c>
      <c r="H7597" s="3">
        <v>4.0260444444444508E-2</v>
      </c>
    </row>
    <row r="7598" spans="7:8" x14ac:dyDescent="0.3">
      <c r="G7598" s="15">
        <v>21.091666666666665</v>
      </c>
      <c r="H7598" s="3">
        <v>4.0259833333333397E-2</v>
      </c>
    </row>
    <row r="7599" spans="7:8" x14ac:dyDescent="0.3">
      <c r="G7599" s="15">
        <v>21.094444444444445</v>
      </c>
      <c r="H7599" s="3">
        <v>4.0259222222222286E-2</v>
      </c>
    </row>
    <row r="7600" spans="7:8" x14ac:dyDescent="0.3">
      <c r="G7600" s="15">
        <v>21.097222222222221</v>
      </c>
      <c r="H7600" s="3">
        <v>4.0258611111111176E-2</v>
      </c>
    </row>
    <row r="7601" spans="7:8" x14ac:dyDescent="0.3">
      <c r="G7601" s="15">
        <v>21.1</v>
      </c>
      <c r="H7601" s="3">
        <v>4.0258000000000065E-2</v>
      </c>
    </row>
    <row r="7602" spans="7:8" x14ac:dyDescent="0.3">
      <c r="G7602" s="15">
        <v>21.102777777777778</v>
      </c>
      <c r="H7602" s="3">
        <v>4.0257388888888954E-2</v>
      </c>
    </row>
    <row r="7603" spans="7:8" x14ac:dyDescent="0.3">
      <c r="G7603" s="15">
        <v>21.105555555555554</v>
      </c>
      <c r="H7603" s="3">
        <v>4.0256777777777843E-2</v>
      </c>
    </row>
    <row r="7604" spans="7:8" x14ac:dyDescent="0.3">
      <c r="G7604" s="15">
        <v>21.108333333333334</v>
      </c>
      <c r="H7604" s="3">
        <v>4.0256166666666732E-2</v>
      </c>
    </row>
    <row r="7605" spans="7:8" x14ac:dyDescent="0.3">
      <c r="G7605" s="15">
        <v>21.111111111111111</v>
      </c>
      <c r="H7605" s="3">
        <v>4.0255555555555621E-2</v>
      </c>
    </row>
    <row r="7606" spans="7:8" x14ac:dyDescent="0.3">
      <c r="G7606" s="15">
        <v>21.113888888888887</v>
      </c>
      <c r="H7606" s="3">
        <v>4.025494444444451E-2</v>
      </c>
    </row>
    <row r="7607" spans="7:8" x14ac:dyDescent="0.3">
      <c r="G7607" s="15">
        <v>21.116666666666667</v>
      </c>
      <c r="H7607" s="3">
        <v>4.0254333333333399E-2</v>
      </c>
    </row>
    <row r="7608" spans="7:8" x14ac:dyDescent="0.3">
      <c r="G7608" s="15">
        <v>21.119444444444444</v>
      </c>
      <c r="H7608" s="3">
        <v>4.0253722222222288E-2</v>
      </c>
    </row>
    <row r="7609" spans="7:8" x14ac:dyDescent="0.3">
      <c r="G7609" s="15">
        <v>21.122222222222224</v>
      </c>
      <c r="H7609" s="3">
        <v>4.0253111111111177E-2</v>
      </c>
    </row>
    <row r="7610" spans="7:8" x14ac:dyDescent="0.3">
      <c r="G7610" s="15">
        <v>21.125</v>
      </c>
      <c r="H7610" s="3">
        <v>4.0252500000000066E-2</v>
      </c>
    </row>
    <row r="7611" spans="7:8" x14ac:dyDescent="0.3">
      <c r="G7611" s="15">
        <v>21.127777777777776</v>
      </c>
      <c r="H7611" s="3">
        <v>4.0251888888888955E-2</v>
      </c>
    </row>
    <row r="7612" spans="7:8" x14ac:dyDescent="0.3">
      <c r="G7612" s="15">
        <v>21.130555555555556</v>
      </c>
      <c r="H7612" s="3">
        <v>4.0251277777777844E-2</v>
      </c>
    </row>
    <row r="7613" spans="7:8" x14ac:dyDescent="0.3">
      <c r="G7613" s="15">
        <v>21.133333333333333</v>
      </c>
      <c r="H7613" s="3">
        <v>4.0250666666666733E-2</v>
      </c>
    </row>
    <row r="7614" spans="7:8" x14ac:dyDescent="0.3">
      <c r="G7614" s="15">
        <v>21.136111111111113</v>
      </c>
      <c r="H7614" s="3">
        <v>4.0250055555555622E-2</v>
      </c>
    </row>
    <row r="7615" spans="7:8" x14ac:dyDescent="0.3">
      <c r="G7615" s="15">
        <v>21.138888888888889</v>
      </c>
      <c r="H7615" s="3">
        <v>4.0249444444444511E-2</v>
      </c>
    </row>
    <row r="7616" spans="7:8" x14ac:dyDescent="0.3">
      <c r="G7616" s="15">
        <v>21.141666666666666</v>
      </c>
      <c r="H7616" s="3">
        <v>4.02488333333334E-2</v>
      </c>
    </row>
    <row r="7617" spans="7:8" x14ac:dyDescent="0.3">
      <c r="G7617" s="15">
        <v>21.144444444444446</v>
      </c>
      <c r="H7617" s="3">
        <v>4.0248222222222289E-2</v>
      </c>
    </row>
    <row r="7618" spans="7:8" x14ac:dyDescent="0.3">
      <c r="G7618" s="15">
        <v>21.147222222222222</v>
      </c>
      <c r="H7618" s="3">
        <v>4.0247611111111178E-2</v>
      </c>
    </row>
    <row r="7619" spans="7:8" x14ac:dyDescent="0.3">
      <c r="G7619" s="15">
        <v>21.15</v>
      </c>
      <c r="H7619" s="3">
        <v>4.0247000000000067E-2</v>
      </c>
    </row>
    <row r="7620" spans="7:8" x14ac:dyDescent="0.3">
      <c r="G7620" s="15">
        <v>21.152777777777779</v>
      </c>
      <c r="H7620" s="3">
        <v>4.0246388888888956E-2</v>
      </c>
    </row>
    <row r="7621" spans="7:8" x14ac:dyDescent="0.3">
      <c r="G7621" s="15">
        <v>21.155555555555555</v>
      </c>
      <c r="H7621" s="3">
        <v>4.0245777777777846E-2</v>
      </c>
    </row>
    <row r="7622" spans="7:8" x14ac:dyDescent="0.3">
      <c r="G7622" s="15">
        <v>21.158333333333335</v>
      </c>
      <c r="H7622" s="3">
        <v>4.0245166666666735E-2</v>
      </c>
    </row>
    <row r="7623" spans="7:8" x14ac:dyDescent="0.3">
      <c r="G7623" s="15">
        <v>21.161111111111111</v>
      </c>
      <c r="H7623" s="3">
        <v>4.0244555555555624E-2</v>
      </c>
    </row>
    <row r="7624" spans="7:8" x14ac:dyDescent="0.3">
      <c r="G7624" s="15">
        <v>21.163888888888888</v>
      </c>
      <c r="H7624" s="3">
        <v>4.0243944444444513E-2</v>
      </c>
    </row>
    <row r="7625" spans="7:8" x14ac:dyDescent="0.3">
      <c r="G7625" s="15">
        <v>21.166666666666668</v>
      </c>
      <c r="H7625" s="3">
        <v>4.0243333333333402E-2</v>
      </c>
    </row>
    <row r="7626" spans="7:8" x14ac:dyDescent="0.3">
      <c r="G7626" s="15">
        <v>21.169444444444444</v>
      </c>
      <c r="H7626" s="3">
        <v>4.0242722222222291E-2</v>
      </c>
    </row>
    <row r="7627" spans="7:8" x14ac:dyDescent="0.3">
      <c r="G7627" s="15">
        <v>21.172222222222221</v>
      </c>
      <c r="H7627" s="3">
        <v>4.024211111111118E-2</v>
      </c>
    </row>
    <row r="7628" spans="7:8" x14ac:dyDescent="0.3">
      <c r="G7628" s="15">
        <v>21.175000000000001</v>
      </c>
      <c r="H7628" s="3">
        <v>4.0241500000000069E-2</v>
      </c>
    </row>
    <row r="7629" spans="7:8" x14ac:dyDescent="0.3">
      <c r="G7629" s="15">
        <v>21.177777777777777</v>
      </c>
      <c r="H7629" s="3">
        <v>4.0240888888888958E-2</v>
      </c>
    </row>
    <row r="7630" spans="7:8" x14ac:dyDescent="0.3">
      <c r="G7630" s="15">
        <v>21.180555555555557</v>
      </c>
      <c r="H7630" s="3">
        <v>4.0240277777777847E-2</v>
      </c>
    </row>
    <row r="7631" spans="7:8" x14ac:dyDescent="0.3">
      <c r="G7631" s="15">
        <v>21.183333333333334</v>
      </c>
      <c r="H7631" s="3">
        <v>4.0239666666666736E-2</v>
      </c>
    </row>
    <row r="7632" spans="7:8" x14ac:dyDescent="0.3">
      <c r="G7632" s="15">
        <v>21.18611111111111</v>
      </c>
      <c r="H7632" s="3">
        <v>4.0239055555555625E-2</v>
      </c>
    </row>
    <row r="7633" spans="7:8" x14ac:dyDescent="0.3">
      <c r="G7633" s="15">
        <v>21.18888888888889</v>
      </c>
      <c r="H7633" s="3">
        <v>4.0238444444444514E-2</v>
      </c>
    </row>
    <row r="7634" spans="7:8" x14ac:dyDescent="0.3">
      <c r="G7634" s="15">
        <v>21.191666666666666</v>
      </c>
      <c r="H7634" s="3">
        <v>4.0237833333333403E-2</v>
      </c>
    </row>
    <row r="7635" spans="7:8" x14ac:dyDescent="0.3">
      <c r="G7635" s="15">
        <v>21.194444444444443</v>
      </c>
      <c r="H7635" s="3">
        <v>4.0237222222222292E-2</v>
      </c>
    </row>
    <row r="7636" spans="7:8" x14ac:dyDescent="0.3">
      <c r="G7636" s="15">
        <v>21.197222222222223</v>
      </c>
      <c r="H7636" s="3">
        <v>4.0236611111111181E-2</v>
      </c>
    </row>
    <row r="7637" spans="7:8" x14ac:dyDescent="0.3">
      <c r="G7637" s="15">
        <v>21.2</v>
      </c>
      <c r="H7637" s="3">
        <v>4.023600000000007E-2</v>
      </c>
    </row>
    <row r="7638" spans="7:8" x14ac:dyDescent="0.3">
      <c r="G7638" s="15">
        <v>21.202777777777779</v>
      </c>
      <c r="H7638" s="3">
        <v>4.0235388888888959E-2</v>
      </c>
    </row>
    <row r="7639" spans="7:8" x14ac:dyDescent="0.3">
      <c r="G7639" s="15">
        <v>21.205555555555556</v>
      </c>
      <c r="H7639" s="3">
        <v>4.0234777777777848E-2</v>
      </c>
    </row>
    <row r="7640" spans="7:8" x14ac:dyDescent="0.3">
      <c r="G7640" s="15">
        <v>21.208333333333332</v>
      </c>
      <c r="H7640" s="3">
        <v>4.0234166666666737E-2</v>
      </c>
    </row>
    <row r="7641" spans="7:8" x14ac:dyDescent="0.3">
      <c r="G7641" s="15">
        <v>21.211111111111112</v>
      </c>
      <c r="H7641" s="3">
        <v>4.0233555555555627E-2</v>
      </c>
    </row>
    <row r="7642" spans="7:8" x14ac:dyDescent="0.3">
      <c r="G7642" s="15">
        <v>21.213888888888889</v>
      </c>
      <c r="H7642" s="3">
        <v>4.0232944444444516E-2</v>
      </c>
    </row>
    <row r="7643" spans="7:8" x14ac:dyDescent="0.3">
      <c r="G7643" s="15">
        <v>21.216666666666665</v>
      </c>
      <c r="H7643" s="3">
        <v>4.0232333333333405E-2</v>
      </c>
    </row>
    <row r="7644" spans="7:8" x14ac:dyDescent="0.3">
      <c r="G7644" s="15">
        <v>21.219444444444445</v>
      </c>
      <c r="H7644" s="3">
        <v>4.0231722222222294E-2</v>
      </c>
    </row>
    <row r="7645" spans="7:8" x14ac:dyDescent="0.3">
      <c r="G7645" s="15">
        <v>21.222222222222221</v>
      </c>
      <c r="H7645" s="3">
        <v>4.0231111111111183E-2</v>
      </c>
    </row>
    <row r="7646" spans="7:8" x14ac:dyDescent="0.3">
      <c r="G7646" s="15">
        <v>21.225000000000001</v>
      </c>
      <c r="H7646" s="3">
        <v>4.0230500000000072E-2</v>
      </c>
    </row>
    <row r="7647" spans="7:8" x14ac:dyDescent="0.3">
      <c r="G7647" s="15">
        <v>21.227777777777778</v>
      </c>
      <c r="H7647" s="3">
        <v>4.0229888888888961E-2</v>
      </c>
    </row>
    <row r="7648" spans="7:8" x14ac:dyDescent="0.3">
      <c r="G7648" s="15">
        <v>21.230555555555554</v>
      </c>
      <c r="H7648" s="3">
        <v>4.022927777777785E-2</v>
      </c>
    </row>
    <row r="7649" spans="7:8" x14ac:dyDescent="0.3">
      <c r="G7649" s="15">
        <v>21.233333333333334</v>
      </c>
      <c r="H7649" s="3">
        <v>4.0228666666666739E-2</v>
      </c>
    </row>
    <row r="7650" spans="7:8" x14ac:dyDescent="0.3">
      <c r="G7650" s="15">
        <v>21.236111111111111</v>
      </c>
      <c r="H7650" s="3">
        <v>4.0228055555555628E-2</v>
      </c>
    </row>
    <row r="7651" spans="7:8" x14ac:dyDescent="0.3">
      <c r="G7651" s="15">
        <v>21.238888888888887</v>
      </c>
      <c r="H7651" s="3">
        <v>4.0227444444444517E-2</v>
      </c>
    </row>
    <row r="7652" spans="7:8" x14ac:dyDescent="0.3">
      <c r="G7652" s="15">
        <v>21.241666666666667</v>
      </c>
      <c r="H7652" s="3">
        <v>4.0226833333333406E-2</v>
      </c>
    </row>
    <row r="7653" spans="7:8" x14ac:dyDescent="0.3">
      <c r="G7653" s="15">
        <v>21.244444444444444</v>
      </c>
      <c r="H7653" s="3">
        <v>4.0226222222222295E-2</v>
      </c>
    </row>
    <row r="7654" spans="7:8" x14ac:dyDescent="0.3">
      <c r="G7654" s="15">
        <v>21.247222222222224</v>
      </c>
      <c r="H7654" s="3">
        <v>4.0225611111111184E-2</v>
      </c>
    </row>
    <row r="7655" spans="7:8" x14ac:dyDescent="0.3">
      <c r="G7655" s="15">
        <v>21.25</v>
      </c>
      <c r="H7655" s="3">
        <v>4.0225000000000073E-2</v>
      </c>
    </row>
    <row r="7656" spans="7:8" x14ac:dyDescent="0.3">
      <c r="G7656" s="15">
        <v>21.252777777777776</v>
      </c>
      <c r="H7656" s="3">
        <v>4.0224388888888962E-2</v>
      </c>
    </row>
    <row r="7657" spans="7:8" x14ac:dyDescent="0.3">
      <c r="G7657" s="15">
        <v>21.255555555555556</v>
      </c>
      <c r="H7657" s="3">
        <v>4.0223777777777851E-2</v>
      </c>
    </row>
    <row r="7658" spans="7:8" x14ac:dyDescent="0.3">
      <c r="G7658" s="15">
        <v>21.258333333333333</v>
      </c>
      <c r="H7658" s="3">
        <v>4.022316666666674E-2</v>
      </c>
    </row>
    <row r="7659" spans="7:8" x14ac:dyDescent="0.3">
      <c r="G7659" s="15">
        <v>21.261111111111113</v>
      </c>
      <c r="H7659" s="3">
        <v>4.0222555555555629E-2</v>
      </c>
    </row>
    <row r="7660" spans="7:8" x14ac:dyDescent="0.3">
      <c r="G7660" s="15">
        <v>21.263888888888889</v>
      </c>
      <c r="H7660" s="3">
        <v>4.0221944444444518E-2</v>
      </c>
    </row>
    <row r="7661" spans="7:8" x14ac:dyDescent="0.3">
      <c r="G7661" s="15">
        <v>21.266666666666666</v>
      </c>
      <c r="H7661" s="3">
        <v>4.0221333333333407E-2</v>
      </c>
    </row>
    <row r="7662" spans="7:8" x14ac:dyDescent="0.3">
      <c r="G7662" s="15">
        <v>21.269444444444446</v>
      </c>
      <c r="H7662" s="3">
        <v>4.0220722222222297E-2</v>
      </c>
    </row>
    <row r="7663" spans="7:8" x14ac:dyDescent="0.3">
      <c r="G7663" s="15">
        <v>21.272222222222222</v>
      </c>
      <c r="H7663" s="3">
        <v>4.0220111111111186E-2</v>
      </c>
    </row>
    <row r="7664" spans="7:8" x14ac:dyDescent="0.3">
      <c r="G7664" s="15">
        <v>21.274999999999999</v>
      </c>
      <c r="H7664" s="3">
        <v>4.0219500000000075E-2</v>
      </c>
    </row>
    <row r="7665" spans="7:8" x14ac:dyDescent="0.3">
      <c r="G7665" s="15">
        <v>21.277777777777779</v>
      </c>
      <c r="H7665" s="3">
        <v>4.0218888888888964E-2</v>
      </c>
    </row>
    <row r="7666" spans="7:8" x14ac:dyDescent="0.3">
      <c r="G7666" s="15">
        <v>21.280555555555555</v>
      </c>
      <c r="H7666" s="3">
        <v>4.0218277777777853E-2</v>
      </c>
    </row>
    <row r="7667" spans="7:8" x14ac:dyDescent="0.3">
      <c r="G7667" s="15">
        <v>21.283333333333335</v>
      </c>
      <c r="H7667" s="3">
        <v>4.0217666666666742E-2</v>
      </c>
    </row>
    <row r="7668" spans="7:8" x14ac:dyDescent="0.3">
      <c r="G7668" s="15">
        <v>21.286111111111111</v>
      </c>
      <c r="H7668" s="3">
        <v>4.0217055555555631E-2</v>
      </c>
    </row>
    <row r="7669" spans="7:8" x14ac:dyDescent="0.3">
      <c r="G7669" s="15">
        <v>21.288888888888888</v>
      </c>
      <c r="H7669" s="3">
        <v>4.021644444444452E-2</v>
      </c>
    </row>
    <row r="7670" spans="7:8" x14ac:dyDescent="0.3">
      <c r="G7670" s="15">
        <v>21.291666666666668</v>
      </c>
      <c r="H7670" s="3">
        <v>4.0215833333333409E-2</v>
      </c>
    </row>
    <row r="7671" spans="7:8" x14ac:dyDescent="0.3">
      <c r="G7671" s="15">
        <v>21.294444444444444</v>
      </c>
      <c r="H7671" s="3">
        <v>4.0215222222222298E-2</v>
      </c>
    </row>
    <row r="7672" spans="7:8" x14ac:dyDescent="0.3">
      <c r="G7672" s="15">
        <v>21.297222222222221</v>
      </c>
      <c r="H7672" s="3">
        <v>4.0214611111111187E-2</v>
      </c>
    </row>
    <row r="7673" spans="7:8" x14ac:dyDescent="0.3">
      <c r="G7673" s="15">
        <v>21.3</v>
      </c>
      <c r="H7673" s="3">
        <v>4.0214000000000076E-2</v>
      </c>
    </row>
    <row r="7674" spans="7:8" x14ac:dyDescent="0.3">
      <c r="G7674" s="15">
        <v>21.302777777777777</v>
      </c>
      <c r="H7674" s="3">
        <v>4.0213388888888965E-2</v>
      </c>
    </row>
    <row r="7675" spans="7:8" x14ac:dyDescent="0.3">
      <c r="G7675" s="15">
        <v>21.305555555555557</v>
      </c>
      <c r="H7675" s="3">
        <v>4.0212777777777854E-2</v>
      </c>
    </row>
    <row r="7676" spans="7:8" x14ac:dyDescent="0.3">
      <c r="G7676" s="15">
        <v>21.308333333333334</v>
      </c>
      <c r="H7676" s="3">
        <v>4.0212166666666743E-2</v>
      </c>
    </row>
    <row r="7677" spans="7:8" x14ac:dyDescent="0.3">
      <c r="G7677" s="15">
        <v>21.31111111111111</v>
      </c>
      <c r="H7677" s="3">
        <v>4.0211555555555632E-2</v>
      </c>
    </row>
    <row r="7678" spans="7:8" x14ac:dyDescent="0.3">
      <c r="G7678" s="15">
        <v>21.31388888888889</v>
      </c>
      <c r="H7678" s="3">
        <v>4.0210944444444521E-2</v>
      </c>
    </row>
    <row r="7679" spans="7:8" x14ac:dyDescent="0.3">
      <c r="G7679" s="15">
        <v>21.316666666666666</v>
      </c>
      <c r="H7679" s="3">
        <v>4.021033333333341E-2</v>
      </c>
    </row>
    <row r="7680" spans="7:8" x14ac:dyDescent="0.3">
      <c r="G7680" s="15">
        <v>21.319444444444443</v>
      </c>
      <c r="H7680" s="3">
        <v>4.0209722222222299E-2</v>
      </c>
    </row>
    <row r="7681" spans="7:8" x14ac:dyDescent="0.3">
      <c r="G7681" s="15">
        <v>21.322222222222223</v>
      </c>
      <c r="H7681" s="3">
        <v>4.0209111111111188E-2</v>
      </c>
    </row>
    <row r="7682" spans="7:8" x14ac:dyDescent="0.3">
      <c r="G7682" s="15">
        <v>21.324999999999999</v>
      </c>
      <c r="H7682" s="3">
        <v>4.0208500000000078E-2</v>
      </c>
    </row>
    <row r="7683" spans="7:8" x14ac:dyDescent="0.3">
      <c r="G7683" s="15">
        <v>21.327777777777779</v>
      </c>
      <c r="H7683" s="3">
        <v>4.0207888888888967E-2</v>
      </c>
    </row>
    <row r="7684" spans="7:8" x14ac:dyDescent="0.3">
      <c r="G7684" s="15">
        <v>21.330555555555556</v>
      </c>
      <c r="H7684" s="3">
        <v>4.0207277777777856E-2</v>
      </c>
    </row>
    <row r="7685" spans="7:8" x14ac:dyDescent="0.3">
      <c r="G7685" s="15">
        <v>21.333333333333332</v>
      </c>
      <c r="H7685" s="3">
        <v>4.0206666666666745E-2</v>
      </c>
    </row>
    <row r="7686" spans="7:8" x14ac:dyDescent="0.3">
      <c r="G7686" s="15">
        <v>21.336111111111112</v>
      </c>
      <c r="H7686" s="3">
        <v>4.0206055555555634E-2</v>
      </c>
    </row>
    <row r="7687" spans="7:8" x14ac:dyDescent="0.3">
      <c r="G7687" s="15">
        <v>21.338888888888889</v>
      </c>
      <c r="H7687" s="3">
        <v>4.0205444444444523E-2</v>
      </c>
    </row>
    <row r="7688" spans="7:8" x14ac:dyDescent="0.3">
      <c r="G7688" s="15">
        <v>21.341666666666665</v>
      </c>
      <c r="H7688" s="3">
        <v>4.0204833333333412E-2</v>
      </c>
    </row>
    <row r="7689" spans="7:8" x14ac:dyDescent="0.3">
      <c r="G7689" s="15">
        <v>21.344444444444445</v>
      </c>
      <c r="H7689" s="3">
        <v>4.0204222222222301E-2</v>
      </c>
    </row>
    <row r="7690" spans="7:8" x14ac:dyDescent="0.3">
      <c r="G7690" s="15">
        <v>21.347222222222221</v>
      </c>
      <c r="H7690" s="3">
        <v>4.020361111111119E-2</v>
      </c>
    </row>
    <row r="7691" spans="7:8" x14ac:dyDescent="0.3">
      <c r="G7691" s="15">
        <v>21.35</v>
      </c>
      <c r="H7691" s="3">
        <v>4.0203000000000079E-2</v>
      </c>
    </row>
    <row r="7692" spans="7:8" x14ac:dyDescent="0.3">
      <c r="G7692" s="15">
        <v>21.352777777777778</v>
      </c>
      <c r="H7692" s="3">
        <v>4.0202388888888968E-2</v>
      </c>
    </row>
    <row r="7693" spans="7:8" x14ac:dyDescent="0.3">
      <c r="G7693" s="15">
        <v>21.355555555555554</v>
      </c>
      <c r="H7693" s="3">
        <v>4.0201777777777857E-2</v>
      </c>
    </row>
    <row r="7694" spans="7:8" x14ac:dyDescent="0.3">
      <c r="G7694" s="15">
        <v>21.358333333333334</v>
      </c>
      <c r="H7694" s="3">
        <v>4.0201166666666746E-2</v>
      </c>
    </row>
    <row r="7695" spans="7:8" x14ac:dyDescent="0.3">
      <c r="G7695" s="15">
        <v>21.361111111111111</v>
      </c>
      <c r="H7695" s="3">
        <v>4.0200555555555635E-2</v>
      </c>
    </row>
    <row r="7696" spans="7:8" x14ac:dyDescent="0.3">
      <c r="G7696" s="15">
        <v>21.363888888888887</v>
      </c>
      <c r="H7696" s="3">
        <v>4.0199944444444524E-2</v>
      </c>
    </row>
    <row r="7697" spans="7:8" x14ac:dyDescent="0.3">
      <c r="G7697" s="15">
        <v>21.366666666666667</v>
      </c>
      <c r="H7697" s="3">
        <v>4.0199333333333413E-2</v>
      </c>
    </row>
    <row r="7698" spans="7:8" x14ac:dyDescent="0.3">
      <c r="G7698" s="15">
        <v>21.369444444444444</v>
      </c>
      <c r="H7698" s="3">
        <v>4.0198722222222302E-2</v>
      </c>
    </row>
    <row r="7699" spans="7:8" x14ac:dyDescent="0.3">
      <c r="G7699" s="15">
        <v>21.372222222222224</v>
      </c>
      <c r="H7699" s="3">
        <v>4.0198111111111191E-2</v>
      </c>
    </row>
    <row r="7700" spans="7:8" x14ac:dyDescent="0.3">
      <c r="G7700" s="15">
        <v>21.375</v>
      </c>
      <c r="H7700" s="3">
        <v>4.019750000000008E-2</v>
      </c>
    </row>
    <row r="7701" spans="7:8" x14ac:dyDescent="0.3">
      <c r="G7701" s="15">
        <v>21.377777777777776</v>
      </c>
      <c r="H7701" s="3">
        <v>4.0196888888888969E-2</v>
      </c>
    </row>
    <row r="7702" spans="7:8" x14ac:dyDescent="0.3">
      <c r="G7702" s="15">
        <v>21.380555555555556</v>
      </c>
      <c r="H7702" s="3">
        <v>4.0196277777777858E-2</v>
      </c>
    </row>
    <row r="7703" spans="7:8" x14ac:dyDescent="0.3">
      <c r="G7703" s="15">
        <v>21.383333333333333</v>
      </c>
      <c r="H7703" s="3">
        <v>4.0195666666666748E-2</v>
      </c>
    </row>
    <row r="7704" spans="7:8" x14ac:dyDescent="0.3">
      <c r="G7704" s="15">
        <v>21.386111111111113</v>
      </c>
      <c r="H7704" s="3">
        <v>4.0195055555555637E-2</v>
      </c>
    </row>
    <row r="7705" spans="7:8" x14ac:dyDescent="0.3">
      <c r="G7705" s="15">
        <v>21.388888888888889</v>
      </c>
      <c r="H7705" s="3">
        <v>4.0194444444444526E-2</v>
      </c>
    </row>
    <row r="7706" spans="7:8" x14ac:dyDescent="0.3">
      <c r="G7706" s="15">
        <v>21.391666666666666</v>
      </c>
      <c r="H7706" s="3">
        <v>4.0193833333333415E-2</v>
      </c>
    </row>
    <row r="7707" spans="7:8" x14ac:dyDescent="0.3">
      <c r="G7707" s="15">
        <v>21.394444444444446</v>
      </c>
      <c r="H7707" s="3">
        <v>4.0193222222222304E-2</v>
      </c>
    </row>
    <row r="7708" spans="7:8" x14ac:dyDescent="0.3">
      <c r="G7708" s="15">
        <v>21.397222222222222</v>
      </c>
      <c r="H7708" s="3">
        <v>4.0192611111111193E-2</v>
      </c>
    </row>
    <row r="7709" spans="7:8" x14ac:dyDescent="0.3">
      <c r="G7709" s="15">
        <v>21.4</v>
      </c>
      <c r="H7709" s="3">
        <v>4.0192000000000082E-2</v>
      </c>
    </row>
    <row r="7710" spans="7:8" x14ac:dyDescent="0.3">
      <c r="G7710" s="15">
        <v>21.402777777777779</v>
      </c>
      <c r="H7710" s="3">
        <v>4.0191388888888971E-2</v>
      </c>
    </row>
    <row r="7711" spans="7:8" x14ac:dyDescent="0.3">
      <c r="G7711" s="15">
        <v>21.405555555555555</v>
      </c>
      <c r="H7711" s="3">
        <v>4.019077777777786E-2</v>
      </c>
    </row>
    <row r="7712" spans="7:8" x14ac:dyDescent="0.3">
      <c r="G7712" s="15">
        <v>21.408333333333335</v>
      </c>
      <c r="H7712" s="3">
        <v>4.0190166666666749E-2</v>
      </c>
    </row>
    <row r="7713" spans="7:8" x14ac:dyDescent="0.3">
      <c r="G7713" s="15">
        <v>21.411111111111111</v>
      </c>
      <c r="H7713" s="3">
        <v>4.0189555555555638E-2</v>
      </c>
    </row>
    <row r="7714" spans="7:8" x14ac:dyDescent="0.3">
      <c r="G7714" s="15">
        <v>21.413888888888888</v>
      </c>
      <c r="H7714" s="3">
        <v>4.0188944444444527E-2</v>
      </c>
    </row>
    <row r="7715" spans="7:8" x14ac:dyDescent="0.3">
      <c r="G7715" s="15">
        <v>21.416666666666668</v>
      </c>
      <c r="H7715" s="3">
        <v>4.0188333333333416E-2</v>
      </c>
    </row>
    <row r="7716" spans="7:8" x14ac:dyDescent="0.3">
      <c r="G7716" s="15">
        <v>21.419444444444444</v>
      </c>
      <c r="H7716" s="3">
        <v>4.0187722222222305E-2</v>
      </c>
    </row>
    <row r="7717" spans="7:8" x14ac:dyDescent="0.3">
      <c r="G7717" s="15">
        <v>21.422222222222221</v>
      </c>
      <c r="H7717" s="3">
        <v>4.0187111111111194E-2</v>
      </c>
    </row>
    <row r="7718" spans="7:8" x14ac:dyDescent="0.3">
      <c r="G7718" s="15">
        <v>21.425000000000001</v>
      </c>
      <c r="H7718" s="3">
        <v>4.0186500000000083E-2</v>
      </c>
    </row>
    <row r="7719" spans="7:8" x14ac:dyDescent="0.3">
      <c r="G7719" s="15">
        <v>21.427777777777777</v>
      </c>
      <c r="H7719" s="3">
        <v>4.0185888888888972E-2</v>
      </c>
    </row>
    <row r="7720" spans="7:8" x14ac:dyDescent="0.3">
      <c r="G7720" s="15">
        <v>21.430555555555557</v>
      </c>
      <c r="H7720" s="3">
        <v>4.0185277777777861E-2</v>
      </c>
    </row>
    <row r="7721" spans="7:8" x14ac:dyDescent="0.3">
      <c r="G7721" s="15">
        <v>21.433333333333334</v>
      </c>
      <c r="H7721" s="3">
        <v>4.018466666666675E-2</v>
      </c>
    </row>
    <row r="7722" spans="7:8" x14ac:dyDescent="0.3">
      <c r="G7722" s="15">
        <v>21.43611111111111</v>
      </c>
      <c r="H7722" s="3">
        <v>4.0184055555555639E-2</v>
      </c>
    </row>
    <row r="7723" spans="7:8" x14ac:dyDescent="0.3">
      <c r="G7723" s="15">
        <v>21.43888888888889</v>
      </c>
      <c r="H7723" s="3">
        <v>4.0183444444444529E-2</v>
      </c>
    </row>
    <row r="7724" spans="7:8" x14ac:dyDescent="0.3">
      <c r="G7724" s="15">
        <v>21.441666666666666</v>
      </c>
      <c r="H7724" s="3">
        <v>4.0182833333333418E-2</v>
      </c>
    </row>
    <row r="7725" spans="7:8" x14ac:dyDescent="0.3">
      <c r="G7725" s="15">
        <v>21.444444444444443</v>
      </c>
      <c r="H7725" s="3">
        <v>4.0182222222222307E-2</v>
      </c>
    </row>
    <row r="7726" spans="7:8" x14ac:dyDescent="0.3">
      <c r="G7726" s="15">
        <v>21.447222222222223</v>
      </c>
      <c r="H7726" s="3">
        <v>4.0181611111111196E-2</v>
      </c>
    </row>
    <row r="7727" spans="7:8" x14ac:dyDescent="0.3">
      <c r="G7727" s="15">
        <v>21.45</v>
      </c>
      <c r="H7727" s="3">
        <v>4.0181000000000085E-2</v>
      </c>
    </row>
    <row r="7728" spans="7:8" x14ac:dyDescent="0.3">
      <c r="G7728" s="15">
        <v>21.452777777777779</v>
      </c>
      <c r="H7728" s="3">
        <v>4.0180388888888974E-2</v>
      </c>
    </row>
    <row r="7729" spans="7:8" x14ac:dyDescent="0.3">
      <c r="G7729" s="15">
        <v>21.455555555555556</v>
      </c>
      <c r="H7729" s="3">
        <v>4.0179777777777863E-2</v>
      </c>
    </row>
    <row r="7730" spans="7:8" x14ac:dyDescent="0.3">
      <c r="G7730" s="15">
        <v>21.458333333333332</v>
      </c>
      <c r="H7730" s="3">
        <v>4.0179166666666752E-2</v>
      </c>
    </row>
    <row r="7731" spans="7:8" x14ac:dyDescent="0.3">
      <c r="G7731" s="15">
        <v>21.461111111111112</v>
      </c>
      <c r="H7731" s="3">
        <v>4.0178555555555641E-2</v>
      </c>
    </row>
    <row r="7732" spans="7:8" x14ac:dyDescent="0.3">
      <c r="G7732" s="15">
        <v>21.463888888888889</v>
      </c>
      <c r="H7732" s="3">
        <v>4.017794444444453E-2</v>
      </c>
    </row>
    <row r="7733" spans="7:8" x14ac:dyDescent="0.3">
      <c r="G7733" s="15">
        <v>21.466666666666665</v>
      </c>
      <c r="H7733" s="3">
        <v>4.0177333333333419E-2</v>
      </c>
    </row>
    <row r="7734" spans="7:8" x14ac:dyDescent="0.3">
      <c r="G7734" s="15">
        <v>21.469444444444445</v>
      </c>
      <c r="H7734" s="3">
        <v>4.0176722222222308E-2</v>
      </c>
    </row>
    <row r="7735" spans="7:8" x14ac:dyDescent="0.3">
      <c r="G7735" s="15">
        <v>21.472222222222221</v>
      </c>
      <c r="H7735" s="3">
        <v>4.0176111111111197E-2</v>
      </c>
    </row>
    <row r="7736" spans="7:8" x14ac:dyDescent="0.3">
      <c r="G7736" s="15">
        <v>21.475000000000001</v>
      </c>
      <c r="H7736" s="3">
        <v>4.0175500000000086E-2</v>
      </c>
    </row>
    <row r="7737" spans="7:8" x14ac:dyDescent="0.3">
      <c r="G7737" s="15">
        <v>21.477777777777778</v>
      </c>
      <c r="H7737" s="3">
        <v>4.0174888888888975E-2</v>
      </c>
    </row>
    <row r="7738" spans="7:8" x14ac:dyDescent="0.3">
      <c r="G7738" s="15">
        <v>21.480555555555554</v>
      </c>
      <c r="H7738" s="3">
        <v>4.0174277777777864E-2</v>
      </c>
    </row>
    <row r="7739" spans="7:8" x14ac:dyDescent="0.3">
      <c r="G7739" s="15">
        <v>21.483333333333334</v>
      </c>
      <c r="H7739" s="3">
        <v>4.0173666666666753E-2</v>
      </c>
    </row>
    <row r="7740" spans="7:8" x14ac:dyDescent="0.3">
      <c r="G7740" s="15">
        <v>21.486111111111111</v>
      </c>
      <c r="H7740" s="3">
        <v>4.0173055555555642E-2</v>
      </c>
    </row>
    <row r="7741" spans="7:8" x14ac:dyDescent="0.3">
      <c r="G7741" s="15">
        <v>21.488888888888887</v>
      </c>
      <c r="H7741" s="3">
        <v>4.0172444444444531E-2</v>
      </c>
    </row>
    <row r="7742" spans="7:8" x14ac:dyDescent="0.3">
      <c r="G7742" s="15">
        <v>21.491666666666667</v>
      </c>
      <c r="H7742" s="3">
        <v>4.017183333333342E-2</v>
      </c>
    </row>
    <row r="7743" spans="7:8" x14ac:dyDescent="0.3">
      <c r="G7743" s="15">
        <v>21.494444444444444</v>
      </c>
      <c r="H7743" s="3">
        <v>4.0171222222222309E-2</v>
      </c>
    </row>
    <row r="7744" spans="7:8" x14ac:dyDescent="0.3">
      <c r="G7744" s="15">
        <v>21.497222222222224</v>
      </c>
      <c r="H7744" s="3">
        <v>4.0170611111111199E-2</v>
      </c>
    </row>
    <row r="7745" spans="7:8" x14ac:dyDescent="0.3">
      <c r="G7745" s="15">
        <v>21.5</v>
      </c>
      <c r="H7745" s="3">
        <v>4.0170000000000088E-2</v>
      </c>
    </row>
    <row r="7746" spans="7:8" x14ac:dyDescent="0.3">
      <c r="G7746" s="15">
        <v>21.502777777777776</v>
      </c>
      <c r="H7746" s="3">
        <v>4.0169388888888977E-2</v>
      </c>
    </row>
    <row r="7747" spans="7:8" x14ac:dyDescent="0.3">
      <c r="G7747" s="15">
        <v>21.505555555555556</v>
      </c>
      <c r="H7747" s="3">
        <v>4.0168777777777866E-2</v>
      </c>
    </row>
    <row r="7748" spans="7:8" x14ac:dyDescent="0.3">
      <c r="G7748" s="15">
        <v>21.508333333333333</v>
      </c>
      <c r="H7748" s="3">
        <v>4.0168166666666755E-2</v>
      </c>
    </row>
    <row r="7749" spans="7:8" x14ac:dyDescent="0.3">
      <c r="G7749" s="15">
        <v>21.511111111111113</v>
      </c>
      <c r="H7749" s="3">
        <v>4.0167555555555644E-2</v>
      </c>
    </row>
    <row r="7750" spans="7:8" x14ac:dyDescent="0.3">
      <c r="G7750" s="15">
        <v>21.513888888888889</v>
      </c>
      <c r="H7750" s="3">
        <v>4.0166944444444533E-2</v>
      </c>
    </row>
    <row r="7751" spans="7:8" x14ac:dyDescent="0.3">
      <c r="G7751" s="15">
        <v>21.516666666666666</v>
      </c>
      <c r="H7751" s="3">
        <v>4.0166333333333422E-2</v>
      </c>
    </row>
    <row r="7752" spans="7:8" x14ac:dyDescent="0.3">
      <c r="G7752" s="15">
        <v>21.519444444444446</v>
      </c>
      <c r="H7752" s="3">
        <v>4.0165722222222311E-2</v>
      </c>
    </row>
    <row r="7753" spans="7:8" x14ac:dyDescent="0.3">
      <c r="G7753" s="15">
        <v>21.522222222222222</v>
      </c>
      <c r="H7753" s="3">
        <v>4.01651111111112E-2</v>
      </c>
    </row>
    <row r="7754" spans="7:8" x14ac:dyDescent="0.3">
      <c r="G7754" s="15">
        <v>21.524999999999999</v>
      </c>
      <c r="H7754" s="3">
        <v>4.0164500000000089E-2</v>
      </c>
    </row>
    <row r="7755" spans="7:8" x14ac:dyDescent="0.3">
      <c r="G7755" s="15">
        <v>21.527777777777779</v>
      </c>
      <c r="H7755" s="3">
        <v>4.0163888888888978E-2</v>
      </c>
    </row>
    <row r="7756" spans="7:8" x14ac:dyDescent="0.3">
      <c r="G7756" s="15">
        <v>21.530555555555555</v>
      </c>
      <c r="H7756" s="3">
        <v>4.0163277777777867E-2</v>
      </c>
    </row>
    <row r="7757" spans="7:8" x14ac:dyDescent="0.3">
      <c r="G7757" s="15">
        <v>21.533333333333335</v>
      </c>
      <c r="H7757" s="3">
        <v>4.0162666666666756E-2</v>
      </c>
    </row>
    <row r="7758" spans="7:8" x14ac:dyDescent="0.3">
      <c r="G7758" s="15">
        <v>21.536111111111111</v>
      </c>
      <c r="H7758" s="3">
        <v>4.0162055555555645E-2</v>
      </c>
    </row>
    <row r="7759" spans="7:8" x14ac:dyDescent="0.3">
      <c r="G7759" s="15">
        <v>21.538888888888888</v>
      </c>
      <c r="H7759" s="3">
        <v>4.0161444444444534E-2</v>
      </c>
    </row>
    <row r="7760" spans="7:8" x14ac:dyDescent="0.3">
      <c r="G7760" s="15">
        <v>21.541666666666668</v>
      </c>
      <c r="H7760" s="3">
        <v>4.0160833333333423E-2</v>
      </c>
    </row>
    <row r="7761" spans="7:8" x14ac:dyDescent="0.3">
      <c r="G7761" s="15">
        <v>21.544444444444444</v>
      </c>
      <c r="H7761" s="3">
        <v>4.0160222222222312E-2</v>
      </c>
    </row>
    <row r="7762" spans="7:8" x14ac:dyDescent="0.3">
      <c r="G7762" s="15">
        <v>21.547222222222221</v>
      </c>
      <c r="H7762" s="3">
        <v>4.0159611111111201E-2</v>
      </c>
    </row>
    <row r="7763" spans="7:8" x14ac:dyDescent="0.3">
      <c r="G7763" s="15">
        <v>21.55</v>
      </c>
      <c r="H7763" s="3">
        <v>4.015900000000009E-2</v>
      </c>
    </row>
    <row r="7764" spans="7:8" x14ac:dyDescent="0.3">
      <c r="G7764" s="15">
        <v>21.552777777777777</v>
      </c>
      <c r="H7764" s="3">
        <v>4.015838888888898E-2</v>
      </c>
    </row>
    <row r="7765" spans="7:8" x14ac:dyDescent="0.3">
      <c r="G7765" s="15">
        <v>21.555555555555557</v>
      </c>
      <c r="H7765" s="3">
        <v>4.0157777777777869E-2</v>
      </c>
    </row>
    <row r="7766" spans="7:8" x14ac:dyDescent="0.3">
      <c r="G7766" s="15">
        <v>21.558333333333334</v>
      </c>
      <c r="H7766" s="3">
        <v>4.0157166666666758E-2</v>
      </c>
    </row>
    <row r="7767" spans="7:8" x14ac:dyDescent="0.3">
      <c r="G7767" s="15">
        <v>21.56111111111111</v>
      </c>
      <c r="H7767" s="3">
        <v>4.0156555555555647E-2</v>
      </c>
    </row>
    <row r="7768" spans="7:8" x14ac:dyDescent="0.3">
      <c r="G7768" s="15">
        <v>21.56388888888889</v>
      </c>
      <c r="H7768" s="3">
        <v>4.0155944444444536E-2</v>
      </c>
    </row>
    <row r="7769" spans="7:8" x14ac:dyDescent="0.3">
      <c r="G7769" s="15">
        <v>21.566666666666666</v>
      </c>
      <c r="H7769" s="3">
        <v>4.0155333333333425E-2</v>
      </c>
    </row>
    <row r="7770" spans="7:8" x14ac:dyDescent="0.3">
      <c r="G7770" s="15">
        <v>21.569444444444443</v>
      </c>
      <c r="H7770" s="3">
        <v>4.0154722222222314E-2</v>
      </c>
    </row>
    <row r="7771" spans="7:8" x14ac:dyDescent="0.3">
      <c r="G7771" s="15">
        <v>21.572222222222223</v>
      </c>
      <c r="H7771" s="3">
        <v>4.0154111111111203E-2</v>
      </c>
    </row>
    <row r="7772" spans="7:8" x14ac:dyDescent="0.3">
      <c r="G7772" s="15">
        <v>21.574999999999999</v>
      </c>
      <c r="H7772" s="3">
        <v>4.0153500000000092E-2</v>
      </c>
    </row>
    <row r="7773" spans="7:8" x14ac:dyDescent="0.3">
      <c r="G7773" s="15">
        <v>21.577777777777779</v>
      </c>
      <c r="H7773" s="3">
        <v>4.0152888888888981E-2</v>
      </c>
    </row>
    <row r="7774" spans="7:8" x14ac:dyDescent="0.3">
      <c r="G7774" s="15">
        <v>21.580555555555556</v>
      </c>
      <c r="H7774" s="3">
        <v>4.015227777777787E-2</v>
      </c>
    </row>
    <row r="7775" spans="7:8" x14ac:dyDescent="0.3">
      <c r="G7775" s="15">
        <v>21.583333333333332</v>
      </c>
      <c r="H7775" s="3">
        <v>4.0151666666666759E-2</v>
      </c>
    </row>
    <row r="7776" spans="7:8" x14ac:dyDescent="0.3">
      <c r="G7776" s="15">
        <v>21.586111111111112</v>
      </c>
      <c r="H7776" s="3">
        <v>4.0151055555555648E-2</v>
      </c>
    </row>
    <row r="7777" spans="7:8" x14ac:dyDescent="0.3">
      <c r="G7777" s="15">
        <v>21.588888888888889</v>
      </c>
      <c r="H7777" s="3">
        <v>4.0150444444444537E-2</v>
      </c>
    </row>
    <row r="7778" spans="7:8" x14ac:dyDescent="0.3">
      <c r="G7778" s="15">
        <v>21.591666666666665</v>
      </c>
      <c r="H7778" s="3">
        <v>4.0149833333333426E-2</v>
      </c>
    </row>
    <row r="7779" spans="7:8" x14ac:dyDescent="0.3">
      <c r="G7779" s="15">
        <v>21.594444444444445</v>
      </c>
      <c r="H7779" s="3">
        <v>4.0149222222222315E-2</v>
      </c>
    </row>
    <row r="7780" spans="7:8" x14ac:dyDescent="0.3">
      <c r="G7780" s="15">
        <v>21.597222222222221</v>
      </c>
      <c r="H7780" s="3">
        <v>4.0148611111111204E-2</v>
      </c>
    </row>
    <row r="7781" spans="7:8" x14ac:dyDescent="0.3">
      <c r="G7781" s="15">
        <v>21.6</v>
      </c>
      <c r="H7781" s="3">
        <v>4.0148000000000093E-2</v>
      </c>
    </row>
    <row r="7782" spans="7:8" x14ac:dyDescent="0.3">
      <c r="G7782" s="15">
        <v>21.602777777777778</v>
      </c>
      <c r="H7782" s="3">
        <v>4.0147388888888982E-2</v>
      </c>
    </row>
    <row r="7783" spans="7:8" x14ac:dyDescent="0.3">
      <c r="G7783" s="15">
        <v>21.605555555555554</v>
      </c>
      <c r="H7783" s="3">
        <v>4.0146777777777871E-2</v>
      </c>
    </row>
    <row r="7784" spans="7:8" x14ac:dyDescent="0.3">
      <c r="G7784" s="15">
        <v>21.608333333333334</v>
      </c>
      <c r="H7784" s="3">
        <v>4.014616666666676E-2</v>
      </c>
    </row>
    <row r="7785" spans="7:8" x14ac:dyDescent="0.3">
      <c r="G7785" s="15">
        <v>21.611111111111111</v>
      </c>
      <c r="H7785" s="3">
        <v>4.014555555555565E-2</v>
      </c>
    </row>
    <row r="7786" spans="7:8" x14ac:dyDescent="0.3">
      <c r="G7786" s="15">
        <v>21.613888888888887</v>
      </c>
      <c r="H7786" s="3">
        <v>4.0144944444444539E-2</v>
      </c>
    </row>
    <row r="7787" spans="7:8" x14ac:dyDescent="0.3">
      <c r="G7787" s="15">
        <v>21.616666666666667</v>
      </c>
      <c r="H7787" s="3">
        <v>4.0144333333333428E-2</v>
      </c>
    </row>
    <row r="7788" spans="7:8" x14ac:dyDescent="0.3">
      <c r="G7788" s="15">
        <v>21.619444444444444</v>
      </c>
      <c r="H7788" s="3">
        <v>4.0143722222222317E-2</v>
      </c>
    </row>
    <row r="7789" spans="7:8" x14ac:dyDescent="0.3">
      <c r="G7789" s="15">
        <v>21.622222222222224</v>
      </c>
      <c r="H7789" s="3">
        <v>4.0143111111111206E-2</v>
      </c>
    </row>
    <row r="7790" spans="7:8" x14ac:dyDescent="0.3">
      <c r="G7790" s="15">
        <v>21.625</v>
      </c>
      <c r="H7790" s="3">
        <v>4.0142500000000095E-2</v>
      </c>
    </row>
    <row r="7791" spans="7:8" x14ac:dyDescent="0.3">
      <c r="G7791" s="15">
        <v>21.627777777777776</v>
      </c>
      <c r="H7791" s="3">
        <v>4.0141888888888984E-2</v>
      </c>
    </row>
    <row r="7792" spans="7:8" x14ac:dyDescent="0.3">
      <c r="G7792" s="15">
        <v>21.630555555555556</v>
      </c>
      <c r="H7792" s="3">
        <v>4.0141277777777873E-2</v>
      </c>
    </row>
    <row r="7793" spans="7:8" x14ac:dyDescent="0.3">
      <c r="G7793" s="15">
        <v>21.633333333333333</v>
      </c>
      <c r="H7793" s="3">
        <v>4.0140666666666762E-2</v>
      </c>
    </row>
    <row r="7794" spans="7:8" x14ac:dyDescent="0.3">
      <c r="G7794" s="15">
        <v>21.636111111111113</v>
      </c>
      <c r="H7794" s="3">
        <v>4.0140055555555651E-2</v>
      </c>
    </row>
    <row r="7795" spans="7:8" x14ac:dyDescent="0.3">
      <c r="G7795" s="15">
        <v>21.638888888888889</v>
      </c>
      <c r="H7795" s="3">
        <v>4.013944444444454E-2</v>
      </c>
    </row>
    <row r="7796" spans="7:8" x14ac:dyDescent="0.3">
      <c r="G7796" s="15">
        <v>21.641666666666666</v>
      </c>
      <c r="H7796" s="3">
        <v>4.0138833333333429E-2</v>
      </c>
    </row>
    <row r="7797" spans="7:8" x14ac:dyDescent="0.3">
      <c r="G7797" s="15">
        <v>21.644444444444446</v>
      </c>
      <c r="H7797" s="3">
        <v>4.0138222222222318E-2</v>
      </c>
    </row>
    <row r="7798" spans="7:8" x14ac:dyDescent="0.3">
      <c r="G7798" s="15">
        <v>21.647222222222222</v>
      </c>
      <c r="H7798" s="3">
        <v>4.0137611111111207E-2</v>
      </c>
    </row>
    <row r="7799" spans="7:8" x14ac:dyDescent="0.3">
      <c r="G7799" s="15">
        <v>21.65</v>
      </c>
      <c r="H7799" s="3">
        <v>4.0137000000000096E-2</v>
      </c>
    </row>
    <row r="7800" spans="7:8" x14ac:dyDescent="0.3">
      <c r="G7800" s="15">
        <v>21.652777777777779</v>
      </c>
      <c r="H7800" s="3">
        <v>4.0136388888888985E-2</v>
      </c>
    </row>
    <row r="7801" spans="7:8" x14ac:dyDescent="0.3">
      <c r="G7801" s="15">
        <v>21.655555555555555</v>
      </c>
      <c r="H7801" s="3">
        <v>4.0135777777777874E-2</v>
      </c>
    </row>
    <row r="7802" spans="7:8" x14ac:dyDescent="0.3">
      <c r="G7802" s="15">
        <v>21.658333333333335</v>
      </c>
      <c r="H7802" s="3">
        <v>4.0135166666666763E-2</v>
      </c>
    </row>
    <row r="7803" spans="7:8" x14ac:dyDescent="0.3">
      <c r="G7803" s="15">
        <v>21.661111111111111</v>
      </c>
      <c r="H7803" s="3">
        <v>4.0134555555555652E-2</v>
      </c>
    </row>
    <row r="7804" spans="7:8" x14ac:dyDescent="0.3">
      <c r="G7804" s="15">
        <v>21.663888888888888</v>
      </c>
      <c r="H7804" s="3">
        <v>4.0133944444444541E-2</v>
      </c>
    </row>
    <row r="7805" spans="7:8" x14ac:dyDescent="0.3">
      <c r="G7805" s="15">
        <v>21.666666666666668</v>
      </c>
      <c r="H7805" s="3">
        <v>4.0133333333333431E-2</v>
      </c>
    </row>
    <row r="7806" spans="7:8" x14ac:dyDescent="0.3">
      <c r="G7806" s="15">
        <v>21.669444444444444</v>
      </c>
      <c r="H7806" s="3">
        <v>4.013272222222232E-2</v>
      </c>
    </row>
    <row r="7807" spans="7:8" x14ac:dyDescent="0.3">
      <c r="G7807" s="15">
        <v>21.672222222222221</v>
      </c>
      <c r="H7807" s="3">
        <v>4.0132111111111209E-2</v>
      </c>
    </row>
    <row r="7808" spans="7:8" x14ac:dyDescent="0.3">
      <c r="G7808" s="15">
        <v>21.675000000000001</v>
      </c>
      <c r="H7808" s="3">
        <v>4.0131500000000098E-2</v>
      </c>
    </row>
    <row r="7809" spans="7:8" x14ac:dyDescent="0.3">
      <c r="G7809" s="15">
        <v>21.677777777777777</v>
      </c>
      <c r="H7809" s="3">
        <v>4.0130888888888987E-2</v>
      </c>
    </row>
    <row r="7810" spans="7:8" x14ac:dyDescent="0.3">
      <c r="G7810" s="15">
        <v>21.680555555555557</v>
      </c>
      <c r="H7810" s="3">
        <v>4.0130277777777876E-2</v>
      </c>
    </row>
    <row r="7811" spans="7:8" x14ac:dyDescent="0.3">
      <c r="G7811" s="15">
        <v>21.683333333333334</v>
      </c>
      <c r="H7811" s="3">
        <v>4.0129666666666765E-2</v>
      </c>
    </row>
    <row r="7812" spans="7:8" x14ac:dyDescent="0.3">
      <c r="G7812" s="15">
        <v>21.68611111111111</v>
      </c>
      <c r="H7812" s="3">
        <v>4.0129055555555654E-2</v>
      </c>
    </row>
    <row r="7813" spans="7:8" x14ac:dyDescent="0.3">
      <c r="G7813" s="15">
        <v>21.68888888888889</v>
      </c>
      <c r="H7813" s="3">
        <v>4.0128444444444543E-2</v>
      </c>
    </row>
    <row r="7814" spans="7:8" x14ac:dyDescent="0.3">
      <c r="G7814" s="15">
        <v>21.691666666666666</v>
      </c>
      <c r="H7814" s="3">
        <v>4.0127833333333432E-2</v>
      </c>
    </row>
    <row r="7815" spans="7:8" x14ac:dyDescent="0.3">
      <c r="G7815" s="15">
        <v>21.694444444444443</v>
      </c>
      <c r="H7815" s="3">
        <v>4.0127222222222321E-2</v>
      </c>
    </row>
    <row r="7816" spans="7:8" x14ac:dyDescent="0.3">
      <c r="G7816" s="15">
        <v>21.697222222222223</v>
      </c>
      <c r="H7816" s="3">
        <v>4.012661111111121E-2</v>
      </c>
    </row>
    <row r="7817" spans="7:8" x14ac:dyDescent="0.3">
      <c r="G7817" s="15">
        <v>21.7</v>
      </c>
      <c r="H7817" s="3">
        <v>4.0126000000000099E-2</v>
      </c>
    </row>
    <row r="7818" spans="7:8" x14ac:dyDescent="0.3">
      <c r="G7818" s="15">
        <v>21.702777777777779</v>
      </c>
      <c r="H7818" s="3">
        <v>4.0125388888888988E-2</v>
      </c>
    </row>
    <row r="7819" spans="7:8" x14ac:dyDescent="0.3">
      <c r="G7819" s="15">
        <v>21.705555555555556</v>
      </c>
      <c r="H7819" s="3">
        <v>4.0124777777777877E-2</v>
      </c>
    </row>
    <row r="7820" spans="7:8" x14ac:dyDescent="0.3">
      <c r="G7820" s="15">
        <v>21.708333333333332</v>
      </c>
      <c r="H7820" s="3">
        <v>4.0124166666666766E-2</v>
      </c>
    </row>
    <row r="7821" spans="7:8" x14ac:dyDescent="0.3">
      <c r="G7821" s="15">
        <v>21.711111111111112</v>
      </c>
      <c r="H7821" s="3">
        <v>4.0123555555555655E-2</v>
      </c>
    </row>
    <row r="7822" spans="7:8" x14ac:dyDescent="0.3">
      <c r="G7822" s="15">
        <v>21.713888888888889</v>
      </c>
      <c r="H7822" s="3">
        <v>4.0122944444444544E-2</v>
      </c>
    </row>
    <row r="7823" spans="7:8" x14ac:dyDescent="0.3">
      <c r="G7823" s="15">
        <v>21.716666666666665</v>
      </c>
      <c r="H7823" s="3">
        <v>4.0122333333333433E-2</v>
      </c>
    </row>
    <row r="7824" spans="7:8" x14ac:dyDescent="0.3">
      <c r="G7824" s="15">
        <v>21.719444444444445</v>
      </c>
      <c r="H7824" s="3">
        <v>4.0121722222222322E-2</v>
      </c>
    </row>
    <row r="7825" spans="7:8" x14ac:dyDescent="0.3">
      <c r="G7825" s="15">
        <v>21.722222222222221</v>
      </c>
      <c r="H7825" s="3">
        <v>4.0121111111111211E-2</v>
      </c>
    </row>
    <row r="7826" spans="7:8" x14ac:dyDescent="0.3">
      <c r="G7826" s="15">
        <v>21.725000000000001</v>
      </c>
      <c r="H7826" s="3">
        <v>4.0120500000000101E-2</v>
      </c>
    </row>
    <row r="7827" spans="7:8" x14ac:dyDescent="0.3">
      <c r="G7827" s="15">
        <v>21.727777777777778</v>
      </c>
      <c r="H7827" s="3">
        <v>4.011988888888899E-2</v>
      </c>
    </row>
    <row r="7828" spans="7:8" x14ac:dyDescent="0.3">
      <c r="G7828" s="15">
        <v>21.730555555555554</v>
      </c>
      <c r="H7828" s="3">
        <v>4.0119277777777879E-2</v>
      </c>
    </row>
    <row r="7829" spans="7:8" x14ac:dyDescent="0.3">
      <c r="G7829" s="15">
        <v>21.733333333333334</v>
      </c>
      <c r="H7829" s="3">
        <v>4.0118666666666768E-2</v>
      </c>
    </row>
    <row r="7830" spans="7:8" x14ac:dyDescent="0.3">
      <c r="G7830" s="15">
        <v>21.736111111111111</v>
      </c>
      <c r="H7830" s="3">
        <v>4.0118055555555657E-2</v>
      </c>
    </row>
    <row r="7831" spans="7:8" x14ac:dyDescent="0.3">
      <c r="G7831" s="15">
        <v>21.738888888888887</v>
      </c>
      <c r="H7831" s="3">
        <v>4.0117444444444546E-2</v>
      </c>
    </row>
    <row r="7832" spans="7:8" x14ac:dyDescent="0.3">
      <c r="G7832" s="15">
        <v>21.741666666666667</v>
      </c>
      <c r="H7832" s="3">
        <v>4.0116833333333435E-2</v>
      </c>
    </row>
    <row r="7833" spans="7:8" x14ac:dyDescent="0.3">
      <c r="G7833" s="15">
        <v>21.744444444444444</v>
      </c>
      <c r="H7833" s="3">
        <v>4.0116222222222324E-2</v>
      </c>
    </row>
    <row r="7834" spans="7:8" x14ac:dyDescent="0.3">
      <c r="G7834" s="15">
        <v>21.747222222222224</v>
      </c>
      <c r="H7834" s="3">
        <v>4.0115611111111213E-2</v>
      </c>
    </row>
    <row r="7835" spans="7:8" x14ac:dyDescent="0.3">
      <c r="G7835" s="15">
        <v>21.75</v>
      </c>
      <c r="H7835" s="3">
        <v>4.0115000000000102E-2</v>
      </c>
    </row>
    <row r="7836" spans="7:8" x14ac:dyDescent="0.3">
      <c r="G7836" s="15">
        <v>21.752777777777776</v>
      </c>
      <c r="H7836" s="3">
        <v>4.0114388888888991E-2</v>
      </c>
    </row>
    <row r="7837" spans="7:8" x14ac:dyDescent="0.3">
      <c r="G7837" s="15">
        <v>21.755555555555556</v>
      </c>
      <c r="H7837" s="3">
        <v>4.011377777777788E-2</v>
      </c>
    </row>
    <row r="7838" spans="7:8" x14ac:dyDescent="0.3">
      <c r="G7838" s="15">
        <v>21.758333333333333</v>
      </c>
      <c r="H7838" s="3">
        <v>4.0113166666666769E-2</v>
      </c>
    </row>
    <row r="7839" spans="7:8" x14ac:dyDescent="0.3">
      <c r="G7839" s="15">
        <v>21.761111111111113</v>
      </c>
      <c r="H7839" s="3">
        <v>4.0112555555555658E-2</v>
      </c>
    </row>
    <row r="7840" spans="7:8" x14ac:dyDescent="0.3">
      <c r="G7840" s="15">
        <v>21.763888888888889</v>
      </c>
      <c r="H7840" s="3">
        <v>4.0111944444444547E-2</v>
      </c>
    </row>
    <row r="7841" spans="7:8" x14ac:dyDescent="0.3">
      <c r="G7841" s="15">
        <v>21.766666666666666</v>
      </c>
      <c r="H7841" s="3">
        <v>4.0111333333333436E-2</v>
      </c>
    </row>
    <row r="7842" spans="7:8" x14ac:dyDescent="0.3">
      <c r="G7842" s="15">
        <v>21.769444444444446</v>
      </c>
      <c r="H7842" s="3">
        <v>4.0110722222222325E-2</v>
      </c>
    </row>
    <row r="7843" spans="7:8" x14ac:dyDescent="0.3">
      <c r="G7843" s="15">
        <v>21.772222222222222</v>
      </c>
      <c r="H7843" s="3">
        <v>4.0110111111111214E-2</v>
      </c>
    </row>
    <row r="7844" spans="7:8" x14ac:dyDescent="0.3">
      <c r="G7844" s="15">
        <v>21.774999999999999</v>
      </c>
      <c r="H7844" s="3">
        <v>4.0109500000000103E-2</v>
      </c>
    </row>
    <row r="7845" spans="7:8" x14ac:dyDescent="0.3">
      <c r="G7845" s="15">
        <v>21.777777777777779</v>
      </c>
      <c r="H7845" s="3">
        <v>4.0108888888888992E-2</v>
      </c>
    </row>
    <row r="7846" spans="7:8" x14ac:dyDescent="0.3">
      <c r="G7846" s="15">
        <v>21.780555555555555</v>
      </c>
      <c r="H7846" s="3">
        <v>4.0108277777777882E-2</v>
      </c>
    </row>
    <row r="7847" spans="7:8" x14ac:dyDescent="0.3">
      <c r="G7847" s="15">
        <v>21.783333333333335</v>
      </c>
      <c r="H7847" s="3">
        <v>4.0107666666666771E-2</v>
      </c>
    </row>
    <row r="7848" spans="7:8" x14ac:dyDescent="0.3">
      <c r="G7848" s="15">
        <v>21.786111111111111</v>
      </c>
      <c r="H7848" s="3">
        <v>4.010705555555566E-2</v>
      </c>
    </row>
    <row r="7849" spans="7:8" x14ac:dyDescent="0.3">
      <c r="G7849" s="15">
        <v>21.788888888888888</v>
      </c>
      <c r="H7849" s="3">
        <v>4.0106444444444549E-2</v>
      </c>
    </row>
    <row r="7850" spans="7:8" x14ac:dyDescent="0.3">
      <c r="G7850" s="15">
        <v>21.791666666666668</v>
      </c>
      <c r="H7850" s="3">
        <v>4.0105833333333438E-2</v>
      </c>
    </row>
    <row r="7851" spans="7:8" x14ac:dyDescent="0.3">
      <c r="G7851" s="15">
        <v>21.794444444444444</v>
      </c>
      <c r="H7851" s="3">
        <v>4.0105222222222327E-2</v>
      </c>
    </row>
    <row r="7852" spans="7:8" x14ac:dyDescent="0.3">
      <c r="G7852" s="15">
        <v>21.797222222222221</v>
      </c>
      <c r="H7852" s="3">
        <v>4.0104611111111216E-2</v>
      </c>
    </row>
    <row r="7853" spans="7:8" x14ac:dyDescent="0.3">
      <c r="G7853" s="15">
        <v>21.8</v>
      </c>
      <c r="H7853" s="3">
        <v>4.0104000000000105E-2</v>
      </c>
    </row>
    <row r="7854" spans="7:8" x14ac:dyDescent="0.3">
      <c r="G7854" s="15">
        <v>21.802777777777777</v>
      </c>
      <c r="H7854" s="3">
        <v>4.0103388888888994E-2</v>
      </c>
    </row>
    <row r="7855" spans="7:8" x14ac:dyDescent="0.3">
      <c r="G7855" s="15">
        <v>21.805555555555557</v>
      </c>
      <c r="H7855" s="3">
        <v>4.0102777777777883E-2</v>
      </c>
    </row>
    <row r="7856" spans="7:8" x14ac:dyDescent="0.3">
      <c r="G7856" s="15">
        <v>21.808333333333334</v>
      </c>
      <c r="H7856" s="3">
        <v>4.0102166666666772E-2</v>
      </c>
    </row>
    <row r="7857" spans="7:8" x14ac:dyDescent="0.3">
      <c r="G7857" s="15">
        <v>21.81111111111111</v>
      </c>
      <c r="H7857" s="3">
        <v>4.0101555555555661E-2</v>
      </c>
    </row>
    <row r="7858" spans="7:8" x14ac:dyDescent="0.3">
      <c r="G7858" s="15">
        <v>21.81388888888889</v>
      </c>
      <c r="H7858" s="3">
        <v>4.010094444444455E-2</v>
      </c>
    </row>
    <row r="7859" spans="7:8" x14ac:dyDescent="0.3">
      <c r="G7859" s="15">
        <v>21.816666666666666</v>
      </c>
      <c r="H7859" s="3">
        <v>4.0100333333333439E-2</v>
      </c>
    </row>
    <row r="7860" spans="7:8" x14ac:dyDescent="0.3">
      <c r="G7860" s="15">
        <v>21.819444444444443</v>
      </c>
      <c r="H7860" s="3">
        <v>4.0099722222222328E-2</v>
      </c>
    </row>
    <row r="7861" spans="7:8" x14ac:dyDescent="0.3">
      <c r="G7861" s="15">
        <v>21.822222222222223</v>
      </c>
      <c r="H7861" s="3">
        <v>4.0099111111111217E-2</v>
      </c>
    </row>
    <row r="7862" spans="7:8" x14ac:dyDescent="0.3">
      <c r="G7862" s="15">
        <v>21.824999999999999</v>
      </c>
      <c r="H7862" s="3">
        <v>4.0098500000000106E-2</v>
      </c>
    </row>
    <row r="7863" spans="7:8" x14ac:dyDescent="0.3">
      <c r="G7863" s="15">
        <v>21.827777777777779</v>
      </c>
      <c r="H7863" s="3">
        <v>4.0097888888888995E-2</v>
      </c>
    </row>
    <row r="7864" spans="7:8" x14ac:dyDescent="0.3">
      <c r="G7864" s="15">
        <v>21.830555555555556</v>
      </c>
      <c r="H7864" s="3">
        <v>4.0097277777777884E-2</v>
      </c>
    </row>
    <row r="7865" spans="7:8" x14ac:dyDescent="0.3">
      <c r="G7865" s="15">
        <v>21.833333333333332</v>
      </c>
      <c r="H7865" s="3">
        <v>4.0096666666666773E-2</v>
      </c>
    </row>
    <row r="7866" spans="7:8" x14ac:dyDescent="0.3">
      <c r="G7866" s="15">
        <v>21.836111111111112</v>
      </c>
      <c r="H7866" s="3">
        <v>4.0096055555555662E-2</v>
      </c>
    </row>
    <row r="7867" spans="7:8" x14ac:dyDescent="0.3">
      <c r="G7867" s="15">
        <v>21.838888888888889</v>
      </c>
      <c r="H7867" s="3">
        <v>4.0095444444444552E-2</v>
      </c>
    </row>
    <row r="7868" spans="7:8" x14ac:dyDescent="0.3">
      <c r="G7868" s="15">
        <v>21.841666666666665</v>
      </c>
      <c r="H7868" s="3">
        <v>4.0094833333333441E-2</v>
      </c>
    </row>
    <row r="7869" spans="7:8" x14ac:dyDescent="0.3">
      <c r="G7869" s="15">
        <v>21.844444444444445</v>
      </c>
      <c r="H7869" s="3">
        <v>4.009422222222233E-2</v>
      </c>
    </row>
    <row r="7870" spans="7:8" x14ac:dyDescent="0.3">
      <c r="G7870" s="15">
        <v>21.847222222222221</v>
      </c>
      <c r="H7870" s="3">
        <v>4.0093611111111219E-2</v>
      </c>
    </row>
    <row r="7871" spans="7:8" x14ac:dyDescent="0.3">
      <c r="G7871" s="15">
        <v>21.85</v>
      </c>
      <c r="H7871" s="3">
        <v>4.0093000000000108E-2</v>
      </c>
    </row>
    <row r="7872" spans="7:8" x14ac:dyDescent="0.3">
      <c r="G7872" s="15">
        <v>21.852777777777778</v>
      </c>
      <c r="H7872" s="3">
        <v>4.0092388888888997E-2</v>
      </c>
    </row>
    <row r="7873" spans="7:8" x14ac:dyDescent="0.3">
      <c r="G7873" s="15">
        <v>21.855555555555554</v>
      </c>
      <c r="H7873" s="3">
        <v>4.0091777777777886E-2</v>
      </c>
    </row>
    <row r="7874" spans="7:8" x14ac:dyDescent="0.3">
      <c r="G7874" s="15">
        <v>21.858333333333334</v>
      </c>
      <c r="H7874" s="3">
        <v>4.0091166666666775E-2</v>
      </c>
    </row>
    <row r="7875" spans="7:8" x14ac:dyDescent="0.3">
      <c r="G7875" s="15">
        <v>21.861111111111111</v>
      </c>
      <c r="H7875" s="3">
        <v>4.0090555555555664E-2</v>
      </c>
    </row>
    <row r="7876" spans="7:8" x14ac:dyDescent="0.3">
      <c r="G7876" s="15">
        <v>21.863888888888887</v>
      </c>
      <c r="H7876" s="3">
        <v>4.0089944444444553E-2</v>
      </c>
    </row>
    <row r="7877" spans="7:8" x14ac:dyDescent="0.3">
      <c r="G7877" s="15">
        <v>21.866666666666667</v>
      </c>
      <c r="H7877" s="3">
        <v>4.0089333333333442E-2</v>
      </c>
    </row>
    <row r="7878" spans="7:8" x14ac:dyDescent="0.3">
      <c r="G7878" s="15">
        <v>21.869444444444444</v>
      </c>
      <c r="H7878" s="3">
        <v>4.0088722222222331E-2</v>
      </c>
    </row>
    <row r="7879" spans="7:8" x14ac:dyDescent="0.3">
      <c r="G7879" s="15">
        <v>21.872222222222224</v>
      </c>
      <c r="H7879" s="3">
        <v>4.008811111111122E-2</v>
      </c>
    </row>
    <row r="7880" spans="7:8" x14ac:dyDescent="0.3">
      <c r="G7880" s="15">
        <v>21.875</v>
      </c>
      <c r="H7880" s="3">
        <v>4.0087500000000109E-2</v>
      </c>
    </row>
    <row r="7881" spans="7:8" x14ac:dyDescent="0.3">
      <c r="G7881" s="15">
        <v>21.877777777777776</v>
      </c>
      <c r="H7881" s="3">
        <v>4.0086888888888998E-2</v>
      </c>
    </row>
    <row r="7882" spans="7:8" x14ac:dyDescent="0.3">
      <c r="G7882" s="15">
        <v>21.880555555555556</v>
      </c>
      <c r="H7882" s="3">
        <v>4.0086277777777887E-2</v>
      </c>
    </row>
    <row r="7883" spans="7:8" x14ac:dyDescent="0.3">
      <c r="G7883" s="15">
        <v>21.883333333333333</v>
      </c>
      <c r="H7883" s="3">
        <v>4.0085666666666776E-2</v>
      </c>
    </row>
    <row r="7884" spans="7:8" x14ac:dyDescent="0.3">
      <c r="G7884" s="15">
        <v>21.886111111111113</v>
      </c>
      <c r="H7884" s="3">
        <v>4.0085055555555665E-2</v>
      </c>
    </row>
    <row r="7885" spans="7:8" x14ac:dyDescent="0.3">
      <c r="G7885" s="15">
        <v>21.888888888888889</v>
      </c>
      <c r="H7885" s="3">
        <v>4.0084444444444554E-2</v>
      </c>
    </row>
    <row r="7886" spans="7:8" x14ac:dyDescent="0.3">
      <c r="G7886" s="15">
        <v>21.891666666666666</v>
      </c>
      <c r="H7886" s="3">
        <v>4.0083833333333443E-2</v>
      </c>
    </row>
    <row r="7887" spans="7:8" x14ac:dyDescent="0.3">
      <c r="G7887" s="15">
        <v>21.894444444444446</v>
      </c>
      <c r="H7887" s="3">
        <v>4.0083222222222332E-2</v>
      </c>
    </row>
    <row r="7888" spans="7:8" x14ac:dyDescent="0.3">
      <c r="G7888" s="15">
        <v>21.897222222222222</v>
      </c>
      <c r="H7888" s="3">
        <v>4.0082611111111222E-2</v>
      </c>
    </row>
    <row r="7889" spans="7:8" x14ac:dyDescent="0.3">
      <c r="G7889" s="15">
        <v>21.9</v>
      </c>
      <c r="H7889" s="3">
        <v>4.0082000000000111E-2</v>
      </c>
    </row>
    <row r="7890" spans="7:8" x14ac:dyDescent="0.3">
      <c r="G7890" s="15">
        <v>21.902777777777779</v>
      </c>
      <c r="H7890" s="3">
        <v>4.0081388888889E-2</v>
      </c>
    </row>
    <row r="7891" spans="7:8" x14ac:dyDescent="0.3">
      <c r="G7891" s="15">
        <v>21.905555555555555</v>
      </c>
      <c r="H7891" s="3">
        <v>4.0080777777777889E-2</v>
      </c>
    </row>
    <row r="7892" spans="7:8" x14ac:dyDescent="0.3">
      <c r="G7892" s="15">
        <v>21.908333333333335</v>
      </c>
      <c r="H7892" s="3">
        <v>4.0080166666666778E-2</v>
      </c>
    </row>
    <row r="7893" spans="7:8" x14ac:dyDescent="0.3">
      <c r="G7893" s="15">
        <v>21.911111111111111</v>
      </c>
      <c r="H7893" s="3">
        <v>4.0079555555555667E-2</v>
      </c>
    </row>
    <row r="7894" spans="7:8" x14ac:dyDescent="0.3">
      <c r="G7894" s="15">
        <v>21.913888888888888</v>
      </c>
      <c r="H7894" s="3">
        <v>4.0078944444444556E-2</v>
      </c>
    </row>
    <row r="7895" spans="7:8" x14ac:dyDescent="0.3">
      <c r="G7895" s="15">
        <v>21.916666666666668</v>
      </c>
      <c r="H7895" s="3">
        <v>4.0078333333333445E-2</v>
      </c>
    </row>
    <row r="7896" spans="7:8" x14ac:dyDescent="0.3">
      <c r="G7896" s="15">
        <v>21.919444444444444</v>
      </c>
      <c r="H7896" s="3">
        <v>4.0077722222222334E-2</v>
      </c>
    </row>
    <row r="7897" spans="7:8" x14ac:dyDescent="0.3">
      <c r="G7897" s="15">
        <v>21.922222222222221</v>
      </c>
      <c r="H7897" s="3">
        <v>4.0077111111111223E-2</v>
      </c>
    </row>
    <row r="7898" spans="7:8" x14ac:dyDescent="0.3">
      <c r="G7898" s="15">
        <v>21.925000000000001</v>
      </c>
      <c r="H7898" s="3">
        <v>4.0076500000000112E-2</v>
      </c>
    </row>
    <row r="7899" spans="7:8" x14ac:dyDescent="0.3">
      <c r="G7899" s="15">
        <v>21.927777777777777</v>
      </c>
      <c r="H7899" s="3">
        <v>4.0075888888889001E-2</v>
      </c>
    </row>
    <row r="7900" spans="7:8" x14ac:dyDescent="0.3">
      <c r="G7900" s="15">
        <v>21.930555555555557</v>
      </c>
      <c r="H7900" s="3">
        <v>4.007527777777789E-2</v>
      </c>
    </row>
    <row r="7901" spans="7:8" x14ac:dyDescent="0.3">
      <c r="G7901" s="15">
        <v>21.933333333333334</v>
      </c>
      <c r="H7901" s="3">
        <v>4.0074666666666779E-2</v>
      </c>
    </row>
    <row r="7902" spans="7:8" x14ac:dyDescent="0.3">
      <c r="G7902" s="15">
        <v>21.93611111111111</v>
      </c>
      <c r="H7902" s="3">
        <v>4.0074055555555668E-2</v>
      </c>
    </row>
    <row r="7903" spans="7:8" x14ac:dyDescent="0.3">
      <c r="G7903" s="15">
        <v>21.93888888888889</v>
      </c>
      <c r="H7903" s="3">
        <v>4.0073444444444557E-2</v>
      </c>
    </row>
    <row r="7904" spans="7:8" x14ac:dyDescent="0.3">
      <c r="G7904" s="15">
        <v>21.941666666666666</v>
      </c>
      <c r="H7904" s="3">
        <v>4.0072833333333446E-2</v>
      </c>
    </row>
    <row r="7905" spans="7:8" x14ac:dyDescent="0.3">
      <c r="G7905" s="15">
        <v>21.944444444444443</v>
      </c>
      <c r="H7905" s="3">
        <v>4.0072222222222335E-2</v>
      </c>
    </row>
    <row r="7906" spans="7:8" x14ac:dyDescent="0.3">
      <c r="G7906" s="15">
        <v>21.947222222222223</v>
      </c>
      <c r="H7906" s="3">
        <v>4.0071611111111224E-2</v>
      </c>
    </row>
    <row r="7907" spans="7:8" x14ac:dyDescent="0.3">
      <c r="G7907" s="15">
        <v>21.95</v>
      </c>
      <c r="H7907" s="3">
        <v>4.0071000000000113E-2</v>
      </c>
    </row>
    <row r="7908" spans="7:8" x14ac:dyDescent="0.3">
      <c r="G7908" s="15">
        <v>21.952777777777779</v>
      </c>
      <c r="H7908" s="3">
        <v>4.0070388888889003E-2</v>
      </c>
    </row>
    <row r="7909" spans="7:8" x14ac:dyDescent="0.3">
      <c r="G7909" s="15">
        <v>21.955555555555556</v>
      </c>
      <c r="H7909" s="3">
        <v>4.0069777777777892E-2</v>
      </c>
    </row>
    <row r="7910" spans="7:8" x14ac:dyDescent="0.3">
      <c r="G7910" s="15">
        <v>21.958333333333332</v>
      </c>
      <c r="H7910" s="3">
        <v>4.0069166666666781E-2</v>
      </c>
    </row>
    <row r="7911" spans="7:8" x14ac:dyDescent="0.3">
      <c r="G7911" s="15">
        <v>21.961111111111112</v>
      </c>
      <c r="H7911" s="3">
        <v>4.006855555555567E-2</v>
      </c>
    </row>
    <row r="7912" spans="7:8" x14ac:dyDescent="0.3">
      <c r="G7912" s="15">
        <v>21.963888888888889</v>
      </c>
      <c r="H7912" s="3">
        <v>4.0067944444444559E-2</v>
      </c>
    </row>
    <row r="7913" spans="7:8" x14ac:dyDescent="0.3">
      <c r="G7913" s="15">
        <v>21.966666666666665</v>
      </c>
      <c r="H7913" s="3">
        <v>4.0067333333333448E-2</v>
      </c>
    </row>
    <row r="7914" spans="7:8" x14ac:dyDescent="0.3">
      <c r="G7914" s="15">
        <v>21.969444444444445</v>
      </c>
      <c r="H7914" s="3">
        <v>4.0066722222222337E-2</v>
      </c>
    </row>
    <row r="7915" spans="7:8" x14ac:dyDescent="0.3">
      <c r="G7915" s="15">
        <v>21.972222222222221</v>
      </c>
      <c r="H7915" s="3">
        <v>4.0066111111111226E-2</v>
      </c>
    </row>
    <row r="7916" spans="7:8" x14ac:dyDescent="0.3">
      <c r="G7916" s="15">
        <v>21.975000000000001</v>
      </c>
      <c r="H7916" s="3">
        <v>4.0065500000000115E-2</v>
      </c>
    </row>
    <row r="7917" spans="7:8" x14ac:dyDescent="0.3">
      <c r="G7917" s="15">
        <v>21.977777777777778</v>
      </c>
      <c r="H7917" s="3">
        <v>4.0064888888889004E-2</v>
      </c>
    </row>
    <row r="7918" spans="7:8" x14ac:dyDescent="0.3">
      <c r="G7918" s="15">
        <v>21.980555555555554</v>
      </c>
      <c r="H7918" s="3">
        <v>4.0064277777777893E-2</v>
      </c>
    </row>
    <row r="7919" spans="7:8" x14ac:dyDescent="0.3">
      <c r="G7919" s="15">
        <v>21.983333333333334</v>
      </c>
      <c r="H7919" s="3">
        <v>4.0063666666666782E-2</v>
      </c>
    </row>
    <row r="7920" spans="7:8" x14ac:dyDescent="0.3">
      <c r="G7920" s="15">
        <v>21.986111111111111</v>
      </c>
      <c r="H7920" s="3">
        <v>4.0063055555555671E-2</v>
      </c>
    </row>
    <row r="7921" spans="7:8" x14ac:dyDescent="0.3">
      <c r="G7921" s="15">
        <v>21.988888888888887</v>
      </c>
      <c r="H7921" s="3">
        <v>4.006244444444456E-2</v>
      </c>
    </row>
    <row r="7922" spans="7:8" x14ac:dyDescent="0.3">
      <c r="G7922" s="15">
        <v>21.991666666666667</v>
      </c>
      <c r="H7922" s="3">
        <v>4.0061833333333449E-2</v>
      </c>
    </row>
    <row r="7923" spans="7:8" x14ac:dyDescent="0.3">
      <c r="G7923" s="15">
        <v>21.994444444444444</v>
      </c>
      <c r="H7923" s="3">
        <v>4.0061222222222338E-2</v>
      </c>
    </row>
    <row r="7924" spans="7:8" x14ac:dyDescent="0.3">
      <c r="G7924" s="15">
        <v>21.997222222222224</v>
      </c>
      <c r="H7924" s="3">
        <v>4.0060611111111227E-2</v>
      </c>
    </row>
    <row r="7925" spans="7:8" x14ac:dyDescent="0.3">
      <c r="G7925" s="15">
        <v>22</v>
      </c>
      <c r="H7925" s="3">
        <v>4.0060000000000116E-2</v>
      </c>
    </row>
    <row r="7926" spans="7:8" x14ac:dyDescent="0.3">
      <c r="G7926" s="15">
        <v>22.002777777777776</v>
      </c>
      <c r="H7926" s="3">
        <v>4.0059388888889005E-2</v>
      </c>
    </row>
    <row r="7927" spans="7:8" x14ac:dyDescent="0.3">
      <c r="G7927" s="15">
        <v>22.005555555555556</v>
      </c>
      <c r="H7927" s="3">
        <v>4.0058777777777894E-2</v>
      </c>
    </row>
    <row r="7928" spans="7:8" x14ac:dyDescent="0.3">
      <c r="G7928" s="15">
        <v>22.008333333333333</v>
      </c>
      <c r="H7928" s="3">
        <v>4.0058166666666783E-2</v>
      </c>
    </row>
    <row r="7929" spans="7:8" x14ac:dyDescent="0.3">
      <c r="G7929" s="15">
        <v>22.011111111111113</v>
      </c>
      <c r="H7929" s="3">
        <v>4.0057555555555673E-2</v>
      </c>
    </row>
    <row r="7930" spans="7:8" x14ac:dyDescent="0.3">
      <c r="G7930" s="15">
        <v>22.013888888888889</v>
      </c>
      <c r="H7930" s="3">
        <v>4.0056944444444562E-2</v>
      </c>
    </row>
    <row r="7931" spans="7:8" x14ac:dyDescent="0.3">
      <c r="G7931" s="15">
        <v>22.016666666666666</v>
      </c>
      <c r="H7931" s="3">
        <v>4.0056333333333451E-2</v>
      </c>
    </row>
    <row r="7932" spans="7:8" x14ac:dyDescent="0.3">
      <c r="G7932" s="15">
        <v>22.019444444444446</v>
      </c>
      <c r="H7932" s="3">
        <v>4.005572222222234E-2</v>
      </c>
    </row>
    <row r="7933" spans="7:8" x14ac:dyDescent="0.3">
      <c r="G7933" s="15">
        <v>22.022222222222222</v>
      </c>
      <c r="H7933" s="3">
        <v>4.0055111111111229E-2</v>
      </c>
    </row>
    <row r="7934" spans="7:8" x14ac:dyDescent="0.3">
      <c r="G7934" s="15">
        <v>22.024999999999999</v>
      </c>
      <c r="H7934" s="3">
        <v>4.0054500000000118E-2</v>
      </c>
    </row>
    <row r="7935" spans="7:8" x14ac:dyDescent="0.3">
      <c r="G7935" s="15">
        <v>22.027777777777779</v>
      </c>
      <c r="H7935" s="3">
        <v>4.0053888888889007E-2</v>
      </c>
    </row>
    <row r="7936" spans="7:8" x14ac:dyDescent="0.3">
      <c r="G7936" s="15">
        <v>22.030555555555555</v>
      </c>
      <c r="H7936" s="3">
        <v>4.0053277777777896E-2</v>
      </c>
    </row>
    <row r="7937" spans="7:8" x14ac:dyDescent="0.3">
      <c r="G7937" s="15">
        <v>22.033333333333335</v>
      </c>
      <c r="H7937" s="3">
        <v>4.0052666666666785E-2</v>
      </c>
    </row>
    <row r="7938" spans="7:8" x14ac:dyDescent="0.3">
      <c r="G7938" s="15">
        <v>22.036111111111111</v>
      </c>
      <c r="H7938" s="3">
        <v>4.0052055555555674E-2</v>
      </c>
    </row>
    <row r="7939" spans="7:8" x14ac:dyDescent="0.3">
      <c r="G7939" s="15">
        <v>22.038888888888888</v>
      </c>
      <c r="H7939" s="3">
        <v>4.0051444444444563E-2</v>
      </c>
    </row>
    <row r="7940" spans="7:8" x14ac:dyDescent="0.3">
      <c r="G7940" s="15">
        <v>22.041666666666668</v>
      </c>
      <c r="H7940" s="3">
        <v>4.0050833333333452E-2</v>
      </c>
    </row>
    <row r="7941" spans="7:8" x14ac:dyDescent="0.3">
      <c r="G7941" s="15">
        <v>22.044444444444444</v>
      </c>
      <c r="H7941" s="3">
        <v>4.0050222222222341E-2</v>
      </c>
    </row>
    <row r="7942" spans="7:8" x14ac:dyDescent="0.3">
      <c r="G7942" s="15">
        <v>22.047222222222221</v>
      </c>
      <c r="H7942" s="3">
        <v>4.004961111111123E-2</v>
      </c>
    </row>
    <row r="7943" spans="7:8" x14ac:dyDescent="0.3">
      <c r="G7943" s="15">
        <v>22.05</v>
      </c>
      <c r="H7943" s="3">
        <v>4.0049000000000119E-2</v>
      </c>
    </row>
    <row r="7944" spans="7:8" x14ac:dyDescent="0.3">
      <c r="G7944" s="15">
        <v>22.052777777777777</v>
      </c>
      <c r="H7944" s="3">
        <v>4.0048388888889008E-2</v>
      </c>
    </row>
    <row r="7945" spans="7:8" x14ac:dyDescent="0.3">
      <c r="G7945" s="15">
        <v>22.055555555555557</v>
      </c>
      <c r="H7945" s="3">
        <v>4.0047777777777897E-2</v>
      </c>
    </row>
    <row r="7946" spans="7:8" x14ac:dyDescent="0.3">
      <c r="G7946" s="15">
        <v>22.058333333333334</v>
      </c>
      <c r="H7946" s="3">
        <v>4.0047166666666786E-2</v>
      </c>
    </row>
    <row r="7947" spans="7:8" x14ac:dyDescent="0.3">
      <c r="G7947" s="15">
        <v>22.06111111111111</v>
      </c>
      <c r="H7947" s="3">
        <v>4.0046555555555675E-2</v>
      </c>
    </row>
    <row r="7948" spans="7:8" x14ac:dyDescent="0.3">
      <c r="G7948" s="15">
        <v>22.06388888888889</v>
      </c>
      <c r="H7948" s="3">
        <v>4.0045944444444564E-2</v>
      </c>
    </row>
    <row r="7949" spans="7:8" x14ac:dyDescent="0.3">
      <c r="G7949" s="15">
        <v>22.066666666666666</v>
      </c>
      <c r="H7949" s="3">
        <v>4.0045333333333454E-2</v>
      </c>
    </row>
    <row r="7950" spans="7:8" x14ac:dyDescent="0.3">
      <c r="G7950" s="15">
        <v>22.069444444444443</v>
      </c>
      <c r="H7950" s="3">
        <v>4.0044722222222343E-2</v>
      </c>
    </row>
    <row r="7951" spans="7:8" x14ac:dyDescent="0.3">
      <c r="G7951" s="15">
        <v>22.072222222222223</v>
      </c>
      <c r="H7951" s="3">
        <v>4.0044111111111232E-2</v>
      </c>
    </row>
    <row r="7952" spans="7:8" x14ac:dyDescent="0.3">
      <c r="G7952" s="15">
        <v>22.074999999999999</v>
      </c>
      <c r="H7952" s="3">
        <v>4.0043500000000121E-2</v>
      </c>
    </row>
    <row r="7953" spans="7:8" x14ac:dyDescent="0.3">
      <c r="G7953" s="15">
        <v>22.077777777777779</v>
      </c>
      <c r="H7953" s="3">
        <v>4.004288888888901E-2</v>
      </c>
    </row>
    <row r="7954" spans="7:8" x14ac:dyDescent="0.3">
      <c r="G7954" s="15">
        <v>22.080555555555556</v>
      </c>
      <c r="H7954" s="3">
        <v>4.0042277777777899E-2</v>
      </c>
    </row>
    <row r="7955" spans="7:8" x14ac:dyDescent="0.3">
      <c r="G7955" s="15">
        <v>22.083333333333332</v>
      </c>
      <c r="H7955" s="3">
        <v>4.0041666666666788E-2</v>
      </c>
    </row>
    <row r="7956" spans="7:8" x14ac:dyDescent="0.3">
      <c r="G7956" s="15">
        <v>22.086111111111112</v>
      </c>
      <c r="H7956" s="3">
        <v>4.0041055555555677E-2</v>
      </c>
    </row>
    <row r="7957" spans="7:8" x14ac:dyDescent="0.3">
      <c r="G7957" s="15">
        <v>22.088888888888889</v>
      </c>
      <c r="H7957" s="3">
        <v>4.0040444444444566E-2</v>
      </c>
    </row>
    <row r="7958" spans="7:8" x14ac:dyDescent="0.3">
      <c r="G7958" s="15">
        <v>22.091666666666665</v>
      </c>
      <c r="H7958" s="3">
        <v>4.0039833333333455E-2</v>
      </c>
    </row>
    <row r="7959" spans="7:8" x14ac:dyDescent="0.3">
      <c r="G7959" s="15">
        <v>22.094444444444445</v>
      </c>
      <c r="H7959" s="3">
        <v>4.0039222222222344E-2</v>
      </c>
    </row>
    <row r="7960" spans="7:8" x14ac:dyDescent="0.3">
      <c r="G7960" s="15">
        <v>22.097222222222221</v>
      </c>
      <c r="H7960" s="3">
        <v>4.0038611111111233E-2</v>
      </c>
    </row>
    <row r="7961" spans="7:8" x14ac:dyDescent="0.3">
      <c r="G7961" s="15">
        <v>22.1</v>
      </c>
      <c r="H7961" s="3">
        <v>4.0038000000000122E-2</v>
      </c>
    </row>
    <row r="7962" spans="7:8" x14ac:dyDescent="0.3">
      <c r="G7962" s="15">
        <v>22.102777777777778</v>
      </c>
      <c r="H7962" s="3">
        <v>4.0037388888889011E-2</v>
      </c>
    </row>
    <row r="7963" spans="7:8" x14ac:dyDescent="0.3">
      <c r="G7963" s="15">
        <v>22.105555555555554</v>
      </c>
      <c r="H7963" s="3">
        <v>4.00367777777779E-2</v>
      </c>
    </row>
    <row r="7964" spans="7:8" x14ac:dyDescent="0.3">
      <c r="G7964" s="15">
        <v>22.108333333333334</v>
      </c>
      <c r="H7964" s="3">
        <v>4.0036166666666789E-2</v>
      </c>
    </row>
    <row r="7965" spans="7:8" x14ac:dyDescent="0.3">
      <c r="G7965" s="15">
        <v>22.111111111111111</v>
      </c>
      <c r="H7965" s="3">
        <v>4.0035555555555678E-2</v>
      </c>
    </row>
    <row r="7966" spans="7:8" x14ac:dyDescent="0.3">
      <c r="G7966" s="15">
        <v>22.113888888888887</v>
      </c>
      <c r="H7966" s="3">
        <v>4.0034944444444567E-2</v>
      </c>
    </row>
    <row r="7967" spans="7:8" x14ac:dyDescent="0.3">
      <c r="G7967" s="15">
        <v>22.116666666666667</v>
      </c>
      <c r="H7967" s="3">
        <v>4.0034333333333456E-2</v>
      </c>
    </row>
    <row r="7968" spans="7:8" x14ac:dyDescent="0.3">
      <c r="G7968" s="15">
        <v>22.119444444444444</v>
      </c>
      <c r="H7968" s="3">
        <v>4.0033722222222345E-2</v>
      </c>
    </row>
    <row r="7969" spans="7:8" x14ac:dyDescent="0.3">
      <c r="G7969" s="15">
        <v>22.122222222222224</v>
      </c>
      <c r="H7969" s="3">
        <v>4.0033111111111234E-2</v>
      </c>
    </row>
    <row r="7970" spans="7:8" x14ac:dyDescent="0.3">
      <c r="G7970" s="15">
        <v>22.125</v>
      </c>
      <c r="H7970" s="3">
        <v>4.0032500000000124E-2</v>
      </c>
    </row>
    <row r="7971" spans="7:8" x14ac:dyDescent="0.3">
      <c r="G7971" s="15">
        <v>22.127777777777776</v>
      </c>
      <c r="H7971" s="3">
        <v>4.0031888888889013E-2</v>
      </c>
    </row>
    <row r="7972" spans="7:8" x14ac:dyDescent="0.3">
      <c r="G7972" s="15">
        <v>22.130555555555556</v>
      </c>
      <c r="H7972" s="3">
        <v>4.0031277777777902E-2</v>
      </c>
    </row>
    <row r="7973" spans="7:8" x14ac:dyDescent="0.3">
      <c r="G7973" s="15">
        <v>22.133333333333333</v>
      </c>
      <c r="H7973" s="3">
        <v>4.0030666666666791E-2</v>
      </c>
    </row>
    <row r="7974" spans="7:8" x14ac:dyDescent="0.3">
      <c r="G7974" s="15">
        <v>22.136111111111113</v>
      </c>
      <c r="H7974" s="3">
        <v>4.003005555555568E-2</v>
      </c>
    </row>
    <row r="7975" spans="7:8" x14ac:dyDescent="0.3">
      <c r="G7975" s="15">
        <v>22.138888888888889</v>
      </c>
      <c r="H7975" s="3">
        <v>4.0029444444444569E-2</v>
      </c>
    </row>
    <row r="7976" spans="7:8" x14ac:dyDescent="0.3">
      <c r="G7976" s="15">
        <v>22.141666666666666</v>
      </c>
      <c r="H7976" s="3">
        <v>4.0028833333333458E-2</v>
      </c>
    </row>
    <row r="7977" spans="7:8" x14ac:dyDescent="0.3">
      <c r="G7977" s="15">
        <v>22.144444444444446</v>
      </c>
      <c r="H7977" s="3">
        <v>4.0028222222222347E-2</v>
      </c>
    </row>
    <row r="7978" spans="7:8" x14ac:dyDescent="0.3">
      <c r="G7978" s="15">
        <v>22.147222222222222</v>
      </c>
      <c r="H7978" s="3">
        <v>4.0027611111111236E-2</v>
      </c>
    </row>
    <row r="7979" spans="7:8" x14ac:dyDescent="0.3">
      <c r="G7979" s="15">
        <v>22.15</v>
      </c>
      <c r="H7979" s="3">
        <v>4.0027000000000125E-2</v>
      </c>
    </row>
    <row r="7980" spans="7:8" x14ac:dyDescent="0.3">
      <c r="G7980" s="15">
        <v>22.152777777777779</v>
      </c>
      <c r="H7980" s="3">
        <v>4.0026388888889014E-2</v>
      </c>
    </row>
    <row r="7981" spans="7:8" x14ac:dyDescent="0.3">
      <c r="G7981" s="15">
        <v>22.155555555555555</v>
      </c>
      <c r="H7981" s="3">
        <v>4.0025777777777903E-2</v>
      </c>
    </row>
    <row r="7982" spans="7:8" x14ac:dyDescent="0.3">
      <c r="G7982" s="15">
        <v>22.158333333333335</v>
      </c>
      <c r="H7982" s="3">
        <v>4.0025166666666792E-2</v>
      </c>
    </row>
    <row r="7983" spans="7:8" x14ac:dyDescent="0.3">
      <c r="G7983" s="15">
        <v>22.161111111111111</v>
      </c>
      <c r="H7983" s="3">
        <v>4.0024555555555681E-2</v>
      </c>
    </row>
    <row r="7984" spans="7:8" x14ac:dyDescent="0.3">
      <c r="G7984" s="15">
        <v>22.163888888888888</v>
      </c>
      <c r="H7984" s="3">
        <v>4.002394444444457E-2</v>
      </c>
    </row>
    <row r="7985" spans="7:8" x14ac:dyDescent="0.3">
      <c r="G7985" s="15">
        <v>22.166666666666668</v>
      </c>
      <c r="H7985" s="3">
        <v>4.0023333333333459E-2</v>
      </c>
    </row>
    <row r="7986" spans="7:8" x14ac:dyDescent="0.3">
      <c r="G7986" s="15">
        <v>22.169444444444444</v>
      </c>
      <c r="H7986" s="3">
        <v>4.0022722222222348E-2</v>
      </c>
    </row>
    <row r="7987" spans="7:8" x14ac:dyDescent="0.3">
      <c r="G7987" s="15">
        <v>22.172222222222221</v>
      </c>
      <c r="H7987" s="3">
        <v>4.0022111111111237E-2</v>
      </c>
    </row>
    <row r="7988" spans="7:8" x14ac:dyDescent="0.3">
      <c r="G7988" s="15">
        <v>22.175000000000001</v>
      </c>
      <c r="H7988" s="3">
        <v>4.0021500000000126E-2</v>
      </c>
    </row>
    <row r="7989" spans="7:8" x14ac:dyDescent="0.3">
      <c r="G7989" s="15">
        <v>22.177777777777777</v>
      </c>
      <c r="H7989" s="3">
        <v>4.0020888888889015E-2</v>
      </c>
    </row>
    <row r="7990" spans="7:8" x14ac:dyDescent="0.3">
      <c r="G7990" s="15">
        <v>22.180555555555557</v>
      </c>
      <c r="H7990" s="3">
        <v>4.0020277777777905E-2</v>
      </c>
    </row>
    <row r="7991" spans="7:8" x14ac:dyDescent="0.3">
      <c r="G7991" s="15">
        <v>22.183333333333334</v>
      </c>
      <c r="H7991" s="3">
        <v>4.0019666666666794E-2</v>
      </c>
    </row>
    <row r="7992" spans="7:8" x14ac:dyDescent="0.3">
      <c r="G7992" s="15">
        <v>22.18611111111111</v>
      </c>
      <c r="H7992" s="3">
        <v>4.0019055555555683E-2</v>
      </c>
    </row>
    <row r="7993" spans="7:8" x14ac:dyDescent="0.3">
      <c r="G7993" s="15">
        <v>22.18888888888889</v>
      </c>
      <c r="H7993" s="3">
        <v>4.0018444444444572E-2</v>
      </c>
    </row>
    <row r="7994" spans="7:8" x14ac:dyDescent="0.3">
      <c r="G7994" s="15">
        <v>22.191666666666666</v>
      </c>
      <c r="H7994" s="3">
        <v>4.0017833333333461E-2</v>
      </c>
    </row>
    <row r="7995" spans="7:8" x14ac:dyDescent="0.3">
      <c r="G7995" s="15">
        <v>22.194444444444443</v>
      </c>
      <c r="H7995" s="3">
        <v>4.001722222222235E-2</v>
      </c>
    </row>
    <row r="7996" spans="7:8" x14ac:dyDescent="0.3">
      <c r="G7996" s="15">
        <v>22.197222222222223</v>
      </c>
      <c r="H7996" s="3">
        <v>4.0016611111111239E-2</v>
      </c>
    </row>
    <row r="7997" spans="7:8" x14ac:dyDescent="0.3">
      <c r="G7997" s="15">
        <v>22.2</v>
      </c>
      <c r="H7997" s="3">
        <v>4.0016000000000128E-2</v>
      </c>
    </row>
    <row r="7998" spans="7:8" x14ac:dyDescent="0.3">
      <c r="G7998" s="15">
        <v>22.202777777777779</v>
      </c>
      <c r="H7998" s="3">
        <v>4.0015388888889017E-2</v>
      </c>
    </row>
    <row r="7999" spans="7:8" x14ac:dyDescent="0.3">
      <c r="G7999" s="15">
        <v>22.205555555555556</v>
      </c>
      <c r="H7999" s="3">
        <v>4.0014777777777906E-2</v>
      </c>
    </row>
    <row r="8000" spans="7:8" x14ac:dyDescent="0.3">
      <c r="G8000" s="15">
        <v>22.208333333333332</v>
      </c>
      <c r="H8000" s="3">
        <v>4.0014166666666795E-2</v>
      </c>
    </row>
    <row r="8001" spans="7:8" x14ac:dyDescent="0.3">
      <c r="G8001" s="15">
        <v>22.211111111111112</v>
      </c>
      <c r="H8001" s="3">
        <v>4.0013555555555684E-2</v>
      </c>
    </row>
    <row r="8002" spans="7:8" x14ac:dyDescent="0.3">
      <c r="G8002" s="15">
        <v>22.213888888888889</v>
      </c>
      <c r="H8002" s="3">
        <v>4.0012944444444573E-2</v>
      </c>
    </row>
    <row r="8003" spans="7:8" x14ac:dyDescent="0.3">
      <c r="G8003" s="15">
        <v>22.216666666666665</v>
      </c>
      <c r="H8003" s="3">
        <v>4.0012333333333462E-2</v>
      </c>
    </row>
    <row r="8004" spans="7:8" x14ac:dyDescent="0.3">
      <c r="G8004" s="15">
        <v>22.219444444444445</v>
      </c>
      <c r="H8004" s="3">
        <v>4.0011722222222351E-2</v>
      </c>
    </row>
    <row r="8005" spans="7:8" x14ac:dyDescent="0.3">
      <c r="G8005" s="15">
        <v>22.222222222222221</v>
      </c>
      <c r="H8005" s="3">
        <v>4.001111111111124E-2</v>
      </c>
    </row>
    <row r="8006" spans="7:8" x14ac:dyDescent="0.3">
      <c r="G8006" s="15">
        <v>22.225000000000001</v>
      </c>
      <c r="H8006" s="3">
        <v>4.0010500000000129E-2</v>
      </c>
    </row>
    <row r="8007" spans="7:8" x14ac:dyDescent="0.3">
      <c r="G8007" s="15">
        <v>22.227777777777778</v>
      </c>
      <c r="H8007" s="3">
        <v>4.0009888888889018E-2</v>
      </c>
    </row>
    <row r="8008" spans="7:8" x14ac:dyDescent="0.3">
      <c r="G8008" s="15">
        <v>22.230555555555554</v>
      </c>
      <c r="H8008" s="3">
        <v>4.0009277777777907E-2</v>
      </c>
    </row>
    <row r="8009" spans="7:8" x14ac:dyDescent="0.3">
      <c r="G8009" s="15">
        <v>22.233333333333334</v>
      </c>
      <c r="H8009" s="3">
        <v>4.0008666666666796E-2</v>
      </c>
    </row>
    <row r="8010" spans="7:8" x14ac:dyDescent="0.3">
      <c r="G8010" s="15">
        <v>22.236111111111111</v>
      </c>
      <c r="H8010" s="3">
        <v>4.0008055555555685E-2</v>
      </c>
    </row>
    <row r="8011" spans="7:8" x14ac:dyDescent="0.3">
      <c r="G8011" s="15">
        <v>22.238888888888887</v>
      </c>
      <c r="H8011" s="3">
        <v>4.0007444444444575E-2</v>
      </c>
    </row>
    <row r="8012" spans="7:8" x14ac:dyDescent="0.3">
      <c r="G8012" s="15">
        <v>22.241666666666667</v>
      </c>
      <c r="H8012" s="3">
        <v>4.0006833333333464E-2</v>
      </c>
    </row>
    <row r="8013" spans="7:8" x14ac:dyDescent="0.3">
      <c r="G8013" s="15">
        <v>22.244444444444444</v>
      </c>
      <c r="H8013" s="3">
        <v>4.0006222222222353E-2</v>
      </c>
    </row>
    <row r="8014" spans="7:8" x14ac:dyDescent="0.3">
      <c r="G8014" s="15">
        <v>22.247222222222224</v>
      </c>
      <c r="H8014" s="3">
        <v>4.0005611111111242E-2</v>
      </c>
    </row>
    <row r="8015" spans="7:8" x14ac:dyDescent="0.3">
      <c r="G8015" s="15">
        <v>22.25</v>
      </c>
      <c r="H8015" s="3">
        <v>4.0005000000000131E-2</v>
      </c>
    </row>
    <row r="8016" spans="7:8" x14ac:dyDescent="0.3">
      <c r="G8016" s="15">
        <v>22.252777777777776</v>
      </c>
      <c r="H8016" s="3">
        <v>4.000438888888902E-2</v>
      </c>
    </row>
    <row r="8017" spans="7:8" x14ac:dyDescent="0.3">
      <c r="G8017" s="15">
        <v>22.255555555555556</v>
      </c>
      <c r="H8017" s="3">
        <v>4.0003777777777909E-2</v>
      </c>
    </row>
    <row r="8018" spans="7:8" x14ac:dyDescent="0.3">
      <c r="G8018" s="15">
        <v>22.258333333333333</v>
      </c>
      <c r="H8018" s="3">
        <v>4.0003166666666798E-2</v>
      </c>
    </row>
    <row r="8019" spans="7:8" x14ac:dyDescent="0.3">
      <c r="G8019" s="15">
        <v>22.261111111111113</v>
      </c>
      <c r="H8019" s="3">
        <v>4.0002555555555687E-2</v>
      </c>
    </row>
    <row r="8020" spans="7:8" x14ac:dyDescent="0.3">
      <c r="G8020" s="15">
        <v>22.263888888888889</v>
      </c>
      <c r="H8020" s="3">
        <v>4.0001944444444576E-2</v>
      </c>
    </row>
    <row r="8021" spans="7:8" x14ac:dyDescent="0.3">
      <c r="G8021" s="15">
        <v>22.266666666666666</v>
      </c>
      <c r="H8021" s="3">
        <v>4.0001333333333465E-2</v>
      </c>
    </row>
    <row r="8022" spans="7:8" x14ac:dyDescent="0.3">
      <c r="G8022" s="15">
        <v>22.269444444444446</v>
      </c>
      <c r="H8022" s="3">
        <v>4.0000722222222354E-2</v>
      </c>
    </row>
    <row r="8023" spans="7:8" x14ac:dyDescent="0.3">
      <c r="G8023" s="15">
        <v>22.272222222222222</v>
      </c>
      <c r="H8023" s="3">
        <v>4.0000111111111243E-2</v>
      </c>
    </row>
    <row r="8024" spans="7:8" x14ac:dyDescent="0.3">
      <c r="G8024" s="15">
        <v>22.274999999999999</v>
      </c>
      <c r="H8024" s="3">
        <v>3.9999500000000132E-2</v>
      </c>
    </row>
    <row r="8025" spans="7:8" x14ac:dyDescent="0.3">
      <c r="G8025" s="15">
        <v>22.277777777777779</v>
      </c>
      <c r="H8025" s="3">
        <v>3.9998888888889021E-2</v>
      </c>
    </row>
    <row r="8026" spans="7:8" x14ac:dyDescent="0.3">
      <c r="G8026" s="15">
        <v>22.280555555555555</v>
      </c>
      <c r="H8026" s="3">
        <v>3.999827777777791E-2</v>
      </c>
    </row>
    <row r="8027" spans="7:8" x14ac:dyDescent="0.3">
      <c r="G8027" s="15">
        <v>22.283333333333335</v>
      </c>
      <c r="H8027" s="3">
        <v>3.9997666666666799E-2</v>
      </c>
    </row>
    <row r="8028" spans="7:8" x14ac:dyDescent="0.3">
      <c r="G8028" s="15">
        <v>22.286111111111111</v>
      </c>
      <c r="H8028" s="3">
        <v>3.9997055555555688E-2</v>
      </c>
    </row>
    <row r="8029" spans="7:8" x14ac:dyDescent="0.3">
      <c r="G8029" s="15">
        <v>22.288888888888888</v>
      </c>
      <c r="H8029" s="3">
        <v>3.9996444444444577E-2</v>
      </c>
    </row>
    <row r="8030" spans="7:8" x14ac:dyDescent="0.3">
      <c r="G8030" s="15">
        <v>22.291666666666668</v>
      </c>
      <c r="H8030" s="3">
        <v>3.9995833333333466E-2</v>
      </c>
    </row>
    <row r="8031" spans="7:8" x14ac:dyDescent="0.3">
      <c r="G8031" s="15">
        <v>22.294444444444444</v>
      </c>
      <c r="H8031" s="3">
        <v>3.9995222222222356E-2</v>
      </c>
    </row>
    <row r="8032" spans="7:8" x14ac:dyDescent="0.3">
      <c r="G8032" s="15">
        <v>22.297222222222221</v>
      </c>
      <c r="H8032" s="3">
        <v>3.9994611111111245E-2</v>
      </c>
    </row>
    <row r="8033" spans="7:8" x14ac:dyDescent="0.3">
      <c r="G8033" s="15">
        <v>22.3</v>
      </c>
      <c r="H8033" s="3">
        <v>3.9994000000000134E-2</v>
      </c>
    </row>
    <row r="8034" spans="7:8" x14ac:dyDescent="0.3">
      <c r="G8034" s="15">
        <v>22.302777777777777</v>
      </c>
      <c r="H8034" s="3">
        <v>3.9993388888889023E-2</v>
      </c>
    </row>
    <row r="8035" spans="7:8" x14ac:dyDescent="0.3">
      <c r="G8035" s="15">
        <v>22.305555555555557</v>
      </c>
      <c r="H8035" s="3">
        <v>3.9992777777777912E-2</v>
      </c>
    </row>
    <row r="8036" spans="7:8" x14ac:dyDescent="0.3">
      <c r="G8036" s="15">
        <v>22.308333333333334</v>
      </c>
      <c r="H8036" s="3">
        <v>3.9992166666666801E-2</v>
      </c>
    </row>
    <row r="8037" spans="7:8" x14ac:dyDescent="0.3">
      <c r="G8037" s="15">
        <v>22.31111111111111</v>
      </c>
      <c r="H8037" s="3">
        <v>3.999155555555569E-2</v>
      </c>
    </row>
    <row r="8038" spans="7:8" x14ac:dyDescent="0.3">
      <c r="G8038" s="15">
        <v>22.31388888888889</v>
      </c>
      <c r="H8038" s="3">
        <v>3.9990944444444579E-2</v>
      </c>
    </row>
    <row r="8039" spans="7:8" x14ac:dyDescent="0.3">
      <c r="G8039" s="15">
        <v>22.316666666666666</v>
      </c>
      <c r="H8039" s="3">
        <v>3.9990333333333468E-2</v>
      </c>
    </row>
    <row r="8040" spans="7:8" x14ac:dyDescent="0.3">
      <c r="G8040" s="15">
        <v>22.319444444444443</v>
      </c>
      <c r="H8040" s="3">
        <v>3.9989722222222357E-2</v>
      </c>
    </row>
    <row r="8041" spans="7:8" x14ac:dyDescent="0.3">
      <c r="G8041" s="15">
        <v>22.322222222222223</v>
      </c>
      <c r="H8041" s="3">
        <v>3.9989111111111246E-2</v>
      </c>
    </row>
    <row r="8042" spans="7:8" x14ac:dyDescent="0.3">
      <c r="G8042" s="15">
        <v>22.324999999999999</v>
      </c>
      <c r="H8042" s="3">
        <v>3.9988500000000135E-2</v>
      </c>
    </row>
    <row r="8043" spans="7:8" x14ac:dyDescent="0.3">
      <c r="G8043" s="15">
        <v>22.327777777777779</v>
      </c>
      <c r="H8043" s="3">
        <v>3.9987888888889024E-2</v>
      </c>
    </row>
    <row r="8044" spans="7:8" x14ac:dyDescent="0.3">
      <c r="G8044" s="15">
        <v>22.330555555555556</v>
      </c>
      <c r="H8044" s="3">
        <v>3.9987277777777913E-2</v>
      </c>
    </row>
    <row r="8045" spans="7:8" x14ac:dyDescent="0.3">
      <c r="G8045" s="15">
        <v>22.333333333333332</v>
      </c>
      <c r="H8045" s="3">
        <v>3.9986666666666802E-2</v>
      </c>
    </row>
    <row r="8046" spans="7:8" x14ac:dyDescent="0.3">
      <c r="G8046" s="15">
        <v>22.336111111111112</v>
      </c>
      <c r="H8046" s="3">
        <v>3.9986055555555691E-2</v>
      </c>
    </row>
    <row r="8047" spans="7:8" x14ac:dyDescent="0.3">
      <c r="G8047" s="15">
        <v>22.338888888888889</v>
      </c>
      <c r="H8047" s="3">
        <v>3.998544444444458E-2</v>
      </c>
    </row>
    <row r="8048" spans="7:8" x14ac:dyDescent="0.3">
      <c r="G8048" s="15">
        <v>22.341666666666665</v>
      </c>
      <c r="H8048" s="3">
        <v>3.9984833333333469E-2</v>
      </c>
    </row>
    <row r="8049" spans="7:8" x14ac:dyDescent="0.3">
      <c r="G8049" s="15">
        <v>22.344444444444445</v>
      </c>
      <c r="H8049" s="3">
        <v>3.9984222222222358E-2</v>
      </c>
    </row>
    <row r="8050" spans="7:8" x14ac:dyDescent="0.3">
      <c r="G8050" s="15">
        <v>22.347222222222221</v>
      </c>
      <c r="H8050" s="3">
        <v>3.9983611111111247E-2</v>
      </c>
    </row>
    <row r="8051" spans="7:8" x14ac:dyDescent="0.3">
      <c r="G8051" s="15">
        <v>22.35</v>
      </c>
      <c r="H8051" s="3">
        <v>3.9983000000000136E-2</v>
      </c>
    </row>
    <row r="8052" spans="7:8" x14ac:dyDescent="0.3">
      <c r="G8052" s="15">
        <v>22.352777777777778</v>
      </c>
      <c r="H8052" s="3">
        <v>3.9982388888889026E-2</v>
      </c>
    </row>
    <row r="8053" spans="7:8" x14ac:dyDescent="0.3">
      <c r="G8053" s="15">
        <v>22.355555555555554</v>
      </c>
      <c r="H8053" s="3">
        <v>3.9981777777777915E-2</v>
      </c>
    </row>
    <row r="8054" spans="7:8" x14ac:dyDescent="0.3">
      <c r="G8054" s="15">
        <v>22.358333333333334</v>
      </c>
      <c r="H8054" s="3">
        <v>3.9981166666666804E-2</v>
      </c>
    </row>
    <row r="8055" spans="7:8" x14ac:dyDescent="0.3">
      <c r="G8055" s="15">
        <v>22.361111111111111</v>
      </c>
      <c r="H8055" s="3">
        <v>3.9980555555555693E-2</v>
      </c>
    </row>
    <row r="8056" spans="7:8" x14ac:dyDescent="0.3">
      <c r="G8056" s="15">
        <v>22.363888888888887</v>
      </c>
      <c r="H8056" s="3">
        <v>3.9979944444444582E-2</v>
      </c>
    </row>
    <row r="8057" spans="7:8" x14ac:dyDescent="0.3">
      <c r="G8057" s="15">
        <v>22.366666666666667</v>
      </c>
      <c r="H8057" s="3">
        <v>3.9979333333333471E-2</v>
      </c>
    </row>
    <row r="8058" spans="7:8" x14ac:dyDescent="0.3">
      <c r="G8058" s="15">
        <v>22.369444444444444</v>
      </c>
      <c r="H8058" s="3">
        <v>3.997872222222236E-2</v>
      </c>
    </row>
    <row r="8059" spans="7:8" x14ac:dyDescent="0.3">
      <c r="G8059" s="15">
        <v>22.372222222222224</v>
      </c>
      <c r="H8059" s="3">
        <v>3.9978111111111249E-2</v>
      </c>
    </row>
    <row r="8060" spans="7:8" x14ac:dyDescent="0.3">
      <c r="G8060" s="15">
        <v>22.375</v>
      </c>
      <c r="H8060" s="3">
        <v>3.9977500000000138E-2</v>
      </c>
    </row>
    <row r="8061" spans="7:8" x14ac:dyDescent="0.3">
      <c r="G8061" s="15">
        <v>22.377777777777776</v>
      </c>
      <c r="H8061" s="3">
        <v>3.9976888888889027E-2</v>
      </c>
    </row>
    <row r="8062" spans="7:8" x14ac:dyDescent="0.3">
      <c r="G8062" s="15">
        <v>22.380555555555556</v>
      </c>
      <c r="H8062" s="3">
        <v>3.9976277777777916E-2</v>
      </c>
    </row>
    <row r="8063" spans="7:8" x14ac:dyDescent="0.3">
      <c r="G8063" s="15">
        <v>22.383333333333333</v>
      </c>
      <c r="H8063" s="3">
        <v>3.9975666666666805E-2</v>
      </c>
    </row>
    <row r="8064" spans="7:8" x14ac:dyDescent="0.3">
      <c r="G8064" s="15">
        <v>22.386111111111113</v>
      </c>
      <c r="H8064" s="3">
        <v>3.9975055555555694E-2</v>
      </c>
    </row>
    <row r="8065" spans="7:8" x14ac:dyDescent="0.3">
      <c r="G8065" s="15">
        <v>22.388888888888889</v>
      </c>
      <c r="H8065" s="3">
        <v>3.9974444444444583E-2</v>
      </c>
    </row>
    <row r="8066" spans="7:8" x14ac:dyDescent="0.3">
      <c r="G8066" s="15">
        <v>22.391666666666666</v>
      </c>
      <c r="H8066" s="3">
        <v>3.9973833333333472E-2</v>
      </c>
    </row>
    <row r="8067" spans="7:8" x14ac:dyDescent="0.3">
      <c r="G8067" s="15">
        <v>22.394444444444446</v>
      </c>
      <c r="H8067" s="3">
        <v>3.9973222222222361E-2</v>
      </c>
    </row>
    <row r="8068" spans="7:8" x14ac:dyDescent="0.3">
      <c r="G8068" s="15">
        <v>22.397222222222222</v>
      </c>
      <c r="H8068" s="3">
        <v>3.997261111111125E-2</v>
      </c>
    </row>
    <row r="8069" spans="7:8" x14ac:dyDescent="0.3">
      <c r="G8069" s="15">
        <v>22.4</v>
      </c>
      <c r="H8069" s="3">
        <v>3.9972000000000139E-2</v>
      </c>
    </row>
    <row r="8070" spans="7:8" x14ac:dyDescent="0.3">
      <c r="G8070" s="15">
        <v>22.402777777777779</v>
      </c>
      <c r="H8070" s="3">
        <v>3.9971388888889028E-2</v>
      </c>
    </row>
    <row r="8071" spans="7:8" x14ac:dyDescent="0.3">
      <c r="G8071" s="15">
        <v>22.405555555555555</v>
      </c>
      <c r="H8071" s="3">
        <v>3.9970777777777917E-2</v>
      </c>
    </row>
    <row r="8072" spans="7:8" x14ac:dyDescent="0.3">
      <c r="G8072" s="15">
        <v>22.408333333333335</v>
      </c>
      <c r="H8072" s="3">
        <v>3.9970166666666807E-2</v>
      </c>
    </row>
    <row r="8073" spans="7:8" x14ac:dyDescent="0.3">
      <c r="G8073" s="15">
        <v>22.411111111111111</v>
      </c>
      <c r="H8073" s="3">
        <v>3.9969555555555696E-2</v>
      </c>
    </row>
    <row r="8074" spans="7:8" x14ac:dyDescent="0.3">
      <c r="G8074" s="15">
        <v>22.413888888888888</v>
      </c>
      <c r="H8074" s="3">
        <v>3.9968944444444585E-2</v>
      </c>
    </row>
    <row r="8075" spans="7:8" x14ac:dyDescent="0.3">
      <c r="G8075" s="15">
        <v>22.416666666666668</v>
      </c>
      <c r="H8075" s="3">
        <v>3.9968333333333474E-2</v>
      </c>
    </row>
    <row r="8076" spans="7:8" x14ac:dyDescent="0.3">
      <c r="G8076" s="15">
        <v>22.419444444444444</v>
      </c>
      <c r="H8076" s="3">
        <v>3.9967722222222363E-2</v>
      </c>
    </row>
    <row r="8077" spans="7:8" x14ac:dyDescent="0.3">
      <c r="G8077" s="15">
        <v>22.422222222222221</v>
      </c>
      <c r="H8077" s="3">
        <v>3.9967111111111252E-2</v>
      </c>
    </row>
    <row r="8078" spans="7:8" x14ac:dyDescent="0.3">
      <c r="G8078" s="15">
        <v>22.425000000000001</v>
      </c>
      <c r="H8078" s="3">
        <v>3.9966500000000141E-2</v>
      </c>
    </row>
    <row r="8079" spans="7:8" x14ac:dyDescent="0.3">
      <c r="G8079" s="15">
        <v>22.427777777777777</v>
      </c>
      <c r="H8079" s="3">
        <v>3.996588888888903E-2</v>
      </c>
    </row>
    <row r="8080" spans="7:8" x14ac:dyDescent="0.3">
      <c r="G8080" s="15">
        <v>22.430555555555557</v>
      </c>
      <c r="H8080" s="3">
        <v>3.9965277777777919E-2</v>
      </c>
    </row>
    <row r="8081" spans="7:8" x14ac:dyDescent="0.3">
      <c r="G8081" s="15">
        <v>22.433333333333334</v>
      </c>
      <c r="H8081" s="3">
        <v>3.9964666666666808E-2</v>
      </c>
    </row>
    <row r="8082" spans="7:8" x14ac:dyDescent="0.3">
      <c r="G8082" s="15">
        <v>22.43611111111111</v>
      </c>
      <c r="H8082" s="3">
        <v>3.9964055555555697E-2</v>
      </c>
    </row>
    <row r="8083" spans="7:8" x14ac:dyDescent="0.3">
      <c r="G8083" s="15">
        <v>22.43888888888889</v>
      </c>
      <c r="H8083" s="3">
        <v>3.9963444444444586E-2</v>
      </c>
    </row>
    <row r="8084" spans="7:8" x14ac:dyDescent="0.3">
      <c r="G8084" s="15">
        <v>22.441666666666666</v>
      </c>
      <c r="H8084" s="3">
        <v>3.9962833333333475E-2</v>
      </c>
    </row>
    <row r="8085" spans="7:8" x14ac:dyDescent="0.3">
      <c r="G8085" s="15">
        <v>22.444444444444443</v>
      </c>
      <c r="H8085" s="3">
        <v>3.9962222222222364E-2</v>
      </c>
    </row>
    <row r="8086" spans="7:8" x14ac:dyDescent="0.3">
      <c r="G8086" s="15">
        <v>22.447222222222223</v>
      </c>
      <c r="H8086" s="3">
        <v>3.9961611111111253E-2</v>
      </c>
    </row>
    <row r="8087" spans="7:8" x14ac:dyDescent="0.3">
      <c r="G8087" s="15">
        <v>22.45</v>
      </c>
      <c r="H8087" s="3">
        <v>3.9961000000000142E-2</v>
      </c>
    </row>
    <row r="8088" spans="7:8" x14ac:dyDescent="0.3">
      <c r="G8088" s="15">
        <v>22.452777777777779</v>
      </c>
      <c r="H8088" s="3">
        <v>3.9960388888889031E-2</v>
      </c>
    </row>
    <row r="8089" spans="7:8" x14ac:dyDescent="0.3">
      <c r="G8089" s="15">
        <v>22.455555555555556</v>
      </c>
      <c r="H8089" s="3">
        <v>3.995977777777792E-2</v>
      </c>
    </row>
    <row r="8090" spans="7:8" x14ac:dyDescent="0.3">
      <c r="G8090" s="15">
        <v>22.458333333333332</v>
      </c>
      <c r="H8090" s="3">
        <v>3.9959166666666809E-2</v>
      </c>
    </row>
    <row r="8091" spans="7:8" x14ac:dyDescent="0.3">
      <c r="G8091" s="15">
        <v>22.461111111111112</v>
      </c>
      <c r="H8091" s="3">
        <v>3.9958555555555698E-2</v>
      </c>
    </row>
    <row r="8092" spans="7:8" x14ac:dyDescent="0.3">
      <c r="G8092" s="15">
        <v>22.463888888888889</v>
      </c>
      <c r="H8092" s="3">
        <v>3.9957944444444587E-2</v>
      </c>
    </row>
    <row r="8093" spans="7:8" x14ac:dyDescent="0.3">
      <c r="G8093" s="15">
        <v>22.466666666666665</v>
      </c>
      <c r="H8093" s="3">
        <v>3.9957333333333477E-2</v>
      </c>
    </row>
    <row r="8094" spans="7:8" x14ac:dyDescent="0.3">
      <c r="G8094" s="15">
        <v>22.469444444444445</v>
      </c>
      <c r="H8094" s="3">
        <v>3.9956722222222366E-2</v>
      </c>
    </row>
    <row r="8095" spans="7:8" x14ac:dyDescent="0.3">
      <c r="G8095" s="15">
        <v>22.472222222222221</v>
      </c>
      <c r="H8095" s="3">
        <v>3.9956111111111255E-2</v>
      </c>
    </row>
    <row r="8096" spans="7:8" x14ac:dyDescent="0.3">
      <c r="G8096" s="15">
        <v>22.475000000000001</v>
      </c>
      <c r="H8096" s="3">
        <v>3.9955500000000144E-2</v>
      </c>
    </row>
    <row r="8097" spans="7:8" x14ac:dyDescent="0.3">
      <c r="G8097" s="15">
        <v>22.477777777777778</v>
      </c>
      <c r="H8097" s="3">
        <v>3.9954888888889033E-2</v>
      </c>
    </row>
    <row r="8098" spans="7:8" x14ac:dyDescent="0.3">
      <c r="G8098" s="15">
        <v>22.480555555555554</v>
      </c>
      <c r="H8098" s="3">
        <v>3.9954277777777922E-2</v>
      </c>
    </row>
    <row r="8099" spans="7:8" x14ac:dyDescent="0.3">
      <c r="G8099" s="15">
        <v>22.483333333333334</v>
      </c>
      <c r="H8099" s="3">
        <v>3.9953666666666811E-2</v>
      </c>
    </row>
    <row r="8100" spans="7:8" x14ac:dyDescent="0.3">
      <c r="G8100" s="15">
        <v>22.486111111111111</v>
      </c>
      <c r="H8100" s="3">
        <v>3.99530555555557E-2</v>
      </c>
    </row>
    <row r="8101" spans="7:8" x14ac:dyDescent="0.3">
      <c r="G8101" s="15">
        <v>22.488888888888887</v>
      </c>
      <c r="H8101" s="3">
        <v>3.9952444444444589E-2</v>
      </c>
    </row>
    <row r="8102" spans="7:8" x14ac:dyDescent="0.3">
      <c r="G8102" s="15">
        <v>22.491666666666667</v>
      </c>
      <c r="H8102" s="3">
        <v>3.9951833333333478E-2</v>
      </c>
    </row>
    <row r="8103" spans="7:8" x14ac:dyDescent="0.3">
      <c r="G8103" s="15">
        <v>22.494444444444444</v>
      </c>
      <c r="H8103" s="3">
        <v>3.9951222222222367E-2</v>
      </c>
    </row>
    <row r="8104" spans="7:8" x14ac:dyDescent="0.3">
      <c r="G8104" s="15">
        <v>22.497222222222224</v>
      </c>
      <c r="H8104" s="3">
        <v>3.9950611111111256E-2</v>
      </c>
    </row>
    <row r="8105" spans="7:8" x14ac:dyDescent="0.3">
      <c r="G8105" s="15">
        <v>22.5</v>
      </c>
      <c r="H8105" s="3">
        <v>3.9950000000000145E-2</v>
      </c>
    </row>
    <row r="8106" spans="7:8" x14ac:dyDescent="0.3">
      <c r="G8106" s="15">
        <v>22.502777777777776</v>
      </c>
      <c r="H8106" s="3">
        <v>3.9949388888889034E-2</v>
      </c>
    </row>
    <row r="8107" spans="7:8" x14ac:dyDescent="0.3">
      <c r="G8107" s="15">
        <v>22.505555555555556</v>
      </c>
      <c r="H8107" s="3">
        <v>3.9948777777777923E-2</v>
      </c>
    </row>
    <row r="8108" spans="7:8" x14ac:dyDescent="0.3">
      <c r="G8108" s="15">
        <v>22.508333333333333</v>
      </c>
      <c r="H8108" s="3">
        <v>3.9948166666666812E-2</v>
      </c>
    </row>
    <row r="8109" spans="7:8" x14ac:dyDescent="0.3">
      <c r="G8109" s="15">
        <v>22.511111111111113</v>
      </c>
      <c r="H8109" s="3">
        <v>3.9947555555555701E-2</v>
      </c>
    </row>
    <row r="8110" spans="7:8" x14ac:dyDescent="0.3">
      <c r="G8110" s="15">
        <v>22.513888888888889</v>
      </c>
      <c r="H8110" s="3">
        <v>3.994694444444459E-2</v>
      </c>
    </row>
    <row r="8111" spans="7:8" x14ac:dyDescent="0.3">
      <c r="G8111" s="15">
        <v>22.516666666666666</v>
      </c>
      <c r="H8111" s="3">
        <v>3.9946333333333479E-2</v>
      </c>
    </row>
    <row r="8112" spans="7:8" x14ac:dyDescent="0.3">
      <c r="G8112" s="15">
        <v>22.519444444444446</v>
      </c>
      <c r="H8112" s="3">
        <v>3.9945722222222368E-2</v>
      </c>
    </row>
    <row r="8113" spans="7:8" x14ac:dyDescent="0.3">
      <c r="G8113" s="15">
        <v>22.522222222222222</v>
      </c>
      <c r="H8113" s="3">
        <v>3.9945111111111258E-2</v>
      </c>
    </row>
    <row r="8114" spans="7:8" x14ac:dyDescent="0.3">
      <c r="G8114" s="15">
        <v>22.524999999999999</v>
      </c>
      <c r="H8114" s="3">
        <v>3.9944500000000147E-2</v>
      </c>
    </row>
    <row r="8115" spans="7:8" x14ac:dyDescent="0.3">
      <c r="G8115" s="15">
        <v>22.527777777777779</v>
      </c>
      <c r="H8115" s="3">
        <v>3.9943888888889036E-2</v>
      </c>
    </row>
    <row r="8116" spans="7:8" x14ac:dyDescent="0.3">
      <c r="G8116" s="15">
        <v>22.530555555555555</v>
      </c>
      <c r="H8116" s="3">
        <v>3.9943277777777925E-2</v>
      </c>
    </row>
    <row r="8117" spans="7:8" x14ac:dyDescent="0.3">
      <c r="G8117" s="15">
        <v>22.533333333333335</v>
      </c>
      <c r="H8117" s="3">
        <v>3.9942666666666814E-2</v>
      </c>
    </row>
    <row r="8118" spans="7:8" x14ac:dyDescent="0.3">
      <c r="G8118" s="15">
        <v>22.536111111111111</v>
      </c>
      <c r="H8118" s="3">
        <v>3.9942055555555703E-2</v>
      </c>
    </row>
    <row r="8119" spans="7:8" x14ac:dyDescent="0.3">
      <c r="G8119" s="15">
        <v>22.538888888888888</v>
      </c>
      <c r="H8119" s="3">
        <v>3.9941444444444592E-2</v>
      </c>
    </row>
    <row r="8120" spans="7:8" x14ac:dyDescent="0.3">
      <c r="G8120" s="15">
        <v>22.541666666666668</v>
      </c>
      <c r="H8120" s="3">
        <v>3.9940833333333481E-2</v>
      </c>
    </row>
    <row r="8121" spans="7:8" x14ac:dyDescent="0.3">
      <c r="G8121" s="15">
        <v>22.544444444444444</v>
      </c>
      <c r="H8121" s="3">
        <v>3.994022222222237E-2</v>
      </c>
    </row>
    <row r="8122" spans="7:8" x14ac:dyDescent="0.3">
      <c r="G8122" s="15">
        <v>22.547222222222221</v>
      </c>
      <c r="H8122" s="3">
        <v>3.9939611111111259E-2</v>
      </c>
    </row>
    <row r="8123" spans="7:8" x14ac:dyDescent="0.3">
      <c r="G8123" s="15">
        <v>22.55</v>
      </c>
      <c r="H8123" s="3">
        <v>3.9939000000000148E-2</v>
      </c>
    </row>
    <row r="8124" spans="7:8" x14ac:dyDescent="0.3">
      <c r="G8124" s="15">
        <v>22.552777777777777</v>
      </c>
      <c r="H8124" s="3">
        <v>3.9938388888889037E-2</v>
      </c>
    </row>
    <row r="8125" spans="7:8" x14ac:dyDescent="0.3">
      <c r="G8125" s="15">
        <v>22.555555555555557</v>
      </c>
      <c r="H8125" s="3">
        <v>3.9937777777777926E-2</v>
      </c>
    </row>
    <row r="8126" spans="7:8" x14ac:dyDescent="0.3">
      <c r="G8126" s="15">
        <v>22.558333333333334</v>
      </c>
      <c r="H8126" s="3">
        <v>3.9937166666666815E-2</v>
      </c>
    </row>
    <row r="8127" spans="7:8" x14ac:dyDescent="0.3">
      <c r="G8127" s="15">
        <v>22.56111111111111</v>
      </c>
      <c r="H8127" s="3">
        <v>3.9936555555555704E-2</v>
      </c>
    </row>
    <row r="8128" spans="7:8" x14ac:dyDescent="0.3">
      <c r="G8128" s="15">
        <v>22.56388888888889</v>
      </c>
      <c r="H8128" s="3">
        <v>3.9935944444444593E-2</v>
      </c>
    </row>
    <row r="8129" spans="7:8" x14ac:dyDescent="0.3">
      <c r="G8129" s="15">
        <v>22.566666666666666</v>
      </c>
      <c r="H8129" s="3">
        <v>3.9935333333333482E-2</v>
      </c>
    </row>
    <row r="8130" spans="7:8" x14ac:dyDescent="0.3">
      <c r="G8130" s="15">
        <v>22.569444444444443</v>
      </c>
      <c r="H8130" s="3">
        <v>3.9934722222222371E-2</v>
      </c>
    </row>
    <row r="8131" spans="7:8" x14ac:dyDescent="0.3">
      <c r="G8131" s="15">
        <v>22.572222222222223</v>
      </c>
      <c r="H8131" s="3">
        <v>3.993411111111126E-2</v>
      </c>
    </row>
    <row r="8132" spans="7:8" x14ac:dyDescent="0.3">
      <c r="G8132" s="15">
        <v>22.574999999999999</v>
      </c>
      <c r="H8132" s="3">
        <v>3.9933500000000149E-2</v>
      </c>
    </row>
    <row r="8133" spans="7:8" x14ac:dyDescent="0.3">
      <c r="G8133" s="15">
        <v>22.577777777777779</v>
      </c>
      <c r="H8133" s="3">
        <v>3.9932888888889038E-2</v>
      </c>
    </row>
    <row r="8134" spans="7:8" x14ac:dyDescent="0.3">
      <c r="G8134" s="15">
        <v>22.580555555555556</v>
      </c>
      <c r="H8134" s="3">
        <v>3.9932277777777928E-2</v>
      </c>
    </row>
    <row r="8135" spans="7:8" x14ac:dyDescent="0.3">
      <c r="G8135" s="15">
        <v>22.583333333333332</v>
      </c>
      <c r="H8135" s="3">
        <v>3.9931666666666817E-2</v>
      </c>
    </row>
    <row r="8136" spans="7:8" x14ac:dyDescent="0.3">
      <c r="G8136" s="15">
        <v>22.586111111111112</v>
      </c>
      <c r="H8136" s="3">
        <v>3.9931055555555706E-2</v>
      </c>
    </row>
    <row r="8137" spans="7:8" x14ac:dyDescent="0.3">
      <c r="G8137" s="15">
        <v>22.588888888888889</v>
      </c>
      <c r="H8137" s="3">
        <v>3.9930444444444595E-2</v>
      </c>
    </row>
    <row r="8138" spans="7:8" x14ac:dyDescent="0.3">
      <c r="G8138" s="15">
        <v>22.591666666666665</v>
      </c>
      <c r="H8138" s="3">
        <v>3.9929833333333484E-2</v>
      </c>
    </row>
    <row r="8139" spans="7:8" x14ac:dyDescent="0.3">
      <c r="G8139" s="15">
        <v>22.594444444444445</v>
      </c>
      <c r="H8139" s="3">
        <v>3.9929222222222373E-2</v>
      </c>
    </row>
    <row r="8140" spans="7:8" x14ac:dyDescent="0.3">
      <c r="G8140" s="15">
        <v>22.597222222222221</v>
      </c>
      <c r="H8140" s="3">
        <v>3.9928611111111262E-2</v>
      </c>
    </row>
    <row r="8141" spans="7:8" x14ac:dyDescent="0.3">
      <c r="G8141" s="15">
        <v>22.6</v>
      </c>
      <c r="H8141" s="3">
        <v>3.9928000000000151E-2</v>
      </c>
    </row>
    <row r="8142" spans="7:8" x14ac:dyDescent="0.3">
      <c r="G8142" s="15">
        <v>22.602777777777778</v>
      </c>
      <c r="H8142" s="3">
        <v>3.992738888888904E-2</v>
      </c>
    </row>
    <row r="8143" spans="7:8" x14ac:dyDescent="0.3">
      <c r="G8143" s="15">
        <v>22.605555555555554</v>
      </c>
      <c r="H8143" s="3">
        <v>3.9926777777777929E-2</v>
      </c>
    </row>
    <row r="8144" spans="7:8" x14ac:dyDescent="0.3">
      <c r="G8144" s="15">
        <v>22.608333333333334</v>
      </c>
      <c r="H8144" s="3">
        <v>3.9926166666666818E-2</v>
      </c>
    </row>
    <row r="8145" spans="7:8" x14ac:dyDescent="0.3">
      <c r="G8145" s="15">
        <v>22.611111111111111</v>
      </c>
      <c r="H8145" s="3">
        <v>3.9925555555555707E-2</v>
      </c>
    </row>
    <row r="8146" spans="7:8" x14ac:dyDescent="0.3">
      <c r="G8146" s="15">
        <v>22.613888888888887</v>
      </c>
      <c r="H8146" s="3">
        <v>3.9924944444444596E-2</v>
      </c>
    </row>
    <row r="8147" spans="7:8" x14ac:dyDescent="0.3">
      <c r="G8147" s="15">
        <v>22.616666666666667</v>
      </c>
      <c r="H8147" s="3">
        <v>3.9924333333333485E-2</v>
      </c>
    </row>
    <row r="8148" spans="7:8" x14ac:dyDescent="0.3">
      <c r="G8148" s="15">
        <v>22.619444444444444</v>
      </c>
      <c r="H8148" s="3">
        <v>3.9923722222222374E-2</v>
      </c>
    </row>
    <row r="8149" spans="7:8" x14ac:dyDescent="0.3">
      <c r="G8149" s="15">
        <v>22.622222222222224</v>
      </c>
      <c r="H8149" s="3">
        <v>3.9923111111111263E-2</v>
      </c>
    </row>
    <row r="8150" spans="7:8" x14ac:dyDescent="0.3">
      <c r="G8150" s="15">
        <v>22.625</v>
      </c>
      <c r="H8150" s="3">
        <v>3.9922500000000152E-2</v>
      </c>
    </row>
    <row r="8151" spans="7:8" x14ac:dyDescent="0.3">
      <c r="G8151" s="15">
        <v>22.627777777777776</v>
      </c>
      <c r="H8151" s="3">
        <v>3.9921888888889041E-2</v>
      </c>
    </row>
    <row r="8152" spans="7:8" x14ac:dyDescent="0.3">
      <c r="G8152" s="15">
        <v>22.630555555555556</v>
      </c>
      <c r="H8152" s="3">
        <v>3.992127777777793E-2</v>
      </c>
    </row>
    <row r="8153" spans="7:8" x14ac:dyDescent="0.3">
      <c r="G8153" s="15">
        <v>22.633333333333333</v>
      </c>
      <c r="H8153" s="3">
        <v>3.9920666666666819E-2</v>
      </c>
    </row>
    <row r="8154" spans="7:8" x14ac:dyDescent="0.3">
      <c r="G8154" s="15">
        <v>22.636111111111113</v>
      </c>
      <c r="H8154" s="3">
        <v>3.9920055555555709E-2</v>
      </c>
    </row>
    <row r="8155" spans="7:8" x14ac:dyDescent="0.3">
      <c r="G8155" s="15">
        <v>22.638888888888889</v>
      </c>
      <c r="H8155" s="3">
        <v>3.9919444444444598E-2</v>
      </c>
    </row>
    <row r="8156" spans="7:8" x14ac:dyDescent="0.3">
      <c r="G8156" s="15">
        <v>22.641666666666666</v>
      </c>
      <c r="H8156" s="3">
        <v>3.9918833333333487E-2</v>
      </c>
    </row>
    <row r="8157" spans="7:8" x14ac:dyDescent="0.3">
      <c r="G8157" s="15">
        <v>22.644444444444446</v>
      </c>
      <c r="H8157" s="3">
        <v>3.9918222222222376E-2</v>
      </c>
    </row>
    <row r="8158" spans="7:8" x14ac:dyDescent="0.3">
      <c r="G8158" s="15">
        <v>22.647222222222222</v>
      </c>
      <c r="H8158" s="3">
        <v>3.9917611111111265E-2</v>
      </c>
    </row>
    <row r="8159" spans="7:8" x14ac:dyDescent="0.3">
      <c r="G8159" s="15">
        <v>22.65</v>
      </c>
      <c r="H8159" s="3">
        <v>3.9917000000000154E-2</v>
      </c>
    </row>
    <row r="8160" spans="7:8" x14ac:dyDescent="0.3">
      <c r="G8160" s="15">
        <v>22.652777777777779</v>
      </c>
      <c r="H8160" s="3">
        <v>3.9916388888889043E-2</v>
      </c>
    </row>
    <row r="8161" spans="7:8" x14ac:dyDescent="0.3">
      <c r="G8161" s="15">
        <v>22.655555555555555</v>
      </c>
      <c r="H8161" s="3">
        <v>3.9915777777777932E-2</v>
      </c>
    </row>
    <row r="8162" spans="7:8" x14ac:dyDescent="0.3">
      <c r="G8162" s="15">
        <v>22.658333333333335</v>
      </c>
      <c r="H8162" s="3">
        <v>3.9915166666666821E-2</v>
      </c>
    </row>
    <row r="8163" spans="7:8" x14ac:dyDescent="0.3">
      <c r="G8163" s="15">
        <v>22.661111111111111</v>
      </c>
      <c r="H8163" s="3">
        <v>3.991455555555571E-2</v>
      </c>
    </row>
    <row r="8164" spans="7:8" x14ac:dyDescent="0.3">
      <c r="G8164" s="15">
        <v>22.663888888888888</v>
      </c>
      <c r="H8164" s="3">
        <v>3.9913944444444599E-2</v>
      </c>
    </row>
    <row r="8165" spans="7:8" x14ac:dyDescent="0.3">
      <c r="G8165" s="15">
        <v>22.666666666666668</v>
      </c>
      <c r="H8165" s="3">
        <v>3.9913333333333488E-2</v>
      </c>
    </row>
    <row r="8166" spans="7:8" x14ac:dyDescent="0.3">
      <c r="G8166" s="15">
        <v>22.669444444444444</v>
      </c>
      <c r="H8166" s="3">
        <v>3.9912722222222377E-2</v>
      </c>
    </row>
    <row r="8167" spans="7:8" x14ac:dyDescent="0.3">
      <c r="G8167" s="15">
        <v>22.672222222222221</v>
      </c>
      <c r="H8167" s="3">
        <v>3.9912111111111266E-2</v>
      </c>
    </row>
    <row r="8168" spans="7:8" x14ac:dyDescent="0.3">
      <c r="G8168" s="15">
        <v>22.675000000000001</v>
      </c>
      <c r="H8168" s="3">
        <v>3.9911500000000155E-2</v>
      </c>
    </row>
    <row r="8169" spans="7:8" x14ac:dyDescent="0.3">
      <c r="G8169" s="15">
        <v>22.677777777777777</v>
      </c>
      <c r="H8169" s="3">
        <v>3.9910888888889044E-2</v>
      </c>
    </row>
    <row r="8170" spans="7:8" x14ac:dyDescent="0.3">
      <c r="G8170" s="15">
        <v>22.680555555555557</v>
      </c>
      <c r="H8170" s="3">
        <v>3.9910277777777933E-2</v>
      </c>
    </row>
    <row r="8171" spans="7:8" x14ac:dyDescent="0.3">
      <c r="G8171" s="15">
        <v>22.683333333333334</v>
      </c>
      <c r="H8171" s="3">
        <v>3.9909666666666822E-2</v>
      </c>
    </row>
    <row r="8172" spans="7:8" x14ac:dyDescent="0.3">
      <c r="G8172" s="15">
        <v>22.68611111111111</v>
      </c>
      <c r="H8172" s="3">
        <v>3.9909055555555711E-2</v>
      </c>
    </row>
    <row r="8173" spans="7:8" x14ac:dyDescent="0.3">
      <c r="G8173" s="15">
        <v>22.68888888888889</v>
      </c>
      <c r="H8173" s="3">
        <v>3.99084444444446E-2</v>
      </c>
    </row>
    <row r="8174" spans="7:8" x14ac:dyDescent="0.3">
      <c r="G8174" s="15">
        <v>22.691666666666666</v>
      </c>
      <c r="H8174" s="3">
        <v>3.9907833333333489E-2</v>
      </c>
    </row>
    <row r="8175" spans="7:8" x14ac:dyDescent="0.3">
      <c r="G8175" s="15">
        <v>22.694444444444443</v>
      </c>
      <c r="H8175" s="3">
        <v>3.9907222222222379E-2</v>
      </c>
    </row>
    <row r="8176" spans="7:8" x14ac:dyDescent="0.3">
      <c r="G8176" s="15">
        <v>22.697222222222223</v>
      </c>
      <c r="H8176" s="3">
        <v>3.9906611111111268E-2</v>
      </c>
    </row>
    <row r="8177" spans="7:8" x14ac:dyDescent="0.3">
      <c r="G8177" s="15">
        <v>22.7</v>
      </c>
      <c r="H8177" s="3">
        <v>3.9906000000000157E-2</v>
      </c>
    </row>
    <row r="8178" spans="7:8" x14ac:dyDescent="0.3">
      <c r="G8178" s="15">
        <v>22.702777777777779</v>
      </c>
      <c r="H8178" s="3">
        <v>3.9905388888889046E-2</v>
      </c>
    </row>
    <row r="8179" spans="7:8" x14ac:dyDescent="0.3">
      <c r="G8179" s="15">
        <v>22.705555555555556</v>
      </c>
      <c r="H8179" s="3">
        <v>3.9904777777777935E-2</v>
      </c>
    </row>
    <row r="8180" spans="7:8" x14ac:dyDescent="0.3">
      <c r="G8180" s="15">
        <v>22.708333333333332</v>
      </c>
      <c r="H8180" s="3">
        <v>3.9904166666666824E-2</v>
      </c>
    </row>
    <row r="8181" spans="7:8" x14ac:dyDescent="0.3">
      <c r="G8181" s="15">
        <v>22.711111111111112</v>
      </c>
      <c r="H8181" s="3">
        <v>3.9903555555555713E-2</v>
      </c>
    </row>
    <row r="8182" spans="7:8" x14ac:dyDescent="0.3">
      <c r="G8182" s="15">
        <v>22.713888888888889</v>
      </c>
      <c r="H8182" s="3">
        <v>3.9902944444444602E-2</v>
      </c>
    </row>
    <row r="8183" spans="7:8" x14ac:dyDescent="0.3">
      <c r="G8183" s="15">
        <v>22.716666666666665</v>
      </c>
      <c r="H8183" s="3">
        <v>3.9902333333333491E-2</v>
      </c>
    </row>
    <row r="8184" spans="7:8" x14ac:dyDescent="0.3">
      <c r="G8184" s="15">
        <v>22.719444444444445</v>
      </c>
      <c r="H8184" s="3">
        <v>3.990172222222238E-2</v>
      </c>
    </row>
    <row r="8185" spans="7:8" x14ac:dyDescent="0.3">
      <c r="G8185" s="15">
        <v>22.722222222222221</v>
      </c>
      <c r="H8185" s="3">
        <v>3.9901111111111269E-2</v>
      </c>
    </row>
    <row r="8186" spans="7:8" x14ac:dyDescent="0.3">
      <c r="G8186" s="15">
        <v>22.725000000000001</v>
      </c>
      <c r="H8186" s="3">
        <v>3.9900500000000158E-2</v>
      </c>
    </row>
    <row r="8187" spans="7:8" x14ac:dyDescent="0.3">
      <c r="G8187" s="15">
        <v>22.727777777777778</v>
      </c>
      <c r="H8187" s="3">
        <v>3.9899888888889047E-2</v>
      </c>
    </row>
    <row r="8188" spans="7:8" x14ac:dyDescent="0.3">
      <c r="G8188" s="15">
        <v>22.730555555555554</v>
      </c>
      <c r="H8188" s="3">
        <v>3.9899277777777936E-2</v>
      </c>
    </row>
    <row r="8189" spans="7:8" x14ac:dyDescent="0.3">
      <c r="G8189" s="15">
        <v>22.733333333333334</v>
      </c>
      <c r="H8189" s="3">
        <v>3.9898666666666825E-2</v>
      </c>
    </row>
    <row r="8190" spans="7:8" x14ac:dyDescent="0.3">
      <c r="G8190" s="15">
        <v>22.736111111111111</v>
      </c>
      <c r="H8190" s="3">
        <v>3.9898055555555714E-2</v>
      </c>
    </row>
    <row r="8191" spans="7:8" x14ac:dyDescent="0.3">
      <c r="G8191" s="15">
        <v>22.738888888888887</v>
      </c>
      <c r="H8191" s="3">
        <v>3.9897444444444603E-2</v>
      </c>
    </row>
    <row r="8192" spans="7:8" x14ac:dyDescent="0.3">
      <c r="G8192" s="15">
        <v>22.741666666666667</v>
      </c>
      <c r="H8192" s="3">
        <v>3.9896833333333492E-2</v>
      </c>
    </row>
    <row r="8193" spans="7:8" x14ac:dyDescent="0.3">
      <c r="G8193" s="15">
        <v>22.744444444444444</v>
      </c>
      <c r="H8193" s="3">
        <v>3.9896222222222381E-2</v>
      </c>
    </row>
    <row r="8194" spans="7:8" x14ac:dyDescent="0.3">
      <c r="G8194" s="15">
        <v>22.747222222222224</v>
      </c>
      <c r="H8194" s="3">
        <v>3.989561111111127E-2</v>
      </c>
    </row>
    <row r="8195" spans="7:8" x14ac:dyDescent="0.3">
      <c r="G8195" s="15">
        <v>22.75</v>
      </c>
      <c r="H8195" s="3">
        <v>3.989500000000016E-2</v>
      </c>
    </row>
    <row r="8196" spans="7:8" x14ac:dyDescent="0.3">
      <c r="G8196" s="15">
        <v>22.752777777777776</v>
      </c>
      <c r="H8196" s="3">
        <v>3.9894388888889049E-2</v>
      </c>
    </row>
    <row r="8197" spans="7:8" x14ac:dyDescent="0.3">
      <c r="G8197" s="15">
        <v>22.755555555555556</v>
      </c>
      <c r="H8197" s="3">
        <v>3.9893777777777938E-2</v>
      </c>
    </row>
    <row r="8198" spans="7:8" x14ac:dyDescent="0.3">
      <c r="G8198" s="15">
        <v>22.758333333333333</v>
      </c>
      <c r="H8198" s="3">
        <v>3.9893166666666827E-2</v>
      </c>
    </row>
    <row r="8199" spans="7:8" x14ac:dyDescent="0.3">
      <c r="G8199" s="15">
        <v>22.761111111111113</v>
      </c>
      <c r="H8199" s="3">
        <v>3.9892555555555716E-2</v>
      </c>
    </row>
    <row r="8200" spans="7:8" x14ac:dyDescent="0.3">
      <c r="G8200" s="15">
        <v>22.763888888888889</v>
      </c>
      <c r="H8200" s="3">
        <v>3.9891944444444605E-2</v>
      </c>
    </row>
    <row r="8201" spans="7:8" x14ac:dyDescent="0.3">
      <c r="G8201" s="15">
        <v>22.766666666666666</v>
      </c>
      <c r="H8201" s="3">
        <v>3.9891333333333494E-2</v>
      </c>
    </row>
    <row r="8202" spans="7:8" x14ac:dyDescent="0.3">
      <c r="G8202" s="15">
        <v>22.769444444444446</v>
      </c>
      <c r="H8202" s="3">
        <v>3.9890722222222383E-2</v>
      </c>
    </row>
    <row r="8203" spans="7:8" x14ac:dyDescent="0.3">
      <c r="G8203" s="15">
        <v>22.772222222222222</v>
      </c>
      <c r="H8203" s="3">
        <v>3.9890111111111272E-2</v>
      </c>
    </row>
    <row r="8204" spans="7:8" x14ac:dyDescent="0.3">
      <c r="G8204" s="15">
        <v>22.774999999999999</v>
      </c>
      <c r="H8204" s="3">
        <v>3.9889500000000161E-2</v>
      </c>
    </row>
    <row r="8205" spans="7:8" x14ac:dyDescent="0.3">
      <c r="G8205" s="15">
        <v>22.777777777777779</v>
      </c>
      <c r="H8205" s="3">
        <v>3.988888888888905E-2</v>
      </c>
    </row>
    <row r="8206" spans="7:8" x14ac:dyDescent="0.3">
      <c r="G8206" s="15">
        <v>22.780555555555555</v>
      </c>
      <c r="H8206" s="3">
        <v>3.9888277777777939E-2</v>
      </c>
    </row>
    <row r="8207" spans="7:8" x14ac:dyDescent="0.3">
      <c r="G8207" s="15">
        <v>22.783333333333335</v>
      </c>
      <c r="H8207" s="3">
        <v>3.9887666666666828E-2</v>
      </c>
    </row>
    <row r="8208" spans="7:8" x14ac:dyDescent="0.3">
      <c r="G8208" s="15">
        <v>22.786111111111111</v>
      </c>
      <c r="H8208" s="3">
        <v>3.9887055555555717E-2</v>
      </c>
    </row>
    <row r="8209" spans="7:8" x14ac:dyDescent="0.3">
      <c r="G8209" s="15">
        <v>22.788888888888888</v>
      </c>
      <c r="H8209" s="3">
        <v>3.9886444444444606E-2</v>
      </c>
    </row>
    <row r="8210" spans="7:8" x14ac:dyDescent="0.3">
      <c r="G8210" s="15">
        <v>22.791666666666668</v>
      </c>
      <c r="H8210" s="3">
        <v>3.9885833333333495E-2</v>
      </c>
    </row>
    <row r="8211" spans="7:8" x14ac:dyDescent="0.3">
      <c r="G8211" s="15">
        <v>22.794444444444444</v>
      </c>
      <c r="H8211" s="3">
        <v>3.9885222222222384E-2</v>
      </c>
    </row>
    <row r="8212" spans="7:8" x14ac:dyDescent="0.3">
      <c r="G8212" s="15">
        <v>22.797222222222221</v>
      </c>
      <c r="H8212" s="3">
        <v>3.9884611111111273E-2</v>
      </c>
    </row>
    <row r="8213" spans="7:8" x14ac:dyDescent="0.3">
      <c r="G8213" s="15">
        <v>22.8</v>
      </c>
      <c r="H8213" s="3">
        <v>3.9884000000000162E-2</v>
      </c>
    </row>
    <row r="8214" spans="7:8" x14ac:dyDescent="0.3">
      <c r="G8214" s="15">
        <v>22.802777777777777</v>
      </c>
      <c r="H8214" s="3">
        <v>3.9883388888889051E-2</v>
      </c>
    </row>
    <row r="8215" spans="7:8" x14ac:dyDescent="0.3">
      <c r="G8215" s="15">
        <v>22.805555555555557</v>
      </c>
      <c r="H8215" s="3">
        <v>3.988277777777794E-2</v>
      </c>
    </row>
    <row r="8216" spans="7:8" x14ac:dyDescent="0.3">
      <c r="G8216" s="15">
        <v>22.808333333333334</v>
      </c>
      <c r="H8216" s="3">
        <v>3.988216666666683E-2</v>
      </c>
    </row>
    <row r="8217" spans="7:8" x14ac:dyDescent="0.3">
      <c r="G8217" s="15">
        <v>22.81111111111111</v>
      </c>
      <c r="H8217" s="3">
        <v>3.9881555555555719E-2</v>
      </c>
    </row>
    <row r="8218" spans="7:8" x14ac:dyDescent="0.3">
      <c r="G8218" s="15">
        <v>22.81388888888889</v>
      </c>
      <c r="H8218" s="3">
        <v>3.9880944444444608E-2</v>
      </c>
    </row>
    <row r="8219" spans="7:8" x14ac:dyDescent="0.3">
      <c r="G8219" s="15">
        <v>22.816666666666666</v>
      </c>
      <c r="H8219" s="3">
        <v>3.9880333333333497E-2</v>
      </c>
    </row>
    <row r="8220" spans="7:8" x14ac:dyDescent="0.3">
      <c r="G8220" s="15">
        <v>22.819444444444443</v>
      </c>
      <c r="H8220" s="3">
        <v>3.9879722222222386E-2</v>
      </c>
    </row>
    <row r="8221" spans="7:8" x14ac:dyDescent="0.3">
      <c r="G8221" s="15">
        <v>22.822222222222223</v>
      </c>
      <c r="H8221" s="3">
        <v>3.9879111111111275E-2</v>
      </c>
    </row>
    <row r="8222" spans="7:8" x14ac:dyDescent="0.3">
      <c r="G8222" s="15">
        <v>22.824999999999999</v>
      </c>
      <c r="H8222" s="3">
        <v>3.9878500000000164E-2</v>
      </c>
    </row>
    <row r="8223" spans="7:8" x14ac:dyDescent="0.3">
      <c r="G8223" s="15">
        <v>22.827777777777779</v>
      </c>
      <c r="H8223" s="3">
        <v>3.9877888888889053E-2</v>
      </c>
    </row>
    <row r="8224" spans="7:8" x14ac:dyDescent="0.3">
      <c r="G8224" s="15">
        <v>22.830555555555556</v>
      </c>
      <c r="H8224" s="3">
        <v>3.9877277777777942E-2</v>
      </c>
    </row>
    <row r="8225" spans="7:8" x14ac:dyDescent="0.3">
      <c r="G8225" s="15">
        <v>22.833333333333332</v>
      </c>
      <c r="H8225" s="3">
        <v>3.9876666666666831E-2</v>
      </c>
    </row>
    <row r="8226" spans="7:8" x14ac:dyDescent="0.3">
      <c r="G8226" s="15">
        <v>22.836111111111112</v>
      </c>
      <c r="H8226" s="3">
        <v>3.987605555555572E-2</v>
      </c>
    </row>
    <row r="8227" spans="7:8" x14ac:dyDescent="0.3">
      <c r="G8227" s="15">
        <v>22.838888888888889</v>
      </c>
      <c r="H8227" s="3">
        <v>3.9875444444444609E-2</v>
      </c>
    </row>
    <row r="8228" spans="7:8" x14ac:dyDescent="0.3">
      <c r="G8228" s="15">
        <v>22.841666666666665</v>
      </c>
      <c r="H8228" s="3">
        <v>3.9874833333333498E-2</v>
      </c>
    </row>
    <row r="8229" spans="7:8" x14ac:dyDescent="0.3">
      <c r="G8229" s="15">
        <v>22.844444444444445</v>
      </c>
      <c r="H8229" s="3">
        <v>3.9874222222222387E-2</v>
      </c>
    </row>
    <row r="8230" spans="7:8" x14ac:dyDescent="0.3">
      <c r="G8230" s="15">
        <v>22.847222222222221</v>
      </c>
      <c r="H8230" s="3">
        <v>3.9873611111111276E-2</v>
      </c>
    </row>
    <row r="8231" spans="7:8" x14ac:dyDescent="0.3">
      <c r="G8231" s="15">
        <v>22.85</v>
      </c>
      <c r="H8231" s="3">
        <v>3.9873000000000165E-2</v>
      </c>
    </row>
    <row r="8232" spans="7:8" x14ac:dyDescent="0.3">
      <c r="G8232" s="15">
        <v>22.852777777777778</v>
      </c>
      <c r="H8232" s="3">
        <v>3.9872388888889054E-2</v>
      </c>
    </row>
    <row r="8233" spans="7:8" x14ac:dyDescent="0.3">
      <c r="G8233" s="15">
        <v>22.855555555555554</v>
      </c>
      <c r="H8233" s="3">
        <v>3.9871777777777943E-2</v>
      </c>
    </row>
    <row r="8234" spans="7:8" x14ac:dyDescent="0.3">
      <c r="G8234" s="15">
        <v>22.858333333333334</v>
      </c>
      <c r="H8234" s="3">
        <v>3.9871166666666832E-2</v>
      </c>
    </row>
    <row r="8235" spans="7:8" x14ac:dyDescent="0.3">
      <c r="G8235" s="15">
        <v>22.861111111111111</v>
      </c>
      <c r="H8235" s="3">
        <v>3.9870555555555721E-2</v>
      </c>
    </row>
    <row r="8236" spans="7:8" x14ac:dyDescent="0.3">
      <c r="G8236" s="15">
        <v>22.863888888888887</v>
      </c>
      <c r="H8236" s="3">
        <v>3.986994444444461E-2</v>
      </c>
    </row>
    <row r="8237" spans="7:8" x14ac:dyDescent="0.3">
      <c r="G8237" s="15">
        <v>22.866666666666667</v>
      </c>
      <c r="H8237" s="3">
        <v>3.98693333333335E-2</v>
      </c>
    </row>
    <row r="8238" spans="7:8" x14ac:dyDescent="0.3">
      <c r="G8238" s="15">
        <v>22.869444444444444</v>
      </c>
      <c r="H8238" s="3">
        <v>3.9868722222222389E-2</v>
      </c>
    </row>
    <row r="8239" spans="7:8" x14ac:dyDescent="0.3">
      <c r="G8239" s="15">
        <v>22.872222222222224</v>
      </c>
      <c r="H8239" s="3">
        <v>3.9868111111111278E-2</v>
      </c>
    </row>
    <row r="8240" spans="7:8" x14ac:dyDescent="0.3">
      <c r="G8240" s="15">
        <v>22.875</v>
      </c>
      <c r="H8240" s="3">
        <v>3.9867500000000167E-2</v>
      </c>
    </row>
    <row r="8241" spans="7:8" x14ac:dyDescent="0.3">
      <c r="G8241" s="15">
        <v>22.877777777777776</v>
      </c>
      <c r="H8241" s="3">
        <v>3.9866888888889056E-2</v>
      </c>
    </row>
    <row r="8242" spans="7:8" x14ac:dyDescent="0.3">
      <c r="G8242" s="15">
        <v>22.880555555555556</v>
      </c>
      <c r="H8242" s="3">
        <v>3.9866277777777945E-2</v>
      </c>
    </row>
    <row r="8243" spans="7:8" x14ac:dyDescent="0.3">
      <c r="G8243" s="15">
        <v>22.883333333333333</v>
      </c>
      <c r="H8243" s="3">
        <v>3.9865666666666834E-2</v>
      </c>
    </row>
    <row r="8244" spans="7:8" x14ac:dyDescent="0.3">
      <c r="G8244" s="15">
        <v>22.886111111111113</v>
      </c>
      <c r="H8244" s="3">
        <v>3.9865055555555723E-2</v>
      </c>
    </row>
    <row r="8245" spans="7:8" x14ac:dyDescent="0.3">
      <c r="G8245" s="15">
        <v>22.888888888888889</v>
      </c>
      <c r="H8245" s="3">
        <v>3.9864444444444612E-2</v>
      </c>
    </row>
    <row r="8246" spans="7:8" x14ac:dyDescent="0.3">
      <c r="G8246" s="15">
        <v>22.891666666666666</v>
      </c>
      <c r="H8246" s="3">
        <v>3.9863833333333501E-2</v>
      </c>
    </row>
    <row r="8247" spans="7:8" x14ac:dyDescent="0.3">
      <c r="G8247" s="15">
        <v>22.894444444444446</v>
      </c>
      <c r="H8247" s="3">
        <v>3.986322222222239E-2</v>
      </c>
    </row>
    <row r="8248" spans="7:8" x14ac:dyDescent="0.3">
      <c r="G8248" s="15">
        <v>22.897222222222222</v>
      </c>
      <c r="H8248" s="3">
        <v>3.9862611111111279E-2</v>
      </c>
    </row>
    <row r="8249" spans="7:8" x14ac:dyDescent="0.3">
      <c r="G8249" s="15">
        <v>22.9</v>
      </c>
      <c r="H8249" s="3">
        <v>3.9862000000000168E-2</v>
      </c>
    </row>
    <row r="8250" spans="7:8" x14ac:dyDescent="0.3">
      <c r="G8250" s="15">
        <v>22.902777777777779</v>
      </c>
      <c r="H8250" s="3">
        <v>3.9861388888889057E-2</v>
      </c>
    </row>
    <row r="8251" spans="7:8" x14ac:dyDescent="0.3">
      <c r="G8251" s="15">
        <v>22.905555555555555</v>
      </c>
      <c r="H8251" s="3">
        <v>3.9860777777777946E-2</v>
      </c>
    </row>
    <row r="8252" spans="7:8" x14ac:dyDescent="0.3">
      <c r="G8252" s="15">
        <v>22.908333333333335</v>
      </c>
      <c r="H8252" s="3">
        <v>3.9860166666666835E-2</v>
      </c>
    </row>
    <row r="8253" spans="7:8" x14ac:dyDescent="0.3">
      <c r="G8253" s="15">
        <v>22.911111111111111</v>
      </c>
      <c r="H8253" s="3">
        <v>3.9859555555555724E-2</v>
      </c>
    </row>
    <row r="8254" spans="7:8" x14ac:dyDescent="0.3">
      <c r="G8254" s="15">
        <v>22.913888888888888</v>
      </c>
      <c r="H8254" s="3">
        <v>3.9858944444444613E-2</v>
      </c>
    </row>
    <row r="8255" spans="7:8" x14ac:dyDescent="0.3">
      <c r="G8255" s="15">
        <v>22.916666666666668</v>
      </c>
      <c r="H8255" s="3">
        <v>3.9858333333333502E-2</v>
      </c>
    </row>
    <row r="8256" spans="7:8" x14ac:dyDescent="0.3">
      <c r="G8256" s="15">
        <v>22.919444444444444</v>
      </c>
      <c r="H8256" s="3">
        <v>3.9857722222222391E-2</v>
      </c>
    </row>
    <row r="8257" spans="7:8" x14ac:dyDescent="0.3">
      <c r="G8257" s="15">
        <v>22.922222222222221</v>
      </c>
      <c r="H8257" s="3">
        <v>3.9857111111111281E-2</v>
      </c>
    </row>
    <row r="8258" spans="7:8" x14ac:dyDescent="0.3">
      <c r="G8258" s="15">
        <v>22.925000000000001</v>
      </c>
      <c r="H8258" s="3">
        <v>3.985650000000017E-2</v>
      </c>
    </row>
    <row r="8259" spans="7:8" x14ac:dyDescent="0.3">
      <c r="G8259" s="15">
        <v>22.927777777777777</v>
      </c>
      <c r="H8259" s="3">
        <v>3.9855888888889059E-2</v>
      </c>
    </row>
    <row r="8260" spans="7:8" x14ac:dyDescent="0.3">
      <c r="G8260" s="15">
        <v>22.930555555555557</v>
      </c>
      <c r="H8260" s="3">
        <v>3.9855277777777948E-2</v>
      </c>
    </row>
    <row r="8261" spans="7:8" x14ac:dyDescent="0.3">
      <c r="G8261" s="15">
        <v>22.933333333333334</v>
      </c>
      <c r="H8261" s="3">
        <v>3.9854666666666837E-2</v>
      </c>
    </row>
    <row r="8262" spans="7:8" x14ac:dyDescent="0.3">
      <c r="G8262" s="15">
        <v>22.93611111111111</v>
      </c>
      <c r="H8262" s="3">
        <v>3.9854055555555726E-2</v>
      </c>
    </row>
    <row r="8263" spans="7:8" x14ac:dyDescent="0.3">
      <c r="G8263" s="15">
        <v>22.93888888888889</v>
      </c>
      <c r="H8263" s="3">
        <v>3.9853444444444615E-2</v>
      </c>
    </row>
    <row r="8264" spans="7:8" x14ac:dyDescent="0.3">
      <c r="G8264" s="15">
        <v>22.941666666666666</v>
      </c>
      <c r="H8264" s="3">
        <v>3.9852833333333504E-2</v>
      </c>
    </row>
    <row r="8265" spans="7:8" x14ac:dyDescent="0.3">
      <c r="G8265" s="15">
        <v>22.944444444444443</v>
      </c>
      <c r="H8265" s="3">
        <v>3.9852222222222393E-2</v>
      </c>
    </row>
    <row r="8266" spans="7:8" x14ac:dyDescent="0.3">
      <c r="G8266" s="15">
        <v>22.947222222222223</v>
      </c>
      <c r="H8266" s="3">
        <v>3.9851611111111282E-2</v>
      </c>
    </row>
    <row r="8267" spans="7:8" x14ac:dyDescent="0.3">
      <c r="G8267" s="15">
        <v>22.95</v>
      </c>
      <c r="H8267" s="3">
        <v>3.9851000000000171E-2</v>
      </c>
    </row>
    <row r="8268" spans="7:8" x14ac:dyDescent="0.3">
      <c r="G8268" s="15">
        <v>22.952777777777779</v>
      </c>
      <c r="H8268" s="3">
        <v>3.985038888888906E-2</v>
      </c>
    </row>
    <row r="8269" spans="7:8" x14ac:dyDescent="0.3">
      <c r="G8269" s="15">
        <v>22.955555555555556</v>
      </c>
      <c r="H8269" s="3">
        <v>3.9849777777777949E-2</v>
      </c>
    </row>
    <row r="8270" spans="7:8" x14ac:dyDescent="0.3">
      <c r="G8270" s="15">
        <v>22.958333333333332</v>
      </c>
      <c r="H8270" s="3">
        <v>3.9849166666666838E-2</v>
      </c>
    </row>
    <row r="8271" spans="7:8" x14ac:dyDescent="0.3">
      <c r="G8271" s="15">
        <v>22.961111111111112</v>
      </c>
      <c r="H8271" s="3">
        <v>3.9848555555555727E-2</v>
      </c>
    </row>
    <row r="8272" spans="7:8" x14ac:dyDescent="0.3">
      <c r="G8272" s="15">
        <v>22.963888888888889</v>
      </c>
      <c r="H8272" s="3">
        <v>3.9847944444444616E-2</v>
      </c>
    </row>
    <row r="8273" spans="7:8" x14ac:dyDescent="0.3">
      <c r="G8273" s="15">
        <v>22.966666666666665</v>
      </c>
      <c r="H8273" s="3">
        <v>3.9847333333333505E-2</v>
      </c>
    </row>
    <row r="8274" spans="7:8" x14ac:dyDescent="0.3">
      <c r="G8274" s="15">
        <v>22.969444444444445</v>
      </c>
      <c r="H8274" s="3">
        <v>3.9846722222222394E-2</v>
      </c>
    </row>
    <row r="8275" spans="7:8" x14ac:dyDescent="0.3">
      <c r="G8275" s="15">
        <v>22.972222222222221</v>
      </c>
      <c r="H8275" s="3">
        <v>3.9846111111111283E-2</v>
      </c>
    </row>
    <row r="8276" spans="7:8" x14ac:dyDescent="0.3">
      <c r="G8276" s="15">
        <v>22.975000000000001</v>
      </c>
      <c r="H8276" s="3">
        <v>3.9845500000000172E-2</v>
      </c>
    </row>
    <row r="8277" spans="7:8" x14ac:dyDescent="0.3">
      <c r="G8277" s="15">
        <v>22.977777777777778</v>
      </c>
      <c r="H8277" s="3">
        <v>3.9844888888889061E-2</v>
      </c>
    </row>
    <row r="8278" spans="7:8" x14ac:dyDescent="0.3">
      <c r="G8278" s="15">
        <v>22.980555555555554</v>
      </c>
      <c r="H8278" s="3">
        <v>3.9844277777777951E-2</v>
      </c>
    </row>
    <row r="8279" spans="7:8" x14ac:dyDescent="0.3">
      <c r="G8279" s="15">
        <v>22.983333333333334</v>
      </c>
      <c r="H8279" s="3">
        <v>3.984366666666684E-2</v>
      </c>
    </row>
    <row r="8280" spans="7:8" x14ac:dyDescent="0.3">
      <c r="G8280" s="15">
        <v>22.986111111111111</v>
      </c>
      <c r="H8280" s="3">
        <v>3.9843055555555729E-2</v>
      </c>
    </row>
    <row r="8281" spans="7:8" x14ac:dyDescent="0.3">
      <c r="G8281" s="15">
        <v>22.988888888888887</v>
      </c>
      <c r="H8281" s="3">
        <v>3.9842444444444618E-2</v>
      </c>
    </row>
    <row r="8282" spans="7:8" x14ac:dyDescent="0.3">
      <c r="G8282" s="15">
        <v>22.991666666666667</v>
      </c>
      <c r="H8282" s="3">
        <v>3.9841833333333507E-2</v>
      </c>
    </row>
    <row r="8283" spans="7:8" x14ac:dyDescent="0.3">
      <c r="G8283" s="15">
        <v>22.994444444444444</v>
      </c>
      <c r="H8283" s="3">
        <v>3.9841222222222396E-2</v>
      </c>
    </row>
    <row r="8284" spans="7:8" x14ac:dyDescent="0.3">
      <c r="G8284" s="15">
        <v>22.997222222222224</v>
      </c>
      <c r="H8284" s="3">
        <v>3.9840611111111285E-2</v>
      </c>
    </row>
    <row r="8285" spans="7:8" x14ac:dyDescent="0.3">
      <c r="G8285" s="15">
        <v>23</v>
      </c>
      <c r="H8285" s="3">
        <v>3.9840000000000174E-2</v>
      </c>
    </row>
    <row r="8286" spans="7:8" x14ac:dyDescent="0.3">
      <c r="G8286" s="15">
        <v>23.002777777777776</v>
      </c>
      <c r="H8286" s="3">
        <v>3.9839388888889063E-2</v>
      </c>
    </row>
    <row r="8287" spans="7:8" x14ac:dyDescent="0.3">
      <c r="G8287" s="15">
        <v>23.005555555555556</v>
      </c>
      <c r="H8287" s="3">
        <v>3.9838777777777952E-2</v>
      </c>
    </row>
    <row r="8288" spans="7:8" x14ac:dyDescent="0.3">
      <c r="G8288" s="15">
        <v>23.008333333333333</v>
      </c>
      <c r="H8288" s="3">
        <v>3.9838166666666841E-2</v>
      </c>
    </row>
    <row r="8289" spans="7:8" x14ac:dyDescent="0.3">
      <c r="G8289" s="15">
        <v>23.011111111111113</v>
      </c>
      <c r="H8289" s="3">
        <v>3.983755555555573E-2</v>
      </c>
    </row>
    <row r="8290" spans="7:8" x14ac:dyDescent="0.3">
      <c r="G8290" s="15">
        <v>23.013888888888889</v>
      </c>
      <c r="H8290" s="3">
        <v>3.9836944444444619E-2</v>
      </c>
    </row>
    <row r="8291" spans="7:8" x14ac:dyDescent="0.3">
      <c r="G8291" s="15">
        <v>23.016666666666666</v>
      </c>
      <c r="H8291" s="3">
        <v>3.9836333333333508E-2</v>
      </c>
    </row>
    <row r="8292" spans="7:8" x14ac:dyDescent="0.3">
      <c r="G8292" s="15">
        <v>23.019444444444446</v>
      </c>
      <c r="H8292" s="3">
        <v>3.9835722222222397E-2</v>
      </c>
    </row>
    <row r="8293" spans="7:8" x14ac:dyDescent="0.3">
      <c r="G8293" s="15">
        <v>23.022222222222222</v>
      </c>
      <c r="H8293" s="3">
        <v>3.9835111111111286E-2</v>
      </c>
    </row>
    <row r="8294" spans="7:8" x14ac:dyDescent="0.3">
      <c r="G8294" s="15">
        <v>23.024999999999999</v>
      </c>
      <c r="H8294" s="3">
        <v>3.9834500000000175E-2</v>
      </c>
    </row>
    <row r="8295" spans="7:8" x14ac:dyDescent="0.3">
      <c r="G8295" s="15">
        <v>23.027777777777779</v>
      </c>
      <c r="H8295" s="3">
        <v>3.9833888888889064E-2</v>
      </c>
    </row>
    <row r="8296" spans="7:8" x14ac:dyDescent="0.3">
      <c r="G8296" s="15">
        <v>23.030555555555555</v>
      </c>
      <c r="H8296" s="3">
        <v>3.9833277777777953E-2</v>
      </c>
    </row>
    <row r="8297" spans="7:8" x14ac:dyDescent="0.3">
      <c r="G8297" s="15">
        <v>23.033333333333335</v>
      </c>
      <c r="H8297" s="3">
        <v>3.9832666666666842E-2</v>
      </c>
    </row>
    <row r="8298" spans="7:8" x14ac:dyDescent="0.3">
      <c r="G8298" s="15">
        <v>23.036111111111111</v>
      </c>
      <c r="H8298" s="3">
        <v>3.9832055555555732E-2</v>
      </c>
    </row>
    <row r="8299" spans="7:8" x14ac:dyDescent="0.3">
      <c r="G8299" s="15">
        <v>23.038888888888888</v>
      </c>
      <c r="H8299" s="3">
        <v>3.9831444444444621E-2</v>
      </c>
    </row>
    <row r="8300" spans="7:8" x14ac:dyDescent="0.3">
      <c r="G8300" s="15">
        <v>23.041666666666668</v>
      </c>
      <c r="H8300" s="3">
        <v>3.983083333333351E-2</v>
      </c>
    </row>
    <row r="8301" spans="7:8" x14ac:dyDescent="0.3">
      <c r="G8301" s="15">
        <v>23.044444444444444</v>
      </c>
      <c r="H8301" s="3">
        <v>3.9830222222222399E-2</v>
      </c>
    </row>
    <row r="8302" spans="7:8" x14ac:dyDescent="0.3">
      <c r="G8302" s="15">
        <v>23.047222222222221</v>
      </c>
      <c r="H8302" s="3">
        <v>3.9829611111111288E-2</v>
      </c>
    </row>
    <row r="8303" spans="7:8" x14ac:dyDescent="0.3">
      <c r="G8303" s="15">
        <v>23.05</v>
      </c>
      <c r="H8303" s="3">
        <v>3.9829000000000177E-2</v>
      </c>
    </row>
    <row r="8304" spans="7:8" x14ac:dyDescent="0.3">
      <c r="G8304" s="15">
        <v>23.052777777777777</v>
      </c>
      <c r="H8304" s="3">
        <v>3.9828388888889066E-2</v>
      </c>
    </row>
    <row r="8305" spans="7:8" x14ac:dyDescent="0.3">
      <c r="G8305" s="15">
        <v>23.055555555555557</v>
      </c>
      <c r="H8305" s="3">
        <v>3.9827777777777955E-2</v>
      </c>
    </row>
    <row r="8306" spans="7:8" x14ac:dyDescent="0.3">
      <c r="G8306" s="15">
        <v>23.058333333333334</v>
      </c>
      <c r="H8306" s="3">
        <v>3.9827166666666844E-2</v>
      </c>
    </row>
    <row r="8307" spans="7:8" x14ac:dyDescent="0.3">
      <c r="G8307" s="15">
        <v>23.06111111111111</v>
      </c>
      <c r="H8307" s="3">
        <v>3.9826555555555733E-2</v>
      </c>
    </row>
    <row r="8308" spans="7:8" x14ac:dyDescent="0.3">
      <c r="G8308" s="15">
        <v>23.06388888888889</v>
      </c>
      <c r="H8308" s="3">
        <v>3.9825944444444622E-2</v>
      </c>
    </row>
    <row r="8309" spans="7:8" x14ac:dyDescent="0.3">
      <c r="G8309" s="15">
        <v>23.066666666666666</v>
      </c>
      <c r="H8309" s="3">
        <v>3.9825333333333511E-2</v>
      </c>
    </row>
    <row r="8310" spans="7:8" x14ac:dyDescent="0.3">
      <c r="G8310" s="15">
        <v>23.069444444444443</v>
      </c>
      <c r="H8310" s="3">
        <v>3.98247222222224E-2</v>
      </c>
    </row>
    <row r="8311" spans="7:8" x14ac:dyDescent="0.3">
      <c r="G8311" s="15">
        <v>23.072222222222223</v>
      </c>
      <c r="H8311" s="3">
        <v>3.9824111111111289E-2</v>
      </c>
    </row>
    <row r="8312" spans="7:8" x14ac:dyDescent="0.3">
      <c r="G8312" s="15">
        <v>23.074999999999999</v>
      </c>
      <c r="H8312" s="3">
        <v>3.9823500000000178E-2</v>
      </c>
    </row>
    <row r="8313" spans="7:8" x14ac:dyDescent="0.3">
      <c r="G8313" s="15">
        <v>23.077777777777779</v>
      </c>
      <c r="H8313" s="3">
        <v>3.9822888888889067E-2</v>
      </c>
    </row>
    <row r="8314" spans="7:8" x14ac:dyDescent="0.3">
      <c r="G8314" s="15">
        <v>23.080555555555556</v>
      </c>
      <c r="H8314" s="3">
        <v>3.9822277777777956E-2</v>
      </c>
    </row>
    <row r="8315" spans="7:8" x14ac:dyDescent="0.3">
      <c r="G8315" s="15">
        <v>23.083333333333332</v>
      </c>
      <c r="H8315" s="3">
        <v>3.9821666666666845E-2</v>
      </c>
    </row>
    <row r="8316" spans="7:8" x14ac:dyDescent="0.3">
      <c r="G8316" s="15">
        <v>23.086111111111112</v>
      </c>
      <c r="H8316" s="3">
        <v>3.9821055555555734E-2</v>
      </c>
    </row>
    <row r="8317" spans="7:8" x14ac:dyDescent="0.3">
      <c r="G8317" s="15">
        <v>23.088888888888889</v>
      </c>
      <c r="H8317" s="3">
        <v>3.9820444444444623E-2</v>
      </c>
    </row>
    <row r="8318" spans="7:8" x14ac:dyDescent="0.3">
      <c r="G8318" s="15">
        <v>23.091666666666665</v>
      </c>
      <c r="H8318" s="3">
        <v>3.9819833333333512E-2</v>
      </c>
    </row>
    <row r="8319" spans="7:8" x14ac:dyDescent="0.3">
      <c r="G8319" s="15">
        <v>23.094444444444445</v>
      </c>
      <c r="H8319" s="3">
        <v>3.9819222222222402E-2</v>
      </c>
    </row>
    <row r="8320" spans="7:8" x14ac:dyDescent="0.3">
      <c r="G8320" s="15">
        <v>23.097222222222221</v>
      </c>
      <c r="H8320" s="3">
        <v>3.9818611111111291E-2</v>
      </c>
    </row>
    <row r="8321" spans="7:8" x14ac:dyDescent="0.3">
      <c r="G8321" s="15">
        <v>23.1</v>
      </c>
      <c r="H8321" s="3">
        <v>3.981800000000018E-2</v>
      </c>
    </row>
    <row r="8322" spans="7:8" x14ac:dyDescent="0.3">
      <c r="G8322" s="15">
        <v>23.102777777777778</v>
      </c>
      <c r="H8322" s="3">
        <v>3.9817388888889069E-2</v>
      </c>
    </row>
    <row r="8323" spans="7:8" x14ac:dyDescent="0.3">
      <c r="G8323" s="15">
        <v>23.105555555555554</v>
      </c>
      <c r="H8323" s="3">
        <v>3.9816777777777958E-2</v>
      </c>
    </row>
    <row r="8324" spans="7:8" x14ac:dyDescent="0.3">
      <c r="G8324" s="15">
        <v>23.108333333333334</v>
      </c>
      <c r="H8324" s="3">
        <v>3.9816166666666847E-2</v>
      </c>
    </row>
    <row r="8325" spans="7:8" x14ac:dyDescent="0.3">
      <c r="G8325" s="15">
        <v>23.111111111111111</v>
      </c>
      <c r="H8325" s="3">
        <v>3.9815555555555736E-2</v>
      </c>
    </row>
    <row r="8326" spans="7:8" x14ac:dyDescent="0.3">
      <c r="G8326" s="15">
        <v>23.113888888888887</v>
      </c>
      <c r="H8326" s="3">
        <v>3.9814944444444625E-2</v>
      </c>
    </row>
    <row r="8327" spans="7:8" x14ac:dyDescent="0.3">
      <c r="G8327" s="15">
        <v>23.116666666666667</v>
      </c>
      <c r="H8327" s="3">
        <v>3.9814333333333514E-2</v>
      </c>
    </row>
    <row r="8328" spans="7:8" x14ac:dyDescent="0.3">
      <c r="G8328" s="15">
        <v>23.119444444444444</v>
      </c>
      <c r="H8328" s="3">
        <v>3.9813722222222403E-2</v>
      </c>
    </row>
    <row r="8329" spans="7:8" x14ac:dyDescent="0.3">
      <c r="G8329" s="15">
        <v>23.122222222222224</v>
      </c>
      <c r="H8329" s="3">
        <v>3.9813111111111292E-2</v>
      </c>
    </row>
    <row r="8330" spans="7:8" x14ac:dyDescent="0.3">
      <c r="G8330" s="15">
        <v>23.125</v>
      </c>
      <c r="H8330" s="3">
        <v>3.9812500000000181E-2</v>
      </c>
    </row>
    <row r="8331" spans="7:8" x14ac:dyDescent="0.3">
      <c r="G8331" s="15">
        <v>23.127777777777776</v>
      </c>
      <c r="H8331" s="3">
        <v>3.981188888888907E-2</v>
      </c>
    </row>
    <row r="8332" spans="7:8" x14ac:dyDescent="0.3">
      <c r="G8332" s="15">
        <v>23.130555555555556</v>
      </c>
      <c r="H8332" s="3">
        <v>3.9811277777777959E-2</v>
      </c>
    </row>
    <row r="8333" spans="7:8" x14ac:dyDescent="0.3">
      <c r="G8333" s="15">
        <v>23.133333333333333</v>
      </c>
      <c r="H8333" s="3">
        <v>3.9810666666666848E-2</v>
      </c>
    </row>
    <row r="8334" spans="7:8" x14ac:dyDescent="0.3">
      <c r="G8334" s="15">
        <v>23.136111111111113</v>
      </c>
      <c r="H8334" s="3">
        <v>3.9810055555555737E-2</v>
      </c>
    </row>
    <row r="8335" spans="7:8" x14ac:dyDescent="0.3">
      <c r="G8335" s="15">
        <v>23.138888888888889</v>
      </c>
      <c r="H8335" s="3">
        <v>3.9809444444444626E-2</v>
      </c>
    </row>
    <row r="8336" spans="7:8" x14ac:dyDescent="0.3">
      <c r="G8336" s="15">
        <v>23.141666666666666</v>
      </c>
      <c r="H8336" s="3">
        <v>3.9808833333333515E-2</v>
      </c>
    </row>
    <row r="8337" spans="7:8" x14ac:dyDescent="0.3">
      <c r="G8337" s="15">
        <v>23.144444444444446</v>
      </c>
      <c r="H8337" s="3">
        <v>3.9808222222222404E-2</v>
      </c>
    </row>
    <row r="8338" spans="7:8" x14ac:dyDescent="0.3">
      <c r="G8338" s="15">
        <v>23.147222222222222</v>
      </c>
      <c r="H8338" s="3">
        <v>3.9807611111111293E-2</v>
      </c>
    </row>
    <row r="8339" spans="7:8" x14ac:dyDescent="0.3">
      <c r="G8339" s="15">
        <v>23.15</v>
      </c>
      <c r="H8339" s="3">
        <v>3.9807000000000183E-2</v>
      </c>
    </row>
    <row r="8340" spans="7:8" x14ac:dyDescent="0.3">
      <c r="G8340" s="15">
        <v>23.152777777777779</v>
      </c>
      <c r="H8340" s="3">
        <v>3.9806388888889072E-2</v>
      </c>
    </row>
    <row r="8341" spans="7:8" x14ac:dyDescent="0.3">
      <c r="G8341" s="15">
        <v>23.155555555555555</v>
      </c>
      <c r="H8341" s="3">
        <v>3.9805777777777961E-2</v>
      </c>
    </row>
    <row r="8342" spans="7:8" x14ac:dyDescent="0.3">
      <c r="G8342" s="15">
        <v>23.158333333333335</v>
      </c>
      <c r="H8342" s="3">
        <v>3.980516666666685E-2</v>
      </c>
    </row>
    <row r="8343" spans="7:8" x14ac:dyDescent="0.3">
      <c r="G8343" s="15">
        <v>23.161111111111111</v>
      </c>
      <c r="H8343" s="3">
        <v>3.9804555555555739E-2</v>
      </c>
    </row>
    <row r="8344" spans="7:8" x14ac:dyDescent="0.3">
      <c r="G8344" s="15">
        <v>23.163888888888888</v>
      </c>
      <c r="H8344" s="3">
        <v>3.9803944444444628E-2</v>
      </c>
    </row>
    <row r="8345" spans="7:8" x14ac:dyDescent="0.3">
      <c r="G8345" s="15">
        <v>23.166666666666668</v>
      </c>
      <c r="H8345" s="3">
        <v>3.9803333333333517E-2</v>
      </c>
    </row>
    <row r="8346" spans="7:8" x14ac:dyDescent="0.3">
      <c r="G8346" s="15">
        <v>23.169444444444444</v>
      </c>
      <c r="H8346" s="3">
        <v>3.9802722222222406E-2</v>
      </c>
    </row>
    <row r="8347" spans="7:8" x14ac:dyDescent="0.3">
      <c r="G8347" s="15">
        <v>23.172222222222221</v>
      </c>
      <c r="H8347" s="3">
        <v>3.9802111111111295E-2</v>
      </c>
    </row>
    <row r="8348" spans="7:8" x14ac:dyDescent="0.3">
      <c r="G8348" s="15">
        <v>23.175000000000001</v>
      </c>
      <c r="H8348" s="3">
        <v>3.9801500000000184E-2</v>
      </c>
    </row>
    <row r="8349" spans="7:8" x14ac:dyDescent="0.3">
      <c r="G8349" s="15">
        <v>23.177777777777777</v>
      </c>
      <c r="H8349" s="3">
        <v>3.9800888888889073E-2</v>
      </c>
    </row>
    <row r="8350" spans="7:8" x14ac:dyDescent="0.3">
      <c r="G8350" s="15">
        <v>23.180555555555557</v>
      </c>
      <c r="H8350" s="3">
        <v>3.9800277777777962E-2</v>
      </c>
    </row>
    <row r="8351" spans="7:8" x14ac:dyDescent="0.3">
      <c r="G8351" s="15">
        <v>23.183333333333334</v>
      </c>
      <c r="H8351" s="3">
        <v>3.9799666666666851E-2</v>
      </c>
    </row>
    <row r="8352" spans="7:8" x14ac:dyDescent="0.3">
      <c r="G8352" s="15">
        <v>23.18611111111111</v>
      </c>
      <c r="H8352" s="3">
        <v>3.979905555555574E-2</v>
      </c>
    </row>
    <row r="8353" spans="7:8" x14ac:dyDescent="0.3">
      <c r="G8353" s="15">
        <v>23.18888888888889</v>
      </c>
      <c r="H8353" s="3">
        <v>3.9798444444444629E-2</v>
      </c>
    </row>
    <row r="8354" spans="7:8" x14ac:dyDescent="0.3">
      <c r="G8354" s="15">
        <v>23.191666666666666</v>
      </c>
      <c r="H8354" s="3">
        <v>3.9797833333333518E-2</v>
      </c>
    </row>
    <row r="8355" spans="7:8" x14ac:dyDescent="0.3">
      <c r="G8355" s="15">
        <v>23.194444444444443</v>
      </c>
      <c r="H8355" s="3">
        <v>3.9797222222222407E-2</v>
      </c>
    </row>
    <row r="8356" spans="7:8" x14ac:dyDescent="0.3">
      <c r="G8356" s="15">
        <v>23.197222222222223</v>
      </c>
      <c r="H8356" s="3">
        <v>3.9796611111111296E-2</v>
      </c>
    </row>
    <row r="8357" spans="7:8" x14ac:dyDescent="0.3">
      <c r="G8357" s="15">
        <v>23.2</v>
      </c>
      <c r="H8357" s="3">
        <v>3.9796000000000185E-2</v>
      </c>
    </row>
    <row r="8358" spans="7:8" x14ac:dyDescent="0.3">
      <c r="G8358" s="15">
        <v>23.202777777777779</v>
      </c>
      <c r="H8358" s="3">
        <v>3.9795388888889074E-2</v>
      </c>
    </row>
    <row r="8359" spans="7:8" x14ac:dyDescent="0.3">
      <c r="G8359" s="15">
        <v>23.205555555555556</v>
      </c>
      <c r="H8359" s="3">
        <v>3.9794777777777963E-2</v>
      </c>
    </row>
    <row r="8360" spans="7:8" x14ac:dyDescent="0.3">
      <c r="G8360" s="15">
        <v>23.208333333333332</v>
      </c>
      <c r="H8360" s="3">
        <v>3.9794166666666853E-2</v>
      </c>
    </row>
    <row r="8361" spans="7:8" x14ac:dyDescent="0.3">
      <c r="G8361" s="15">
        <v>23.211111111111112</v>
      </c>
      <c r="H8361" s="3">
        <v>3.9793555555555742E-2</v>
      </c>
    </row>
    <row r="8362" spans="7:8" x14ac:dyDescent="0.3">
      <c r="G8362" s="15">
        <v>23.213888888888889</v>
      </c>
      <c r="H8362" s="3">
        <v>3.9792944444444631E-2</v>
      </c>
    </row>
    <row r="8363" spans="7:8" x14ac:dyDescent="0.3">
      <c r="G8363" s="15">
        <v>23.216666666666665</v>
      </c>
      <c r="H8363" s="3">
        <v>3.979233333333352E-2</v>
      </c>
    </row>
    <row r="8364" spans="7:8" x14ac:dyDescent="0.3">
      <c r="G8364" s="15">
        <v>23.219444444444445</v>
      </c>
      <c r="H8364" s="3">
        <v>3.9791722222222409E-2</v>
      </c>
    </row>
    <row r="8365" spans="7:8" x14ac:dyDescent="0.3">
      <c r="G8365" s="15">
        <v>23.222222222222221</v>
      </c>
      <c r="H8365" s="3">
        <v>3.9791111111111298E-2</v>
      </c>
    </row>
    <row r="8366" spans="7:8" x14ac:dyDescent="0.3">
      <c r="G8366" s="15">
        <v>23.225000000000001</v>
      </c>
      <c r="H8366" s="3">
        <v>3.9790500000000187E-2</v>
      </c>
    </row>
    <row r="8367" spans="7:8" x14ac:dyDescent="0.3">
      <c r="G8367" s="15">
        <v>23.227777777777778</v>
      </c>
      <c r="H8367" s="3">
        <v>3.9789888888889076E-2</v>
      </c>
    </row>
    <row r="8368" spans="7:8" x14ac:dyDescent="0.3">
      <c r="G8368" s="15">
        <v>23.230555555555554</v>
      </c>
      <c r="H8368" s="3">
        <v>3.9789277777777965E-2</v>
      </c>
    </row>
    <row r="8369" spans="7:8" x14ac:dyDescent="0.3">
      <c r="G8369" s="15">
        <v>23.233333333333334</v>
      </c>
      <c r="H8369" s="3">
        <v>3.9788666666666854E-2</v>
      </c>
    </row>
    <row r="8370" spans="7:8" x14ac:dyDescent="0.3">
      <c r="G8370" s="15">
        <v>23.236111111111111</v>
      </c>
      <c r="H8370" s="3">
        <v>3.9788055555555743E-2</v>
      </c>
    </row>
    <row r="8371" spans="7:8" x14ac:dyDescent="0.3">
      <c r="G8371" s="15">
        <v>23.238888888888887</v>
      </c>
      <c r="H8371" s="3">
        <v>3.9787444444444632E-2</v>
      </c>
    </row>
    <row r="8372" spans="7:8" x14ac:dyDescent="0.3">
      <c r="G8372" s="15">
        <v>23.241666666666667</v>
      </c>
      <c r="H8372" s="3">
        <v>3.9786833333333521E-2</v>
      </c>
    </row>
    <row r="8373" spans="7:8" x14ac:dyDescent="0.3">
      <c r="G8373" s="15">
        <v>23.244444444444444</v>
      </c>
      <c r="H8373" s="3">
        <v>3.978622222222241E-2</v>
      </c>
    </row>
    <row r="8374" spans="7:8" x14ac:dyDescent="0.3">
      <c r="G8374" s="15">
        <v>23.247222222222224</v>
      </c>
      <c r="H8374" s="3">
        <v>3.9785611111111299E-2</v>
      </c>
    </row>
    <row r="8375" spans="7:8" x14ac:dyDescent="0.3">
      <c r="G8375" s="15">
        <v>23.25</v>
      </c>
      <c r="H8375" s="3">
        <v>3.9785000000000188E-2</v>
      </c>
    </row>
    <row r="8376" spans="7:8" x14ac:dyDescent="0.3">
      <c r="G8376" s="15">
        <v>23.252777777777776</v>
      </c>
      <c r="H8376" s="3">
        <v>3.9784388888889077E-2</v>
      </c>
    </row>
    <row r="8377" spans="7:8" x14ac:dyDescent="0.3">
      <c r="G8377" s="15">
        <v>23.255555555555556</v>
      </c>
      <c r="H8377" s="3">
        <v>3.9783777777777966E-2</v>
      </c>
    </row>
    <row r="8378" spans="7:8" x14ac:dyDescent="0.3">
      <c r="G8378" s="15">
        <v>23.258333333333333</v>
      </c>
      <c r="H8378" s="3">
        <v>3.9783166666666855E-2</v>
      </c>
    </row>
    <row r="8379" spans="7:8" x14ac:dyDescent="0.3">
      <c r="G8379" s="15">
        <v>23.261111111111113</v>
      </c>
      <c r="H8379" s="3">
        <v>3.9782555555555744E-2</v>
      </c>
    </row>
    <row r="8380" spans="7:8" x14ac:dyDescent="0.3">
      <c r="G8380" s="15">
        <v>23.263888888888889</v>
      </c>
      <c r="H8380" s="3">
        <v>3.9781944444444634E-2</v>
      </c>
    </row>
    <row r="8381" spans="7:8" x14ac:dyDescent="0.3">
      <c r="G8381" s="15">
        <v>23.266666666666666</v>
      </c>
      <c r="H8381" s="3">
        <v>3.9781333333333523E-2</v>
      </c>
    </row>
    <row r="8382" spans="7:8" x14ac:dyDescent="0.3">
      <c r="G8382" s="15">
        <v>23.269444444444446</v>
      </c>
      <c r="H8382" s="3">
        <v>3.9780722222222412E-2</v>
      </c>
    </row>
    <row r="8383" spans="7:8" x14ac:dyDescent="0.3">
      <c r="G8383" s="15">
        <v>23.272222222222222</v>
      </c>
      <c r="H8383" s="3">
        <v>3.9780111111111301E-2</v>
      </c>
    </row>
    <row r="8384" spans="7:8" x14ac:dyDescent="0.3">
      <c r="G8384" s="15">
        <v>23.274999999999999</v>
      </c>
      <c r="H8384" s="3">
        <v>3.977950000000019E-2</v>
      </c>
    </row>
    <row r="8385" spans="7:8" x14ac:dyDescent="0.3">
      <c r="G8385" s="15">
        <v>23.277777777777779</v>
      </c>
      <c r="H8385" s="3">
        <v>3.9778888888889079E-2</v>
      </c>
    </row>
    <row r="8386" spans="7:8" x14ac:dyDescent="0.3">
      <c r="G8386" s="15">
        <v>23.280555555555555</v>
      </c>
      <c r="H8386" s="3">
        <v>3.9778277777777968E-2</v>
      </c>
    </row>
    <row r="8387" spans="7:8" x14ac:dyDescent="0.3">
      <c r="G8387" s="15">
        <v>23.283333333333335</v>
      </c>
      <c r="H8387" s="3">
        <v>3.9777666666666857E-2</v>
      </c>
    </row>
    <row r="8388" spans="7:8" x14ac:dyDescent="0.3">
      <c r="G8388" s="15">
        <v>23.286111111111111</v>
      </c>
      <c r="H8388" s="3">
        <v>3.9777055555555746E-2</v>
      </c>
    </row>
    <row r="8389" spans="7:8" x14ac:dyDescent="0.3">
      <c r="G8389" s="15">
        <v>23.288888888888888</v>
      </c>
      <c r="H8389" s="3">
        <v>3.9776444444444635E-2</v>
      </c>
    </row>
    <row r="8390" spans="7:8" x14ac:dyDescent="0.3">
      <c r="G8390" s="15">
        <v>23.291666666666668</v>
      </c>
      <c r="H8390" s="3">
        <v>3.9775833333333524E-2</v>
      </c>
    </row>
    <row r="8391" spans="7:8" x14ac:dyDescent="0.3">
      <c r="G8391" s="15">
        <v>23.294444444444444</v>
      </c>
      <c r="H8391" s="3">
        <v>3.9775222222222413E-2</v>
      </c>
    </row>
    <row r="8392" spans="7:8" x14ac:dyDescent="0.3">
      <c r="G8392" s="15">
        <v>23.297222222222221</v>
      </c>
      <c r="H8392" s="3">
        <v>3.9774611111111302E-2</v>
      </c>
    </row>
    <row r="8393" spans="7:8" x14ac:dyDescent="0.3">
      <c r="G8393" s="15">
        <v>23.3</v>
      </c>
      <c r="H8393" s="3">
        <v>3.9774000000000191E-2</v>
      </c>
    </row>
    <row r="8394" spans="7:8" x14ac:dyDescent="0.3">
      <c r="G8394" s="15">
        <v>23.302777777777777</v>
      </c>
      <c r="H8394" s="3">
        <v>3.977338888888908E-2</v>
      </c>
    </row>
    <row r="8395" spans="7:8" x14ac:dyDescent="0.3">
      <c r="G8395" s="15">
        <v>23.305555555555557</v>
      </c>
      <c r="H8395" s="3">
        <v>3.9772777777777969E-2</v>
      </c>
    </row>
    <row r="8396" spans="7:8" x14ac:dyDescent="0.3">
      <c r="G8396" s="15">
        <v>23.308333333333334</v>
      </c>
      <c r="H8396" s="3">
        <v>3.9772166666666858E-2</v>
      </c>
    </row>
    <row r="8397" spans="7:8" x14ac:dyDescent="0.3">
      <c r="G8397" s="15">
        <v>23.31111111111111</v>
      </c>
      <c r="H8397" s="3">
        <v>3.9771555555555747E-2</v>
      </c>
    </row>
    <row r="8398" spans="7:8" x14ac:dyDescent="0.3">
      <c r="G8398" s="15">
        <v>23.31388888888889</v>
      </c>
      <c r="H8398" s="3">
        <v>3.9770944444444636E-2</v>
      </c>
    </row>
    <row r="8399" spans="7:8" x14ac:dyDescent="0.3">
      <c r="G8399" s="15">
        <v>23.316666666666666</v>
      </c>
      <c r="H8399" s="3">
        <v>3.9770333333333525E-2</v>
      </c>
    </row>
    <row r="8400" spans="7:8" x14ac:dyDescent="0.3">
      <c r="G8400" s="15">
        <v>23.319444444444443</v>
      </c>
      <c r="H8400" s="3">
        <v>3.9769722222222414E-2</v>
      </c>
    </row>
    <row r="8401" spans="7:8" x14ac:dyDescent="0.3">
      <c r="G8401" s="15">
        <v>23.322222222222223</v>
      </c>
      <c r="H8401" s="3">
        <v>3.9769111111111304E-2</v>
      </c>
    </row>
    <row r="8402" spans="7:8" x14ac:dyDescent="0.3">
      <c r="G8402" s="15">
        <v>23.324999999999999</v>
      </c>
      <c r="H8402" s="3">
        <v>3.9768500000000193E-2</v>
      </c>
    </row>
    <row r="8403" spans="7:8" x14ac:dyDescent="0.3">
      <c r="G8403" s="15">
        <v>23.327777777777779</v>
      </c>
      <c r="H8403" s="3">
        <v>3.9767888888889082E-2</v>
      </c>
    </row>
    <row r="8404" spans="7:8" x14ac:dyDescent="0.3">
      <c r="G8404" s="15">
        <v>23.330555555555556</v>
      </c>
      <c r="H8404" s="3">
        <v>3.9767277777777971E-2</v>
      </c>
    </row>
    <row r="8405" spans="7:8" x14ac:dyDescent="0.3">
      <c r="G8405" s="15">
        <v>23.333333333333332</v>
      </c>
      <c r="H8405" s="3">
        <v>3.976666666666686E-2</v>
      </c>
    </row>
    <row r="8406" spans="7:8" x14ac:dyDescent="0.3">
      <c r="G8406" s="15">
        <v>23.336111111111112</v>
      </c>
      <c r="H8406" s="3">
        <v>3.9766055555555749E-2</v>
      </c>
    </row>
    <row r="8407" spans="7:8" x14ac:dyDescent="0.3">
      <c r="G8407" s="15">
        <v>23.338888888888889</v>
      </c>
      <c r="H8407" s="3">
        <v>3.9765444444444638E-2</v>
      </c>
    </row>
    <row r="8408" spans="7:8" x14ac:dyDescent="0.3">
      <c r="G8408" s="15">
        <v>23.341666666666665</v>
      </c>
      <c r="H8408" s="3">
        <v>3.9764833333333527E-2</v>
      </c>
    </row>
    <row r="8409" spans="7:8" x14ac:dyDescent="0.3">
      <c r="G8409" s="15">
        <v>23.344444444444445</v>
      </c>
      <c r="H8409" s="3">
        <v>3.9764222222222416E-2</v>
      </c>
    </row>
    <row r="8410" spans="7:8" x14ac:dyDescent="0.3">
      <c r="G8410" s="15">
        <v>23.347222222222221</v>
      </c>
      <c r="H8410" s="3">
        <v>3.9763611111111305E-2</v>
      </c>
    </row>
    <row r="8411" spans="7:8" x14ac:dyDescent="0.3">
      <c r="G8411" s="15">
        <v>23.35</v>
      </c>
      <c r="H8411" s="3">
        <v>3.9763000000000194E-2</v>
      </c>
    </row>
    <row r="8412" spans="7:8" x14ac:dyDescent="0.3">
      <c r="G8412" s="15">
        <v>23.352777777777778</v>
      </c>
      <c r="H8412" s="3">
        <v>3.9762388888889083E-2</v>
      </c>
    </row>
    <row r="8413" spans="7:8" x14ac:dyDescent="0.3">
      <c r="G8413" s="15">
        <v>23.355555555555554</v>
      </c>
      <c r="H8413" s="3">
        <v>3.9761777777777972E-2</v>
      </c>
    </row>
    <row r="8414" spans="7:8" x14ac:dyDescent="0.3">
      <c r="G8414" s="15">
        <v>23.358333333333334</v>
      </c>
      <c r="H8414" s="3">
        <v>3.9761166666666861E-2</v>
      </c>
    </row>
    <row r="8415" spans="7:8" x14ac:dyDescent="0.3">
      <c r="G8415" s="15">
        <v>23.361111111111111</v>
      </c>
      <c r="H8415" s="3">
        <v>3.976055555555575E-2</v>
      </c>
    </row>
    <row r="8416" spans="7:8" x14ac:dyDescent="0.3">
      <c r="G8416" s="15">
        <v>23.363888888888887</v>
      </c>
      <c r="H8416" s="3">
        <v>3.9759944444444639E-2</v>
      </c>
    </row>
    <row r="8417" spans="7:8" x14ac:dyDescent="0.3">
      <c r="G8417" s="15">
        <v>23.366666666666667</v>
      </c>
      <c r="H8417" s="3">
        <v>3.9759333333333528E-2</v>
      </c>
    </row>
    <row r="8418" spans="7:8" x14ac:dyDescent="0.3">
      <c r="G8418" s="15">
        <v>23.369444444444444</v>
      </c>
      <c r="H8418" s="3">
        <v>3.9758722222222417E-2</v>
      </c>
    </row>
    <row r="8419" spans="7:8" x14ac:dyDescent="0.3">
      <c r="G8419" s="15">
        <v>23.372222222222224</v>
      </c>
      <c r="H8419" s="3">
        <v>3.9758111111111306E-2</v>
      </c>
    </row>
    <row r="8420" spans="7:8" x14ac:dyDescent="0.3">
      <c r="G8420" s="15">
        <v>23.375</v>
      </c>
      <c r="H8420" s="3">
        <v>3.9757500000000195E-2</v>
      </c>
    </row>
    <row r="8421" spans="7:8" x14ac:dyDescent="0.3">
      <c r="G8421" s="15">
        <v>23.377777777777776</v>
      </c>
      <c r="H8421" s="3">
        <v>3.9756888888889085E-2</v>
      </c>
    </row>
    <row r="8422" spans="7:8" x14ac:dyDescent="0.3">
      <c r="G8422" s="15">
        <v>23.380555555555556</v>
      </c>
      <c r="H8422" s="3">
        <v>3.9756277777777974E-2</v>
      </c>
    </row>
    <row r="8423" spans="7:8" x14ac:dyDescent="0.3">
      <c r="G8423" s="15">
        <v>23.383333333333333</v>
      </c>
      <c r="H8423" s="3">
        <v>3.9755666666666863E-2</v>
      </c>
    </row>
    <row r="8424" spans="7:8" x14ac:dyDescent="0.3">
      <c r="G8424" s="15">
        <v>23.386111111111113</v>
      </c>
      <c r="H8424" s="3">
        <v>3.9755055555555752E-2</v>
      </c>
    </row>
    <row r="8425" spans="7:8" x14ac:dyDescent="0.3">
      <c r="G8425" s="15">
        <v>23.388888888888889</v>
      </c>
      <c r="H8425" s="3">
        <v>3.9754444444444641E-2</v>
      </c>
    </row>
    <row r="8426" spans="7:8" x14ac:dyDescent="0.3">
      <c r="G8426" s="15">
        <v>23.391666666666666</v>
      </c>
      <c r="H8426" s="3">
        <v>3.975383333333353E-2</v>
      </c>
    </row>
    <row r="8427" spans="7:8" x14ac:dyDescent="0.3">
      <c r="G8427" s="15">
        <v>23.394444444444446</v>
      </c>
      <c r="H8427" s="3">
        <v>3.9753222222222419E-2</v>
      </c>
    </row>
    <row r="8428" spans="7:8" x14ac:dyDescent="0.3">
      <c r="G8428" s="15">
        <v>23.397222222222222</v>
      </c>
      <c r="H8428" s="3">
        <v>3.9752611111111308E-2</v>
      </c>
    </row>
    <row r="8429" spans="7:8" x14ac:dyDescent="0.3">
      <c r="G8429" s="15">
        <v>23.4</v>
      </c>
      <c r="H8429" s="3">
        <v>3.9752000000000197E-2</v>
      </c>
    </row>
    <row r="8430" spans="7:8" x14ac:dyDescent="0.3">
      <c r="G8430" s="15">
        <v>23.402777777777779</v>
      </c>
      <c r="H8430" s="3">
        <v>3.9751388888889086E-2</v>
      </c>
    </row>
    <row r="8431" spans="7:8" x14ac:dyDescent="0.3">
      <c r="G8431" s="15">
        <v>23.405555555555555</v>
      </c>
      <c r="H8431" s="3">
        <v>3.9750777777777975E-2</v>
      </c>
    </row>
    <row r="8432" spans="7:8" x14ac:dyDescent="0.3">
      <c r="G8432" s="15">
        <v>23.408333333333335</v>
      </c>
      <c r="H8432" s="3">
        <v>3.9750166666666864E-2</v>
      </c>
    </row>
    <row r="8433" spans="7:8" x14ac:dyDescent="0.3">
      <c r="G8433" s="15">
        <v>23.411111111111111</v>
      </c>
      <c r="H8433" s="3">
        <v>3.9749555555555753E-2</v>
      </c>
    </row>
    <row r="8434" spans="7:8" x14ac:dyDescent="0.3">
      <c r="G8434" s="15">
        <v>23.413888888888888</v>
      </c>
      <c r="H8434" s="3">
        <v>3.9748944444444642E-2</v>
      </c>
    </row>
    <row r="8435" spans="7:8" x14ac:dyDescent="0.3">
      <c r="G8435" s="15">
        <v>23.416666666666668</v>
      </c>
      <c r="H8435" s="3">
        <v>3.9748333333333531E-2</v>
      </c>
    </row>
    <row r="8436" spans="7:8" x14ac:dyDescent="0.3">
      <c r="G8436" s="15">
        <v>23.419444444444444</v>
      </c>
      <c r="H8436" s="3">
        <v>3.974772222222242E-2</v>
      </c>
    </row>
    <row r="8437" spans="7:8" x14ac:dyDescent="0.3">
      <c r="G8437" s="15">
        <v>23.422222222222221</v>
      </c>
      <c r="H8437" s="3">
        <v>3.9747111111111309E-2</v>
      </c>
    </row>
    <row r="8438" spans="7:8" x14ac:dyDescent="0.3">
      <c r="G8438" s="15">
        <v>23.425000000000001</v>
      </c>
      <c r="H8438" s="3">
        <v>3.9746500000000198E-2</v>
      </c>
    </row>
    <row r="8439" spans="7:8" x14ac:dyDescent="0.3">
      <c r="G8439" s="15">
        <v>23.427777777777777</v>
      </c>
      <c r="H8439" s="3">
        <v>3.9745888888889087E-2</v>
      </c>
    </row>
    <row r="8440" spans="7:8" x14ac:dyDescent="0.3">
      <c r="G8440" s="15">
        <v>23.430555555555557</v>
      </c>
      <c r="H8440" s="3">
        <v>3.9745277777777976E-2</v>
      </c>
    </row>
    <row r="8441" spans="7:8" x14ac:dyDescent="0.3">
      <c r="G8441" s="15">
        <v>23.433333333333334</v>
      </c>
      <c r="H8441" s="3">
        <v>3.9744666666666865E-2</v>
      </c>
    </row>
    <row r="8442" spans="7:8" x14ac:dyDescent="0.3">
      <c r="G8442" s="15">
        <v>23.43611111111111</v>
      </c>
      <c r="H8442" s="3">
        <v>3.9744055555555755E-2</v>
      </c>
    </row>
    <row r="8443" spans="7:8" x14ac:dyDescent="0.3">
      <c r="G8443" s="15">
        <v>23.43888888888889</v>
      </c>
      <c r="H8443" s="3">
        <v>3.9743444444444644E-2</v>
      </c>
    </row>
    <row r="8444" spans="7:8" x14ac:dyDescent="0.3">
      <c r="G8444" s="15">
        <v>23.441666666666666</v>
      </c>
      <c r="H8444" s="3">
        <v>3.9742833333333533E-2</v>
      </c>
    </row>
    <row r="8445" spans="7:8" x14ac:dyDescent="0.3">
      <c r="G8445" s="15">
        <v>23.444444444444443</v>
      </c>
      <c r="H8445" s="3">
        <v>3.9742222222222422E-2</v>
      </c>
    </row>
    <row r="8446" spans="7:8" x14ac:dyDescent="0.3">
      <c r="G8446" s="15">
        <v>23.447222222222223</v>
      </c>
      <c r="H8446" s="3">
        <v>3.9741611111111311E-2</v>
      </c>
    </row>
    <row r="8447" spans="7:8" x14ac:dyDescent="0.3">
      <c r="G8447" s="15">
        <v>23.45</v>
      </c>
      <c r="H8447" s="3">
        <v>3.97410000000002E-2</v>
      </c>
    </row>
    <row r="8448" spans="7:8" x14ac:dyDescent="0.3">
      <c r="G8448" s="15">
        <v>23.452777777777779</v>
      </c>
      <c r="H8448" s="3">
        <v>3.9740388888889089E-2</v>
      </c>
    </row>
    <row r="8449" spans="7:8" x14ac:dyDescent="0.3">
      <c r="G8449" s="15">
        <v>23.455555555555556</v>
      </c>
      <c r="H8449" s="3">
        <v>3.9739777777777978E-2</v>
      </c>
    </row>
    <row r="8450" spans="7:8" x14ac:dyDescent="0.3">
      <c r="G8450" s="15">
        <v>23.458333333333332</v>
      </c>
      <c r="H8450" s="3">
        <v>3.9739166666666867E-2</v>
      </c>
    </row>
    <row r="8451" spans="7:8" x14ac:dyDescent="0.3">
      <c r="G8451" s="15">
        <v>23.461111111111112</v>
      </c>
      <c r="H8451" s="3">
        <v>3.9738555555555756E-2</v>
      </c>
    </row>
    <row r="8452" spans="7:8" x14ac:dyDescent="0.3">
      <c r="G8452" s="15">
        <v>23.463888888888889</v>
      </c>
      <c r="H8452" s="3">
        <v>3.9737944444444645E-2</v>
      </c>
    </row>
    <row r="8453" spans="7:8" x14ac:dyDescent="0.3">
      <c r="G8453" s="15">
        <v>23.466666666666665</v>
      </c>
      <c r="H8453" s="3">
        <v>3.9737333333333534E-2</v>
      </c>
    </row>
    <row r="8454" spans="7:8" x14ac:dyDescent="0.3">
      <c r="G8454" s="15">
        <v>23.469444444444445</v>
      </c>
      <c r="H8454" s="3">
        <v>3.9736722222222423E-2</v>
      </c>
    </row>
    <row r="8455" spans="7:8" x14ac:dyDescent="0.3">
      <c r="G8455" s="15">
        <v>23.472222222222221</v>
      </c>
      <c r="H8455" s="3">
        <v>3.9736111111111312E-2</v>
      </c>
    </row>
    <row r="8456" spans="7:8" x14ac:dyDescent="0.3">
      <c r="G8456" s="15">
        <v>23.475000000000001</v>
      </c>
      <c r="H8456" s="3">
        <v>3.9735500000000201E-2</v>
      </c>
    </row>
    <row r="8457" spans="7:8" x14ac:dyDescent="0.3">
      <c r="G8457" s="15">
        <v>23.477777777777778</v>
      </c>
      <c r="H8457" s="3">
        <v>3.973488888888909E-2</v>
      </c>
    </row>
    <row r="8458" spans="7:8" x14ac:dyDescent="0.3">
      <c r="G8458" s="15">
        <v>23.480555555555554</v>
      </c>
      <c r="H8458" s="3">
        <v>3.9734277777777979E-2</v>
      </c>
    </row>
    <row r="8459" spans="7:8" x14ac:dyDescent="0.3">
      <c r="G8459" s="15">
        <v>23.483333333333334</v>
      </c>
      <c r="H8459" s="3">
        <v>3.9733666666666868E-2</v>
      </c>
    </row>
    <row r="8460" spans="7:8" x14ac:dyDescent="0.3">
      <c r="G8460" s="15">
        <v>23.486111111111111</v>
      </c>
      <c r="H8460" s="3">
        <v>3.9733055555555757E-2</v>
      </c>
    </row>
    <row r="8461" spans="7:8" x14ac:dyDescent="0.3">
      <c r="G8461" s="15">
        <v>23.488888888888887</v>
      </c>
      <c r="H8461" s="3">
        <v>3.9732444444444646E-2</v>
      </c>
    </row>
    <row r="8462" spans="7:8" x14ac:dyDescent="0.3">
      <c r="G8462" s="15">
        <v>23.491666666666667</v>
      </c>
      <c r="H8462" s="3">
        <v>3.9731833333333536E-2</v>
      </c>
    </row>
    <row r="8463" spans="7:8" x14ac:dyDescent="0.3">
      <c r="G8463" s="15">
        <v>23.494444444444444</v>
      </c>
      <c r="H8463" s="3">
        <v>3.9731222222222425E-2</v>
      </c>
    </row>
    <row r="8464" spans="7:8" x14ac:dyDescent="0.3">
      <c r="G8464" s="15">
        <v>23.497222222222224</v>
      </c>
      <c r="H8464" s="3">
        <v>3.9730611111111314E-2</v>
      </c>
    </row>
    <row r="8465" spans="7:8" x14ac:dyDescent="0.3">
      <c r="G8465" s="15">
        <v>23.5</v>
      </c>
      <c r="H8465" s="3">
        <v>3.9730000000000203E-2</v>
      </c>
    </row>
    <row r="8466" spans="7:8" x14ac:dyDescent="0.3">
      <c r="G8466" s="15">
        <v>23.502777777777776</v>
      </c>
      <c r="H8466" s="3">
        <v>3.9729388888889092E-2</v>
      </c>
    </row>
    <row r="8467" spans="7:8" x14ac:dyDescent="0.3">
      <c r="G8467" s="15">
        <v>23.505555555555556</v>
      </c>
      <c r="H8467" s="3">
        <v>3.9728777777777981E-2</v>
      </c>
    </row>
    <row r="8468" spans="7:8" x14ac:dyDescent="0.3">
      <c r="G8468" s="15">
        <v>23.508333333333333</v>
      </c>
      <c r="H8468" s="3">
        <v>3.972816666666687E-2</v>
      </c>
    </row>
    <row r="8469" spans="7:8" x14ac:dyDescent="0.3">
      <c r="G8469" s="15">
        <v>23.511111111111113</v>
      </c>
      <c r="H8469" s="3">
        <v>3.9727555555555759E-2</v>
      </c>
    </row>
    <row r="8470" spans="7:8" x14ac:dyDescent="0.3">
      <c r="G8470" s="15">
        <v>23.513888888888889</v>
      </c>
      <c r="H8470" s="3">
        <v>3.9726944444444648E-2</v>
      </c>
    </row>
    <row r="8471" spans="7:8" x14ac:dyDescent="0.3">
      <c r="G8471" s="15">
        <v>23.516666666666666</v>
      </c>
      <c r="H8471" s="3">
        <v>3.9726333333333537E-2</v>
      </c>
    </row>
    <row r="8472" spans="7:8" x14ac:dyDescent="0.3">
      <c r="G8472" s="15">
        <v>23.519444444444446</v>
      </c>
      <c r="H8472" s="3">
        <v>3.9725722222222426E-2</v>
      </c>
    </row>
    <row r="8473" spans="7:8" x14ac:dyDescent="0.3">
      <c r="G8473" s="15">
        <v>23.522222222222222</v>
      </c>
      <c r="H8473" s="3">
        <v>3.9725111111111315E-2</v>
      </c>
    </row>
    <row r="8474" spans="7:8" x14ac:dyDescent="0.3">
      <c r="G8474" s="15">
        <v>23.524999999999999</v>
      </c>
      <c r="H8474" s="3">
        <v>3.9724500000000204E-2</v>
      </c>
    </row>
    <row r="8475" spans="7:8" x14ac:dyDescent="0.3">
      <c r="G8475" s="15">
        <v>23.527777777777779</v>
      </c>
      <c r="H8475" s="3">
        <v>3.9723888888889093E-2</v>
      </c>
    </row>
    <row r="8476" spans="7:8" x14ac:dyDescent="0.3">
      <c r="G8476" s="15">
        <v>23.530555555555555</v>
      </c>
      <c r="H8476" s="3">
        <v>3.9723277777777982E-2</v>
      </c>
    </row>
    <row r="8477" spans="7:8" x14ac:dyDescent="0.3">
      <c r="G8477" s="15">
        <v>23.533333333333335</v>
      </c>
      <c r="H8477" s="3">
        <v>3.9722666666666871E-2</v>
      </c>
    </row>
    <row r="8478" spans="7:8" x14ac:dyDescent="0.3">
      <c r="G8478" s="15">
        <v>23.536111111111111</v>
      </c>
      <c r="H8478" s="3">
        <v>3.972205555555576E-2</v>
      </c>
    </row>
    <row r="8479" spans="7:8" x14ac:dyDescent="0.3">
      <c r="G8479" s="15">
        <v>23.538888888888888</v>
      </c>
      <c r="H8479" s="3">
        <v>3.9721444444444649E-2</v>
      </c>
    </row>
    <row r="8480" spans="7:8" x14ac:dyDescent="0.3">
      <c r="G8480" s="15">
        <v>23.541666666666668</v>
      </c>
      <c r="H8480" s="3">
        <v>3.9720833333333538E-2</v>
      </c>
    </row>
    <row r="8481" spans="7:8" x14ac:dyDescent="0.3">
      <c r="G8481" s="15">
        <v>23.544444444444444</v>
      </c>
      <c r="H8481" s="3">
        <v>3.9720222222222427E-2</v>
      </c>
    </row>
    <row r="8482" spans="7:8" x14ac:dyDescent="0.3">
      <c r="G8482" s="15">
        <v>23.547222222222221</v>
      </c>
      <c r="H8482" s="3">
        <v>3.9719611111111316E-2</v>
      </c>
    </row>
    <row r="8483" spans="7:8" x14ac:dyDescent="0.3">
      <c r="G8483" s="15">
        <v>23.55</v>
      </c>
      <c r="H8483" s="3">
        <v>3.9719000000000206E-2</v>
      </c>
    </row>
    <row r="8484" spans="7:8" x14ac:dyDescent="0.3">
      <c r="G8484" s="15">
        <v>23.552777777777777</v>
      </c>
      <c r="H8484" s="3">
        <v>3.9718388888889095E-2</v>
      </c>
    </row>
    <row r="8485" spans="7:8" x14ac:dyDescent="0.3">
      <c r="G8485" s="15">
        <v>23.555555555555557</v>
      </c>
      <c r="H8485" s="3">
        <v>3.9717777777777984E-2</v>
      </c>
    </row>
    <row r="8486" spans="7:8" x14ac:dyDescent="0.3">
      <c r="G8486" s="15">
        <v>23.558333333333334</v>
      </c>
      <c r="H8486" s="3">
        <v>3.9717166666666873E-2</v>
      </c>
    </row>
    <row r="8487" spans="7:8" x14ac:dyDescent="0.3">
      <c r="G8487" s="15">
        <v>23.56111111111111</v>
      </c>
      <c r="H8487" s="3">
        <v>3.9716555555555762E-2</v>
      </c>
    </row>
    <row r="8488" spans="7:8" x14ac:dyDescent="0.3">
      <c r="G8488" s="15">
        <v>23.56388888888889</v>
      </c>
      <c r="H8488" s="3">
        <v>3.9715944444444651E-2</v>
      </c>
    </row>
    <row r="8489" spans="7:8" x14ac:dyDescent="0.3">
      <c r="G8489" s="15">
        <v>23.566666666666666</v>
      </c>
      <c r="H8489" s="3">
        <v>3.971533333333354E-2</v>
      </c>
    </row>
    <row r="8490" spans="7:8" x14ac:dyDescent="0.3">
      <c r="G8490" s="15">
        <v>23.569444444444443</v>
      </c>
      <c r="H8490" s="3">
        <v>3.9714722222222429E-2</v>
      </c>
    </row>
    <row r="8491" spans="7:8" x14ac:dyDescent="0.3">
      <c r="G8491" s="15">
        <v>23.572222222222223</v>
      </c>
      <c r="H8491" s="3">
        <v>3.9714111111111318E-2</v>
      </c>
    </row>
    <row r="8492" spans="7:8" x14ac:dyDescent="0.3">
      <c r="G8492" s="15">
        <v>23.574999999999999</v>
      </c>
      <c r="H8492" s="3">
        <v>3.9713500000000207E-2</v>
      </c>
    </row>
    <row r="8493" spans="7:8" x14ac:dyDescent="0.3">
      <c r="G8493" s="15">
        <v>23.577777777777779</v>
      </c>
      <c r="H8493" s="3">
        <v>3.9712888888889096E-2</v>
      </c>
    </row>
    <row r="8494" spans="7:8" x14ac:dyDescent="0.3">
      <c r="G8494" s="15">
        <v>23.580555555555556</v>
      </c>
      <c r="H8494" s="3">
        <v>3.9712277777777985E-2</v>
      </c>
    </row>
    <row r="8495" spans="7:8" x14ac:dyDescent="0.3">
      <c r="G8495" s="15">
        <v>23.583333333333332</v>
      </c>
      <c r="H8495" s="3">
        <v>3.9711666666666874E-2</v>
      </c>
    </row>
    <row r="8496" spans="7:8" x14ac:dyDescent="0.3">
      <c r="G8496" s="15">
        <v>23.586111111111112</v>
      </c>
      <c r="H8496" s="3">
        <v>3.9711055555555763E-2</v>
      </c>
    </row>
    <row r="8497" spans="7:8" x14ac:dyDescent="0.3">
      <c r="G8497" s="15">
        <v>23.588888888888889</v>
      </c>
      <c r="H8497" s="3">
        <v>3.9710444444444652E-2</v>
      </c>
    </row>
    <row r="8498" spans="7:8" x14ac:dyDescent="0.3">
      <c r="G8498" s="15">
        <v>23.591666666666665</v>
      </c>
      <c r="H8498" s="3">
        <v>3.9709833333333541E-2</v>
      </c>
    </row>
    <row r="8499" spans="7:8" x14ac:dyDescent="0.3">
      <c r="G8499" s="15">
        <v>23.594444444444445</v>
      </c>
      <c r="H8499" s="3">
        <v>3.970922222222243E-2</v>
      </c>
    </row>
    <row r="8500" spans="7:8" x14ac:dyDescent="0.3">
      <c r="G8500" s="15">
        <v>23.597222222222221</v>
      </c>
      <c r="H8500" s="3">
        <v>3.9708611111111319E-2</v>
      </c>
    </row>
    <row r="8501" spans="7:8" x14ac:dyDescent="0.3">
      <c r="G8501" s="15">
        <v>23.6</v>
      </c>
      <c r="H8501" s="3">
        <v>3.9708000000000208E-2</v>
      </c>
    </row>
    <row r="8502" spans="7:8" x14ac:dyDescent="0.3">
      <c r="G8502" s="15">
        <v>23.602777777777778</v>
      </c>
      <c r="H8502" s="3">
        <v>3.9707388888889097E-2</v>
      </c>
    </row>
    <row r="8503" spans="7:8" x14ac:dyDescent="0.3">
      <c r="G8503" s="15">
        <v>23.605555555555554</v>
      </c>
      <c r="H8503" s="3">
        <v>3.9706777777777987E-2</v>
      </c>
    </row>
    <row r="8504" spans="7:8" x14ac:dyDescent="0.3">
      <c r="G8504" s="15">
        <v>23.608333333333334</v>
      </c>
      <c r="H8504" s="3">
        <v>3.9706166666666876E-2</v>
      </c>
    </row>
    <row r="8505" spans="7:8" x14ac:dyDescent="0.3">
      <c r="G8505" s="15">
        <v>23.611111111111111</v>
      </c>
      <c r="H8505" s="3">
        <v>3.9705555555555765E-2</v>
      </c>
    </row>
    <row r="8506" spans="7:8" x14ac:dyDescent="0.3">
      <c r="G8506" s="15">
        <v>23.613888888888887</v>
      </c>
      <c r="H8506" s="3">
        <v>3.9704944444444654E-2</v>
      </c>
    </row>
    <row r="8507" spans="7:8" x14ac:dyDescent="0.3">
      <c r="G8507" s="15">
        <v>23.616666666666667</v>
      </c>
      <c r="H8507" s="3">
        <v>3.9704333333333543E-2</v>
      </c>
    </row>
    <row r="8508" spans="7:8" x14ac:dyDescent="0.3">
      <c r="G8508" s="15">
        <v>23.619444444444444</v>
      </c>
      <c r="H8508" s="3">
        <v>3.9703722222222432E-2</v>
      </c>
    </row>
    <row r="8509" spans="7:8" x14ac:dyDescent="0.3">
      <c r="G8509" s="15">
        <v>23.622222222222224</v>
      </c>
      <c r="H8509" s="3">
        <v>3.9703111111111321E-2</v>
      </c>
    </row>
    <row r="8510" spans="7:8" x14ac:dyDescent="0.3">
      <c r="G8510" s="15">
        <v>23.625</v>
      </c>
      <c r="H8510" s="3">
        <v>3.970250000000021E-2</v>
      </c>
    </row>
    <row r="8511" spans="7:8" x14ac:dyDescent="0.3">
      <c r="G8511" s="15">
        <v>23.627777777777776</v>
      </c>
      <c r="H8511" s="3">
        <v>3.9701888888889099E-2</v>
      </c>
    </row>
    <row r="8512" spans="7:8" x14ac:dyDescent="0.3">
      <c r="G8512" s="15">
        <v>23.630555555555556</v>
      </c>
      <c r="H8512" s="3">
        <v>3.9701277777777988E-2</v>
      </c>
    </row>
    <row r="8513" spans="7:8" x14ac:dyDescent="0.3">
      <c r="G8513" s="15">
        <v>23.633333333333333</v>
      </c>
      <c r="H8513" s="3">
        <v>3.9700666666666877E-2</v>
      </c>
    </row>
    <row r="8514" spans="7:8" x14ac:dyDescent="0.3">
      <c r="G8514" s="15">
        <v>23.636111111111113</v>
      </c>
      <c r="H8514" s="3">
        <v>3.9700055555555766E-2</v>
      </c>
    </row>
    <row r="8515" spans="7:8" x14ac:dyDescent="0.3">
      <c r="G8515" s="15">
        <v>23.638888888888889</v>
      </c>
      <c r="H8515" s="3">
        <v>3.9699444444444655E-2</v>
      </c>
    </row>
    <row r="8516" spans="7:8" x14ac:dyDescent="0.3">
      <c r="G8516" s="15">
        <v>23.641666666666666</v>
      </c>
      <c r="H8516" s="3">
        <v>3.9698833333333544E-2</v>
      </c>
    </row>
    <row r="8517" spans="7:8" x14ac:dyDescent="0.3">
      <c r="G8517" s="15">
        <v>23.644444444444446</v>
      </c>
      <c r="H8517" s="3">
        <v>3.9698222222222433E-2</v>
      </c>
    </row>
    <row r="8518" spans="7:8" x14ac:dyDescent="0.3">
      <c r="G8518" s="15">
        <v>23.647222222222222</v>
      </c>
      <c r="H8518" s="3">
        <v>3.9697611111111322E-2</v>
      </c>
    </row>
    <row r="8519" spans="7:8" x14ac:dyDescent="0.3">
      <c r="G8519" s="15">
        <v>23.65</v>
      </c>
      <c r="H8519" s="3">
        <v>3.9697000000000211E-2</v>
      </c>
    </row>
    <row r="8520" spans="7:8" x14ac:dyDescent="0.3">
      <c r="G8520" s="15">
        <v>23.652777777777779</v>
      </c>
      <c r="H8520" s="3">
        <v>3.96963888888891E-2</v>
      </c>
    </row>
    <row r="8521" spans="7:8" x14ac:dyDescent="0.3">
      <c r="G8521" s="15">
        <v>23.655555555555555</v>
      </c>
      <c r="H8521" s="3">
        <v>3.9695777777777989E-2</v>
      </c>
    </row>
    <row r="8522" spans="7:8" x14ac:dyDescent="0.3">
      <c r="G8522" s="15">
        <v>23.658333333333335</v>
      </c>
      <c r="H8522" s="3">
        <v>3.9695166666666878E-2</v>
      </c>
    </row>
    <row r="8523" spans="7:8" x14ac:dyDescent="0.3">
      <c r="G8523" s="15">
        <v>23.661111111111111</v>
      </c>
      <c r="H8523" s="3">
        <v>3.9694555555555767E-2</v>
      </c>
    </row>
    <row r="8524" spans="7:8" x14ac:dyDescent="0.3">
      <c r="G8524" s="15">
        <v>23.663888888888888</v>
      </c>
      <c r="H8524" s="3">
        <v>3.9693944444444657E-2</v>
      </c>
    </row>
    <row r="8525" spans="7:8" x14ac:dyDescent="0.3">
      <c r="G8525" s="15">
        <v>23.666666666666668</v>
      </c>
      <c r="H8525" s="3">
        <v>3.9693333333333546E-2</v>
      </c>
    </row>
    <row r="8526" spans="7:8" x14ac:dyDescent="0.3">
      <c r="G8526" s="15">
        <v>23.669444444444444</v>
      </c>
      <c r="H8526" s="3">
        <v>3.9692722222222435E-2</v>
      </c>
    </row>
    <row r="8527" spans="7:8" x14ac:dyDescent="0.3">
      <c r="G8527" s="15">
        <v>23.672222222222221</v>
      </c>
      <c r="H8527" s="3">
        <v>3.9692111111111324E-2</v>
      </c>
    </row>
    <row r="8528" spans="7:8" x14ac:dyDescent="0.3">
      <c r="G8528" s="15">
        <v>23.675000000000001</v>
      </c>
      <c r="H8528" s="3">
        <v>3.9691500000000213E-2</v>
      </c>
    </row>
    <row r="8529" spans="7:8" x14ac:dyDescent="0.3">
      <c r="G8529" s="15">
        <v>23.677777777777777</v>
      </c>
      <c r="H8529" s="3">
        <v>3.9690888888889102E-2</v>
      </c>
    </row>
    <row r="8530" spans="7:8" x14ac:dyDescent="0.3">
      <c r="G8530" s="15">
        <v>23.680555555555557</v>
      </c>
      <c r="H8530" s="3">
        <v>3.9690277777777991E-2</v>
      </c>
    </row>
    <row r="8531" spans="7:8" x14ac:dyDescent="0.3">
      <c r="G8531" s="15">
        <v>23.683333333333334</v>
      </c>
      <c r="H8531" s="3">
        <v>3.968966666666688E-2</v>
      </c>
    </row>
    <row r="8532" spans="7:8" x14ac:dyDescent="0.3">
      <c r="G8532" s="15">
        <v>23.68611111111111</v>
      </c>
      <c r="H8532" s="3">
        <v>3.9689055555555769E-2</v>
      </c>
    </row>
    <row r="8533" spans="7:8" x14ac:dyDescent="0.3">
      <c r="G8533" s="15">
        <v>23.68888888888889</v>
      </c>
      <c r="H8533" s="3">
        <v>3.9688444444444658E-2</v>
      </c>
    </row>
    <row r="8534" spans="7:8" x14ac:dyDescent="0.3">
      <c r="G8534" s="15">
        <v>23.691666666666666</v>
      </c>
      <c r="H8534" s="3">
        <v>3.9687833333333547E-2</v>
      </c>
    </row>
    <row r="8535" spans="7:8" x14ac:dyDescent="0.3">
      <c r="G8535" s="15">
        <v>23.694444444444443</v>
      </c>
      <c r="H8535" s="3">
        <v>3.9687222222222436E-2</v>
      </c>
    </row>
    <row r="8536" spans="7:8" x14ac:dyDescent="0.3">
      <c r="G8536" s="15">
        <v>23.697222222222223</v>
      </c>
      <c r="H8536" s="3">
        <v>3.9686611111111325E-2</v>
      </c>
    </row>
    <row r="8537" spans="7:8" x14ac:dyDescent="0.3">
      <c r="G8537" s="15">
        <v>23.7</v>
      </c>
      <c r="H8537" s="3">
        <v>3.9686000000000214E-2</v>
      </c>
    </row>
    <row r="8538" spans="7:8" x14ac:dyDescent="0.3">
      <c r="G8538" s="15">
        <v>23.702777777777779</v>
      </c>
      <c r="H8538" s="3">
        <v>3.9685388888889103E-2</v>
      </c>
    </row>
    <row r="8539" spans="7:8" x14ac:dyDescent="0.3">
      <c r="G8539" s="15">
        <v>23.705555555555556</v>
      </c>
      <c r="H8539" s="3">
        <v>3.9684777777777992E-2</v>
      </c>
    </row>
    <row r="8540" spans="7:8" x14ac:dyDescent="0.3">
      <c r="G8540" s="15">
        <v>23.708333333333332</v>
      </c>
      <c r="H8540" s="3">
        <v>3.9684166666666881E-2</v>
      </c>
    </row>
    <row r="8541" spans="7:8" x14ac:dyDescent="0.3">
      <c r="G8541" s="15">
        <v>23.711111111111112</v>
      </c>
      <c r="H8541" s="3">
        <v>3.968355555555577E-2</v>
      </c>
    </row>
    <row r="8542" spans="7:8" x14ac:dyDescent="0.3">
      <c r="G8542" s="15">
        <v>23.713888888888889</v>
      </c>
      <c r="H8542" s="3">
        <v>3.9682944444444659E-2</v>
      </c>
    </row>
    <row r="8543" spans="7:8" x14ac:dyDescent="0.3">
      <c r="G8543" s="15">
        <v>23.716666666666665</v>
      </c>
      <c r="H8543" s="3">
        <v>3.9682333333333548E-2</v>
      </c>
    </row>
    <row r="8544" spans="7:8" x14ac:dyDescent="0.3">
      <c r="G8544" s="15">
        <v>23.719444444444445</v>
      </c>
      <c r="H8544" s="3">
        <v>3.9681722222222438E-2</v>
      </c>
    </row>
    <row r="8545" spans="7:8" x14ac:dyDescent="0.3">
      <c r="G8545" s="15">
        <v>23.722222222222221</v>
      </c>
      <c r="H8545" s="3">
        <v>3.9681111111111327E-2</v>
      </c>
    </row>
    <row r="8546" spans="7:8" x14ac:dyDescent="0.3">
      <c r="G8546" s="15">
        <v>23.725000000000001</v>
      </c>
      <c r="H8546" s="3">
        <v>3.9680500000000216E-2</v>
      </c>
    </row>
    <row r="8547" spans="7:8" x14ac:dyDescent="0.3">
      <c r="G8547" s="15">
        <v>23.727777777777778</v>
      </c>
      <c r="H8547" s="3">
        <v>3.9679888888889105E-2</v>
      </c>
    </row>
    <row r="8548" spans="7:8" x14ac:dyDescent="0.3">
      <c r="G8548" s="15">
        <v>23.730555555555554</v>
      </c>
      <c r="H8548" s="3">
        <v>3.9679277777777994E-2</v>
      </c>
    </row>
    <row r="8549" spans="7:8" x14ac:dyDescent="0.3">
      <c r="G8549" s="15">
        <v>23.733333333333334</v>
      </c>
      <c r="H8549" s="3">
        <v>3.9678666666666883E-2</v>
      </c>
    </row>
    <row r="8550" spans="7:8" x14ac:dyDescent="0.3">
      <c r="G8550" s="15">
        <v>23.736111111111111</v>
      </c>
      <c r="H8550" s="3">
        <v>3.9678055555555772E-2</v>
      </c>
    </row>
    <row r="8551" spans="7:8" x14ac:dyDescent="0.3">
      <c r="G8551" s="15">
        <v>23.738888888888887</v>
      </c>
      <c r="H8551" s="3">
        <v>3.9677444444444661E-2</v>
      </c>
    </row>
    <row r="8552" spans="7:8" x14ac:dyDescent="0.3">
      <c r="G8552" s="15">
        <v>23.741666666666667</v>
      </c>
      <c r="H8552" s="3">
        <v>3.967683333333355E-2</v>
      </c>
    </row>
    <row r="8553" spans="7:8" x14ac:dyDescent="0.3">
      <c r="G8553" s="15">
        <v>23.744444444444444</v>
      </c>
      <c r="H8553" s="3">
        <v>3.9676222222222439E-2</v>
      </c>
    </row>
    <row r="8554" spans="7:8" x14ac:dyDescent="0.3">
      <c r="G8554" s="15">
        <v>23.747222222222224</v>
      </c>
      <c r="H8554" s="3">
        <v>3.9675611111111328E-2</v>
      </c>
    </row>
    <row r="8555" spans="7:8" x14ac:dyDescent="0.3">
      <c r="G8555" s="15">
        <v>23.75</v>
      </c>
      <c r="H8555" s="3">
        <v>3.9675000000000217E-2</v>
      </c>
    </row>
    <row r="8556" spans="7:8" x14ac:dyDescent="0.3">
      <c r="G8556" s="15">
        <v>23.752777777777776</v>
      </c>
      <c r="H8556" s="3">
        <v>3.9674388888889106E-2</v>
      </c>
    </row>
    <row r="8557" spans="7:8" x14ac:dyDescent="0.3">
      <c r="G8557" s="15">
        <v>23.755555555555556</v>
      </c>
      <c r="H8557" s="3">
        <v>3.9673777777777995E-2</v>
      </c>
    </row>
    <row r="8558" spans="7:8" x14ac:dyDescent="0.3">
      <c r="G8558" s="15">
        <v>23.758333333333333</v>
      </c>
      <c r="H8558" s="3">
        <v>3.9673166666666884E-2</v>
      </c>
    </row>
    <row r="8559" spans="7:8" x14ac:dyDescent="0.3">
      <c r="G8559" s="15">
        <v>23.761111111111113</v>
      </c>
      <c r="H8559" s="3">
        <v>3.9672555555555773E-2</v>
      </c>
    </row>
    <row r="8560" spans="7:8" x14ac:dyDescent="0.3">
      <c r="G8560" s="15">
        <v>23.763888888888889</v>
      </c>
      <c r="H8560" s="3">
        <v>3.9671944444444662E-2</v>
      </c>
    </row>
    <row r="8561" spans="7:8" x14ac:dyDescent="0.3">
      <c r="G8561" s="15">
        <v>23.766666666666666</v>
      </c>
      <c r="H8561" s="3">
        <v>3.9671333333333551E-2</v>
      </c>
    </row>
    <row r="8562" spans="7:8" x14ac:dyDescent="0.3">
      <c r="G8562" s="15">
        <v>23.769444444444446</v>
      </c>
      <c r="H8562" s="3">
        <v>3.967072222222244E-2</v>
      </c>
    </row>
    <row r="8563" spans="7:8" x14ac:dyDescent="0.3">
      <c r="G8563" s="15">
        <v>23.772222222222222</v>
      </c>
      <c r="H8563" s="3">
        <v>3.9670111111111329E-2</v>
      </c>
    </row>
    <row r="8564" spans="7:8" x14ac:dyDescent="0.3">
      <c r="G8564" s="15">
        <v>23.774999999999999</v>
      </c>
      <c r="H8564" s="3">
        <v>3.9669500000000218E-2</v>
      </c>
    </row>
    <row r="8565" spans="7:8" x14ac:dyDescent="0.3">
      <c r="G8565" s="15">
        <v>23.777777777777779</v>
      </c>
      <c r="H8565" s="3">
        <v>3.9668888888889108E-2</v>
      </c>
    </row>
    <row r="8566" spans="7:8" x14ac:dyDescent="0.3">
      <c r="G8566" s="15">
        <v>23.780555555555555</v>
      </c>
      <c r="H8566" s="3">
        <v>3.9668277777777997E-2</v>
      </c>
    </row>
    <row r="8567" spans="7:8" x14ac:dyDescent="0.3">
      <c r="G8567" s="15">
        <v>23.783333333333335</v>
      </c>
      <c r="H8567" s="3">
        <v>3.9667666666666886E-2</v>
      </c>
    </row>
    <row r="8568" spans="7:8" x14ac:dyDescent="0.3">
      <c r="G8568" s="15">
        <v>23.786111111111111</v>
      </c>
      <c r="H8568" s="3">
        <v>3.9667055555555775E-2</v>
      </c>
    </row>
    <row r="8569" spans="7:8" x14ac:dyDescent="0.3">
      <c r="G8569" s="15">
        <v>23.788888888888888</v>
      </c>
      <c r="H8569" s="3">
        <v>3.9666444444444664E-2</v>
      </c>
    </row>
    <row r="8570" spans="7:8" x14ac:dyDescent="0.3">
      <c r="G8570" s="15">
        <v>23.791666666666668</v>
      </c>
      <c r="H8570" s="3">
        <v>3.9665833333333553E-2</v>
      </c>
    </row>
    <row r="8571" spans="7:8" x14ac:dyDescent="0.3">
      <c r="G8571" s="15">
        <v>23.794444444444444</v>
      </c>
      <c r="H8571" s="3">
        <v>3.9665222222222442E-2</v>
      </c>
    </row>
    <row r="8572" spans="7:8" x14ac:dyDescent="0.3">
      <c r="G8572" s="15">
        <v>23.797222222222221</v>
      </c>
      <c r="H8572" s="3">
        <v>3.9664611111111331E-2</v>
      </c>
    </row>
    <row r="8573" spans="7:8" x14ac:dyDescent="0.3">
      <c r="G8573" s="15">
        <v>23.8</v>
      </c>
      <c r="H8573" s="3">
        <v>3.966400000000022E-2</v>
      </c>
    </row>
    <row r="8574" spans="7:8" x14ac:dyDescent="0.3">
      <c r="G8574" s="15">
        <v>23.802777777777777</v>
      </c>
      <c r="H8574" s="3">
        <v>3.9663388888889109E-2</v>
      </c>
    </row>
    <row r="8575" spans="7:8" x14ac:dyDescent="0.3">
      <c r="G8575" s="15">
        <v>23.805555555555557</v>
      </c>
      <c r="H8575" s="3">
        <v>3.9662777777777998E-2</v>
      </c>
    </row>
    <row r="8576" spans="7:8" x14ac:dyDescent="0.3">
      <c r="G8576" s="15">
        <v>23.808333333333334</v>
      </c>
      <c r="H8576" s="3">
        <v>3.9662166666666887E-2</v>
      </c>
    </row>
    <row r="8577" spans="7:8" x14ac:dyDescent="0.3">
      <c r="G8577" s="15">
        <v>23.81111111111111</v>
      </c>
      <c r="H8577" s="3">
        <v>3.9661555555555776E-2</v>
      </c>
    </row>
    <row r="8578" spans="7:8" x14ac:dyDescent="0.3">
      <c r="G8578" s="15">
        <v>23.81388888888889</v>
      </c>
      <c r="H8578" s="3">
        <v>3.9660944444444665E-2</v>
      </c>
    </row>
    <row r="8579" spans="7:8" x14ac:dyDescent="0.3">
      <c r="G8579" s="15">
        <v>23.816666666666666</v>
      </c>
      <c r="H8579" s="3">
        <v>3.9660333333333554E-2</v>
      </c>
    </row>
    <row r="8580" spans="7:8" x14ac:dyDescent="0.3">
      <c r="G8580" s="15">
        <v>23.819444444444443</v>
      </c>
      <c r="H8580" s="3">
        <v>3.9659722222222443E-2</v>
      </c>
    </row>
    <row r="8581" spans="7:8" x14ac:dyDescent="0.3">
      <c r="G8581" s="15">
        <v>23.822222222222223</v>
      </c>
      <c r="H8581" s="3">
        <v>3.9659111111111332E-2</v>
      </c>
    </row>
    <row r="8582" spans="7:8" x14ac:dyDescent="0.3">
      <c r="G8582" s="15">
        <v>23.824999999999999</v>
      </c>
      <c r="H8582" s="3">
        <v>3.9658500000000221E-2</v>
      </c>
    </row>
    <row r="8583" spans="7:8" x14ac:dyDescent="0.3">
      <c r="G8583" s="15">
        <v>23.827777777777779</v>
      </c>
      <c r="H8583" s="3">
        <v>3.965788888888911E-2</v>
      </c>
    </row>
    <row r="8584" spans="7:8" x14ac:dyDescent="0.3">
      <c r="G8584" s="15">
        <v>23.830555555555556</v>
      </c>
      <c r="H8584" s="3">
        <v>3.9657277777777999E-2</v>
      </c>
    </row>
    <row r="8585" spans="7:8" x14ac:dyDescent="0.3">
      <c r="G8585" s="15">
        <v>23.833333333333332</v>
      </c>
      <c r="H8585" s="3">
        <v>3.9656666666666888E-2</v>
      </c>
    </row>
    <row r="8586" spans="7:8" x14ac:dyDescent="0.3">
      <c r="G8586" s="15">
        <v>23.836111111111112</v>
      </c>
      <c r="H8586" s="3">
        <v>3.9656055555555778E-2</v>
      </c>
    </row>
    <row r="8587" spans="7:8" x14ac:dyDescent="0.3">
      <c r="G8587" s="15">
        <v>23.838888888888889</v>
      </c>
      <c r="H8587" s="3">
        <v>3.9655444444444667E-2</v>
      </c>
    </row>
    <row r="8588" spans="7:8" x14ac:dyDescent="0.3">
      <c r="G8588" s="15">
        <v>23.841666666666665</v>
      </c>
      <c r="H8588" s="3">
        <v>3.9654833333333556E-2</v>
      </c>
    </row>
    <row r="8589" spans="7:8" x14ac:dyDescent="0.3">
      <c r="G8589" s="15">
        <v>23.844444444444445</v>
      </c>
      <c r="H8589" s="3">
        <v>3.9654222222222445E-2</v>
      </c>
    </row>
    <row r="8590" spans="7:8" x14ac:dyDescent="0.3">
      <c r="G8590" s="15">
        <v>23.847222222222221</v>
      </c>
      <c r="H8590" s="3">
        <v>3.9653611111111334E-2</v>
      </c>
    </row>
    <row r="8591" spans="7:8" x14ac:dyDescent="0.3">
      <c r="G8591" s="15">
        <v>23.85</v>
      </c>
      <c r="H8591" s="3">
        <v>3.9653000000000223E-2</v>
      </c>
    </row>
    <row r="8592" spans="7:8" x14ac:dyDescent="0.3">
      <c r="G8592" s="15">
        <v>23.852777777777778</v>
      </c>
      <c r="H8592" s="3">
        <v>3.9652388888889112E-2</v>
      </c>
    </row>
    <row r="8593" spans="7:8" x14ac:dyDescent="0.3">
      <c r="G8593" s="15">
        <v>23.855555555555554</v>
      </c>
      <c r="H8593" s="3">
        <v>3.9651777777778001E-2</v>
      </c>
    </row>
    <row r="8594" spans="7:8" x14ac:dyDescent="0.3">
      <c r="G8594" s="15">
        <v>23.858333333333334</v>
      </c>
      <c r="H8594" s="3">
        <v>3.965116666666689E-2</v>
      </c>
    </row>
    <row r="8595" spans="7:8" x14ac:dyDescent="0.3">
      <c r="G8595" s="15">
        <v>23.861111111111111</v>
      </c>
      <c r="H8595" s="3">
        <v>3.9650555555555779E-2</v>
      </c>
    </row>
    <row r="8596" spans="7:8" x14ac:dyDescent="0.3">
      <c r="G8596" s="15">
        <v>23.863888888888887</v>
      </c>
      <c r="H8596" s="3">
        <v>3.9649944444444668E-2</v>
      </c>
    </row>
    <row r="8597" spans="7:8" x14ac:dyDescent="0.3">
      <c r="G8597" s="15">
        <v>23.866666666666667</v>
      </c>
      <c r="H8597" s="3">
        <v>3.9649333333333557E-2</v>
      </c>
    </row>
    <row r="8598" spans="7:8" x14ac:dyDescent="0.3">
      <c r="G8598" s="15">
        <v>23.869444444444444</v>
      </c>
      <c r="H8598" s="3">
        <v>3.9648722222222446E-2</v>
      </c>
    </row>
    <row r="8599" spans="7:8" x14ac:dyDescent="0.3">
      <c r="G8599" s="15">
        <v>23.872222222222224</v>
      </c>
      <c r="H8599" s="3">
        <v>3.9648111111111335E-2</v>
      </c>
    </row>
    <row r="8600" spans="7:8" x14ac:dyDescent="0.3">
      <c r="G8600" s="15">
        <v>23.875</v>
      </c>
      <c r="H8600" s="3">
        <v>3.9647500000000224E-2</v>
      </c>
    </row>
    <row r="8601" spans="7:8" x14ac:dyDescent="0.3">
      <c r="G8601" s="15">
        <v>23.877777777777776</v>
      </c>
      <c r="H8601" s="3">
        <v>3.9646888888889113E-2</v>
      </c>
    </row>
    <row r="8602" spans="7:8" x14ac:dyDescent="0.3">
      <c r="G8602" s="15">
        <v>23.880555555555556</v>
      </c>
      <c r="H8602" s="3">
        <v>3.9646277777778002E-2</v>
      </c>
    </row>
    <row r="8603" spans="7:8" x14ac:dyDescent="0.3">
      <c r="G8603" s="15">
        <v>23.883333333333333</v>
      </c>
      <c r="H8603" s="3">
        <v>3.9645666666666891E-2</v>
      </c>
    </row>
    <row r="8604" spans="7:8" x14ac:dyDescent="0.3">
      <c r="G8604" s="15">
        <v>23.886111111111113</v>
      </c>
      <c r="H8604" s="3">
        <v>3.964505555555578E-2</v>
      </c>
    </row>
    <row r="8605" spans="7:8" x14ac:dyDescent="0.3">
      <c r="G8605" s="15">
        <v>23.888888888888889</v>
      </c>
      <c r="H8605" s="3">
        <v>3.9644444444444669E-2</v>
      </c>
    </row>
    <row r="8606" spans="7:8" x14ac:dyDescent="0.3">
      <c r="G8606" s="15">
        <v>23.891666666666666</v>
      </c>
      <c r="H8606" s="3">
        <v>3.9643833333333559E-2</v>
      </c>
    </row>
    <row r="8607" spans="7:8" x14ac:dyDescent="0.3">
      <c r="G8607" s="15">
        <v>23.894444444444446</v>
      </c>
      <c r="H8607" s="3">
        <v>3.9643222222222448E-2</v>
      </c>
    </row>
    <row r="8608" spans="7:8" x14ac:dyDescent="0.3">
      <c r="G8608" s="15">
        <v>23.897222222222222</v>
      </c>
      <c r="H8608" s="3">
        <v>3.9642611111111337E-2</v>
      </c>
    </row>
    <row r="8609" spans="7:8" x14ac:dyDescent="0.3">
      <c r="G8609" s="15">
        <v>23.9</v>
      </c>
      <c r="H8609" s="3">
        <v>3.9642000000000226E-2</v>
      </c>
    </row>
    <row r="8610" spans="7:8" x14ac:dyDescent="0.3">
      <c r="G8610" s="15">
        <v>23.902777777777779</v>
      </c>
      <c r="H8610" s="3">
        <v>3.9641388888889115E-2</v>
      </c>
    </row>
    <row r="8611" spans="7:8" x14ac:dyDescent="0.3">
      <c r="G8611" s="15">
        <v>23.905555555555555</v>
      </c>
      <c r="H8611" s="3">
        <v>3.9640777777778004E-2</v>
      </c>
    </row>
    <row r="8612" spans="7:8" x14ac:dyDescent="0.3">
      <c r="G8612" s="15">
        <v>23.908333333333335</v>
      </c>
      <c r="H8612" s="3">
        <v>3.9640166666666893E-2</v>
      </c>
    </row>
    <row r="8613" spans="7:8" x14ac:dyDescent="0.3">
      <c r="G8613" s="15">
        <v>23.911111111111111</v>
      </c>
      <c r="H8613" s="3">
        <v>3.9639555555555782E-2</v>
      </c>
    </row>
    <row r="8614" spans="7:8" x14ac:dyDescent="0.3">
      <c r="G8614" s="15">
        <v>23.913888888888888</v>
      </c>
      <c r="H8614" s="3">
        <v>3.9638944444444671E-2</v>
      </c>
    </row>
    <row r="8615" spans="7:8" x14ac:dyDescent="0.3">
      <c r="G8615" s="15">
        <v>23.916666666666668</v>
      </c>
      <c r="H8615" s="3">
        <v>3.963833333333356E-2</v>
      </c>
    </row>
    <row r="8616" spans="7:8" x14ac:dyDescent="0.3">
      <c r="G8616" s="15">
        <v>23.919444444444444</v>
      </c>
      <c r="H8616" s="3">
        <v>3.9637722222222449E-2</v>
      </c>
    </row>
    <row r="8617" spans="7:8" x14ac:dyDescent="0.3">
      <c r="G8617" s="15">
        <v>23.922222222222221</v>
      </c>
      <c r="H8617" s="3">
        <v>3.9637111111111338E-2</v>
      </c>
    </row>
    <row r="8618" spans="7:8" x14ac:dyDescent="0.3">
      <c r="G8618" s="15">
        <v>23.925000000000001</v>
      </c>
      <c r="H8618" s="3">
        <v>3.9636500000000227E-2</v>
      </c>
    </row>
    <row r="8619" spans="7:8" x14ac:dyDescent="0.3">
      <c r="G8619" s="15">
        <v>23.927777777777777</v>
      </c>
      <c r="H8619" s="3">
        <v>3.9635888888889116E-2</v>
      </c>
    </row>
    <row r="8620" spans="7:8" x14ac:dyDescent="0.3">
      <c r="G8620" s="15">
        <v>23.930555555555557</v>
      </c>
      <c r="H8620" s="3">
        <v>3.9635277777778005E-2</v>
      </c>
    </row>
    <row r="8621" spans="7:8" x14ac:dyDescent="0.3">
      <c r="G8621" s="15">
        <v>23.933333333333334</v>
      </c>
      <c r="H8621" s="3">
        <v>3.9634666666666894E-2</v>
      </c>
    </row>
    <row r="8622" spans="7:8" x14ac:dyDescent="0.3">
      <c r="G8622" s="15">
        <v>23.93611111111111</v>
      </c>
      <c r="H8622" s="3">
        <v>3.9634055555555783E-2</v>
      </c>
    </row>
    <row r="8623" spans="7:8" x14ac:dyDescent="0.3">
      <c r="G8623" s="15">
        <v>23.93888888888889</v>
      </c>
      <c r="H8623" s="3">
        <v>3.9633444444444672E-2</v>
      </c>
    </row>
    <row r="8624" spans="7:8" x14ac:dyDescent="0.3">
      <c r="G8624" s="15">
        <v>23.941666666666666</v>
      </c>
      <c r="H8624" s="3">
        <v>3.9632833333333561E-2</v>
      </c>
    </row>
    <row r="8625" spans="7:8" x14ac:dyDescent="0.3">
      <c r="G8625" s="15">
        <v>23.944444444444443</v>
      </c>
      <c r="H8625" s="3">
        <v>3.963222222222245E-2</v>
      </c>
    </row>
    <row r="8626" spans="7:8" x14ac:dyDescent="0.3">
      <c r="G8626" s="15">
        <v>23.947222222222223</v>
      </c>
      <c r="H8626" s="3">
        <v>3.9631611111111339E-2</v>
      </c>
    </row>
    <row r="8627" spans="7:8" x14ac:dyDescent="0.3">
      <c r="G8627" s="15">
        <v>23.95</v>
      </c>
      <c r="H8627" s="3">
        <v>3.9631000000000229E-2</v>
      </c>
    </row>
    <row r="8628" spans="7:8" x14ac:dyDescent="0.3">
      <c r="G8628" s="15">
        <v>23.952777777777779</v>
      </c>
      <c r="H8628" s="3">
        <v>3.9630388888889118E-2</v>
      </c>
    </row>
    <row r="8629" spans="7:8" x14ac:dyDescent="0.3">
      <c r="G8629" s="15">
        <v>23.955555555555556</v>
      </c>
      <c r="H8629" s="3">
        <v>3.9629777777778007E-2</v>
      </c>
    </row>
    <row r="8630" spans="7:8" x14ac:dyDescent="0.3">
      <c r="G8630" s="15">
        <v>23.958333333333332</v>
      </c>
      <c r="H8630" s="3">
        <v>3.9629166666666896E-2</v>
      </c>
    </row>
    <row r="8631" spans="7:8" x14ac:dyDescent="0.3">
      <c r="G8631" s="15">
        <v>23.961111111111112</v>
      </c>
      <c r="H8631" s="3">
        <v>3.9628555555555785E-2</v>
      </c>
    </row>
    <row r="8632" spans="7:8" x14ac:dyDescent="0.3">
      <c r="G8632" s="15">
        <v>23.963888888888889</v>
      </c>
      <c r="H8632" s="3">
        <v>3.9627944444444674E-2</v>
      </c>
    </row>
    <row r="8633" spans="7:8" x14ac:dyDescent="0.3">
      <c r="G8633" s="15">
        <v>23.966666666666665</v>
      </c>
      <c r="H8633" s="3">
        <v>3.9627333333333563E-2</v>
      </c>
    </row>
    <row r="8634" spans="7:8" x14ac:dyDescent="0.3">
      <c r="G8634" s="15">
        <v>23.969444444444445</v>
      </c>
      <c r="H8634" s="3">
        <v>3.9626722222222452E-2</v>
      </c>
    </row>
    <row r="8635" spans="7:8" x14ac:dyDescent="0.3">
      <c r="G8635" s="15">
        <v>23.972222222222221</v>
      </c>
      <c r="H8635" s="3">
        <v>3.9626111111111341E-2</v>
      </c>
    </row>
    <row r="8636" spans="7:8" x14ac:dyDescent="0.3">
      <c r="G8636" s="15">
        <v>23.975000000000001</v>
      </c>
      <c r="H8636" s="3">
        <v>3.962550000000023E-2</v>
      </c>
    </row>
    <row r="8637" spans="7:8" x14ac:dyDescent="0.3">
      <c r="G8637" s="15">
        <v>23.977777777777778</v>
      </c>
      <c r="H8637" s="3">
        <v>3.9624888888889119E-2</v>
      </c>
    </row>
    <row r="8638" spans="7:8" x14ac:dyDescent="0.3">
      <c r="G8638" s="15">
        <v>23.980555555555554</v>
      </c>
      <c r="H8638" s="3">
        <v>3.9624277777778008E-2</v>
      </c>
    </row>
    <row r="8639" spans="7:8" x14ac:dyDescent="0.3">
      <c r="G8639" s="15">
        <v>23.983333333333334</v>
      </c>
      <c r="H8639" s="3">
        <v>3.9623666666666897E-2</v>
      </c>
    </row>
    <row r="8640" spans="7:8" x14ac:dyDescent="0.3">
      <c r="G8640" s="15">
        <v>23.986111111111111</v>
      </c>
      <c r="H8640" s="3">
        <v>3.9623055555555786E-2</v>
      </c>
    </row>
    <row r="8641" spans="7:8" x14ac:dyDescent="0.3">
      <c r="G8641" s="15">
        <v>23.988888888888887</v>
      </c>
      <c r="H8641" s="3">
        <v>3.9622444444444675E-2</v>
      </c>
    </row>
    <row r="8642" spans="7:8" x14ac:dyDescent="0.3">
      <c r="G8642" s="15">
        <v>23.991666666666667</v>
      </c>
      <c r="H8642" s="3">
        <v>3.9621833333333564E-2</v>
      </c>
    </row>
    <row r="8643" spans="7:8" x14ac:dyDescent="0.3">
      <c r="G8643" s="15">
        <v>23.994444444444444</v>
      </c>
      <c r="H8643" s="3">
        <v>3.9621222222222453E-2</v>
      </c>
    </row>
    <row r="8644" spans="7:8" x14ac:dyDescent="0.3">
      <c r="G8644" s="15">
        <v>23.997222222222224</v>
      </c>
      <c r="H8644" s="3">
        <v>3.9620611111111342E-2</v>
      </c>
    </row>
    <row r="8645" spans="7:8" x14ac:dyDescent="0.3">
      <c r="G8645" s="15">
        <v>24</v>
      </c>
      <c r="H8645" s="3">
        <v>3.9620000000000231E-2</v>
      </c>
    </row>
    <row r="8646" spans="7:8" x14ac:dyDescent="0.3">
      <c r="G8646" s="15">
        <v>24.002777777777776</v>
      </c>
      <c r="H8646" s="3">
        <v>3.961938888888912E-2</v>
      </c>
    </row>
    <row r="8647" spans="7:8" x14ac:dyDescent="0.3">
      <c r="G8647" s="15">
        <v>24.005555555555556</v>
      </c>
      <c r="H8647" s="3">
        <v>3.961877777777801E-2</v>
      </c>
    </row>
    <row r="8648" spans="7:8" x14ac:dyDescent="0.3">
      <c r="G8648" s="15">
        <v>24.008333333333333</v>
      </c>
      <c r="H8648" s="3">
        <v>3.9618166666666899E-2</v>
      </c>
    </row>
    <row r="8649" spans="7:8" x14ac:dyDescent="0.3">
      <c r="G8649" s="15">
        <v>24.011111111111113</v>
      </c>
      <c r="H8649" s="3">
        <v>3.9617555555555788E-2</v>
      </c>
    </row>
    <row r="8650" spans="7:8" x14ac:dyDescent="0.3">
      <c r="G8650" s="15">
        <v>24.013888888888889</v>
      </c>
      <c r="H8650" s="3">
        <v>3.9616944444444677E-2</v>
      </c>
    </row>
    <row r="8651" spans="7:8" x14ac:dyDescent="0.3">
      <c r="G8651" s="15">
        <v>24.016666666666666</v>
      </c>
      <c r="H8651" s="3">
        <v>3.9616333333333566E-2</v>
      </c>
    </row>
    <row r="8652" spans="7:8" x14ac:dyDescent="0.3">
      <c r="G8652" s="15">
        <v>24.019444444444446</v>
      </c>
      <c r="H8652" s="3">
        <v>3.9615722222222455E-2</v>
      </c>
    </row>
    <row r="8653" spans="7:8" x14ac:dyDescent="0.3">
      <c r="G8653" s="15">
        <v>24.022222222222222</v>
      </c>
      <c r="H8653" s="3">
        <v>3.9615111111111344E-2</v>
      </c>
    </row>
    <row r="8654" spans="7:8" x14ac:dyDescent="0.3">
      <c r="G8654" s="15">
        <v>24.024999999999999</v>
      </c>
      <c r="H8654" s="3">
        <v>3.9614500000000233E-2</v>
      </c>
    </row>
    <row r="8655" spans="7:8" x14ac:dyDescent="0.3">
      <c r="G8655" s="15">
        <v>24.027777777777779</v>
      </c>
      <c r="H8655" s="3">
        <v>3.9613888888889122E-2</v>
      </c>
    </row>
    <row r="8656" spans="7:8" x14ac:dyDescent="0.3">
      <c r="G8656" s="15">
        <v>24.030555555555555</v>
      </c>
      <c r="H8656" s="3">
        <v>3.9613277777778011E-2</v>
      </c>
    </row>
    <row r="8657" spans="7:8" x14ac:dyDescent="0.3">
      <c r="G8657" s="15">
        <v>24.033333333333335</v>
      </c>
      <c r="H8657" s="3">
        <v>3.96126666666669E-2</v>
      </c>
    </row>
    <row r="8658" spans="7:8" x14ac:dyDescent="0.3">
      <c r="G8658" s="15">
        <v>24.036111111111111</v>
      </c>
      <c r="H8658" s="3">
        <v>3.9612055555555789E-2</v>
      </c>
    </row>
    <row r="8659" spans="7:8" x14ac:dyDescent="0.3">
      <c r="G8659" s="15">
        <v>24.038888888888888</v>
      </c>
      <c r="H8659" s="3">
        <v>3.9611444444444678E-2</v>
      </c>
    </row>
    <row r="8660" spans="7:8" x14ac:dyDescent="0.3">
      <c r="G8660" s="15">
        <v>24.041666666666668</v>
      </c>
      <c r="H8660" s="3">
        <v>3.9610833333333567E-2</v>
      </c>
    </row>
    <row r="8661" spans="7:8" x14ac:dyDescent="0.3">
      <c r="G8661" s="15">
        <v>24.044444444444444</v>
      </c>
      <c r="H8661" s="3">
        <v>3.9610222222222456E-2</v>
      </c>
    </row>
    <row r="8662" spans="7:8" x14ac:dyDescent="0.3">
      <c r="G8662" s="15">
        <v>24.047222222222221</v>
      </c>
      <c r="H8662" s="3">
        <v>3.9609611111111345E-2</v>
      </c>
    </row>
    <row r="8663" spans="7:8" x14ac:dyDescent="0.3">
      <c r="G8663" s="15">
        <v>24.05</v>
      </c>
      <c r="H8663" s="3">
        <v>3.9609000000000234E-2</v>
      </c>
    </row>
    <row r="8664" spans="7:8" x14ac:dyDescent="0.3">
      <c r="G8664" s="15">
        <v>24.052777777777777</v>
      </c>
      <c r="H8664" s="3">
        <v>3.9608388888889123E-2</v>
      </c>
    </row>
    <row r="8665" spans="7:8" x14ac:dyDescent="0.3">
      <c r="G8665" s="15">
        <v>24.055555555555557</v>
      </c>
      <c r="H8665" s="3">
        <v>3.9607777777778012E-2</v>
      </c>
    </row>
    <row r="8666" spans="7:8" x14ac:dyDescent="0.3">
      <c r="G8666" s="15">
        <v>24.058333333333334</v>
      </c>
      <c r="H8666" s="3">
        <v>3.9607166666666901E-2</v>
      </c>
    </row>
    <row r="8667" spans="7:8" x14ac:dyDescent="0.3">
      <c r="G8667" s="15">
        <v>24.06111111111111</v>
      </c>
      <c r="H8667" s="3">
        <v>3.960655555555579E-2</v>
      </c>
    </row>
    <row r="8668" spans="7:8" x14ac:dyDescent="0.3">
      <c r="G8668" s="15">
        <v>24.06388888888889</v>
      </c>
      <c r="H8668" s="3">
        <v>3.960594444444468E-2</v>
      </c>
    </row>
    <row r="8669" spans="7:8" x14ac:dyDescent="0.3">
      <c r="G8669" s="15">
        <v>24.066666666666666</v>
      </c>
      <c r="H8669" s="3">
        <v>3.9605333333333569E-2</v>
      </c>
    </row>
    <row r="8670" spans="7:8" x14ac:dyDescent="0.3">
      <c r="G8670" s="15">
        <v>24.069444444444443</v>
      </c>
      <c r="H8670" s="3">
        <v>3.9604722222222458E-2</v>
      </c>
    </row>
    <row r="8671" spans="7:8" x14ac:dyDescent="0.3">
      <c r="G8671" s="15">
        <v>24.072222222222223</v>
      </c>
      <c r="H8671" s="3">
        <v>3.9604111111111347E-2</v>
      </c>
    </row>
    <row r="8672" spans="7:8" x14ac:dyDescent="0.3">
      <c r="G8672" s="15">
        <v>24.074999999999999</v>
      </c>
      <c r="H8672" s="3">
        <v>3.9603500000000236E-2</v>
      </c>
    </row>
    <row r="8673" spans="7:8" x14ac:dyDescent="0.3">
      <c r="G8673" s="15">
        <v>24.077777777777779</v>
      </c>
      <c r="H8673" s="3">
        <v>3.9602888888889125E-2</v>
      </c>
    </row>
    <row r="8674" spans="7:8" x14ac:dyDescent="0.3">
      <c r="G8674" s="15">
        <v>24.080555555555556</v>
      </c>
      <c r="H8674" s="3">
        <v>3.9602277777778014E-2</v>
      </c>
    </row>
    <row r="8675" spans="7:8" x14ac:dyDescent="0.3">
      <c r="G8675" s="15">
        <v>24.083333333333332</v>
      </c>
      <c r="H8675" s="3">
        <v>3.9601666666666903E-2</v>
      </c>
    </row>
    <row r="8676" spans="7:8" x14ac:dyDescent="0.3">
      <c r="G8676" s="15">
        <v>24.086111111111112</v>
      </c>
      <c r="H8676" s="3">
        <v>3.9601055555555792E-2</v>
      </c>
    </row>
    <row r="8677" spans="7:8" x14ac:dyDescent="0.3">
      <c r="G8677" s="15">
        <v>24.088888888888889</v>
      </c>
      <c r="H8677" s="3">
        <v>3.9600444444444681E-2</v>
      </c>
    </row>
    <row r="8678" spans="7:8" x14ac:dyDescent="0.3">
      <c r="G8678" s="15">
        <v>24.091666666666665</v>
      </c>
      <c r="H8678" s="3">
        <v>3.959983333333357E-2</v>
      </c>
    </row>
    <row r="8679" spans="7:8" x14ac:dyDescent="0.3">
      <c r="G8679" s="15">
        <v>24.094444444444445</v>
      </c>
      <c r="H8679" s="3">
        <v>3.9599222222222459E-2</v>
      </c>
    </row>
    <row r="8680" spans="7:8" x14ac:dyDescent="0.3">
      <c r="G8680" s="15">
        <v>24.097222222222221</v>
      </c>
      <c r="H8680" s="3">
        <v>3.9598611111111348E-2</v>
      </c>
    </row>
    <row r="8681" spans="7:8" x14ac:dyDescent="0.3">
      <c r="G8681" s="15">
        <v>24.1</v>
      </c>
      <c r="H8681" s="3">
        <v>3.9598000000000237E-2</v>
      </c>
    </row>
    <row r="8682" spans="7:8" x14ac:dyDescent="0.3">
      <c r="G8682" s="15">
        <v>24.102777777777778</v>
      </c>
      <c r="H8682" s="3">
        <v>3.9597388888889126E-2</v>
      </c>
    </row>
    <row r="8683" spans="7:8" x14ac:dyDescent="0.3">
      <c r="G8683" s="15">
        <v>24.105555555555554</v>
      </c>
      <c r="H8683" s="3">
        <v>3.9596777777778015E-2</v>
      </c>
    </row>
    <row r="8684" spans="7:8" x14ac:dyDescent="0.3">
      <c r="G8684" s="15">
        <v>24.108333333333334</v>
      </c>
      <c r="H8684" s="3">
        <v>3.9596166666666904E-2</v>
      </c>
    </row>
    <row r="8685" spans="7:8" x14ac:dyDescent="0.3">
      <c r="G8685" s="15">
        <v>24.111111111111111</v>
      </c>
      <c r="H8685" s="3">
        <v>3.9595555555555793E-2</v>
      </c>
    </row>
    <row r="8686" spans="7:8" x14ac:dyDescent="0.3">
      <c r="G8686" s="15">
        <v>24.113888888888887</v>
      </c>
      <c r="H8686" s="3">
        <v>3.9594944444444682E-2</v>
      </c>
    </row>
    <row r="8687" spans="7:8" x14ac:dyDescent="0.3">
      <c r="G8687" s="15">
        <v>24.116666666666667</v>
      </c>
      <c r="H8687" s="3">
        <v>3.9594333333333571E-2</v>
      </c>
    </row>
    <row r="8688" spans="7:8" x14ac:dyDescent="0.3">
      <c r="G8688" s="15">
        <v>24.119444444444444</v>
      </c>
      <c r="H8688" s="3">
        <v>3.9593722222222461E-2</v>
      </c>
    </row>
    <row r="8689" spans="7:8" x14ac:dyDescent="0.3">
      <c r="G8689" s="15">
        <v>24.122222222222224</v>
      </c>
      <c r="H8689" s="3">
        <v>3.959311111111135E-2</v>
      </c>
    </row>
    <row r="8690" spans="7:8" x14ac:dyDescent="0.3">
      <c r="G8690" s="15">
        <v>24.125</v>
      </c>
      <c r="H8690" s="3">
        <v>3.9592500000000239E-2</v>
      </c>
    </row>
    <row r="8691" spans="7:8" x14ac:dyDescent="0.3">
      <c r="G8691" s="15">
        <v>24.127777777777776</v>
      </c>
      <c r="H8691" s="3">
        <v>3.9591888888889128E-2</v>
      </c>
    </row>
    <row r="8692" spans="7:8" x14ac:dyDescent="0.3">
      <c r="G8692" s="15">
        <v>24.130555555555556</v>
      </c>
      <c r="H8692" s="3">
        <v>3.9591277777778017E-2</v>
      </c>
    </row>
    <row r="8693" spans="7:8" x14ac:dyDescent="0.3">
      <c r="G8693" s="15">
        <v>24.133333333333333</v>
      </c>
      <c r="H8693" s="3">
        <v>3.9590666666666906E-2</v>
      </c>
    </row>
    <row r="8694" spans="7:8" x14ac:dyDescent="0.3">
      <c r="G8694" s="15">
        <v>24.136111111111113</v>
      </c>
      <c r="H8694" s="3">
        <v>3.9590055555555795E-2</v>
      </c>
    </row>
    <row r="8695" spans="7:8" x14ac:dyDescent="0.3">
      <c r="G8695" s="15">
        <v>24.138888888888889</v>
      </c>
      <c r="H8695" s="3">
        <v>3.9589444444444684E-2</v>
      </c>
    </row>
    <row r="8696" spans="7:8" x14ac:dyDescent="0.3">
      <c r="G8696" s="15">
        <v>24.141666666666666</v>
      </c>
      <c r="H8696" s="3">
        <v>3.9588833333333573E-2</v>
      </c>
    </row>
    <row r="8697" spans="7:8" x14ac:dyDescent="0.3">
      <c r="G8697" s="15">
        <v>24.144444444444446</v>
      </c>
      <c r="H8697" s="3">
        <v>3.9588222222222462E-2</v>
      </c>
    </row>
    <row r="8698" spans="7:8" x14ac:dyDescent="0.3">
      <c r="G8698" s="15">
        <v>24.147222222222222</v>
      </c>
      <c r="H8698" s="3">
        <v>3.9587611111111351E-2</v>
      </c>
    </row>
    <row r="8699" spans="7:8" x14ac:dyDescent="0.3">
      <c r="G8699" s="15">
        <v>24.15</v>
      </c>
      <c r="H8699" s="3">
        <v>3.958700000000024E-2</v>
      </c>
    </row>
    <row r="8700" spans="7:8" x14ac:dyDescent="0.3">
      <c r="G8700" s="15">
        <v>24.152777777777779</v>
      </c>
      <c r="H8700" s="3">
        <v>3.9586388888889129E-2</v>
      </c>
    </row>
    <row r="8701" spans="7:8" x14ac:dyDescent="0.3">
      <c r="G8701" s="15">
        <v>24.155555555555555</v>
      </c>
      <c r="H8701" s="3">
        <v>3.9585777777778018E-2</v>
      </c>
    </row>
    <row r="8702" spans="7:8" x14ac:dyDescent="0.3">
      <c r="G8702" s="15">
        <v>24.158333333333335</v>
      </c>
      <c r="H8702" s="3">
        <v>3.9585166666666907E-2</v>
      </c>
    </row>
    <row r="8703" spans="7:8" x14ac:dyDescent="0.3">
      <c r="G8703" s="15">
        <v>24.161111111111111</v>
      </c>
      <c r="H8703" s="3">
        <v>3.9584555555555796E-2</v>
      </c>
    </row>
    <row r="8704" spans="7:8" x14ac:dyDescent="0.3">
      <c r="G8704" s="15">
        <v>24.163888888888888</v>
      </c>
      <c r="H8704" s="3">
        <v>3.9583944444444685E-2</v>
      </c>
    </row>
    <row r="8705" spans="7:8" x14ac:dyDescent="0.3">
      <c r="G8705" s="15">
        <v>24.166666666666668</v>
      </c>
      <c r="H8705" s="3">
        <v>3.9583333333333574E-2</v>
      </c>
    </row>
    <row r="8706" spans="7:8" x14ac:dyDescent="0.3">
      <c r="G8706" s="15">
        <v>24.169444444444444</v>
      </c>
      <c r="H8706" s="3">
        <v>3.9582722222222463E-2</v>
      </c>
    </row>
    <row r="8707" spans="7:8" x14ac:dyDescent="0.3">
      <c r="G8707" s="15">
        <v>24.172222222222221</v>
      </c>
      <c r="H8707" s="3">
        <v>3.9582111111111352E-2</v>
      </c>
    </row>
    <row r="8708" spans="7:8" x14ac:dyDescent="0.3">
      <c r="G8708" s="15">
        <v>24.175000000000001</v>
      </c>
      <c r="H8708" s="3">
        <v>3.9581500000000241E-2</v>
      </c>
    </row>
    <row r="8709" spans="7:8" x14ac:dyDescent="0.3">
      <c r="G8709" s="15">
        <v>24.177777777777777</v>
      </c>
      <c r="H8709" s="3">
        <v>3.9580888888889131E-2</v>
      </c>
    </row>
    <row r="8710" spans="7:8" x14ac:dyDescent="0.3">
      <c r="G8710" s="15">
        <v>24.180555555555557</v>
      </c>
      <c r="H8710" s="3">
        <v>3.958027777777802E-2</v>
      </c>
    </row>
    <row r="8711" spans="7:8" x14ac:dyDescent="0.3">
      <c r="G8711" s="15">
        <v>24.183333333333334</v>
      </c>
      <c r="H8711" s="3">
        <v>3.9579666666666909E-2</v>
      </c>
    </row>
    <row r="8712" spans="7:8" x14ac:dyDescent="0.3">
      <c r="G8712" s="15">
        <v>24.18611111111111</v>
      </c>
      <c r="H8712" s="3">
        <v>3.9579055555555798E-2</v>
      </c>
    </row>
    <row r="8713" spans="7:8" x14ac:dyDescent="0.3">
      <c r="G8713" s="15">
        <v>24.18888888888889</v>
      </c>
      <c r="H8713" s="3">
        <v>3.9578444444444687E-2</v>
      </c>
    </row>
    <row r="8714" spans="7:8" x14ac:dyDescent="0.3">
      <c r="G8714" s="15">
        <v>24.191666666666666</v>
      </c>
      <c r="H8714" s="3">
        <v>3.9577833333333576E-2</v>
      </c>
    </row>
    <row r="8715" spans="7:8" x14ac:dyDescent="0.3">
      <c r="G8715" s="15">
        <v>24.194444444444443</v>
      </c>
      <c r="H8715" s="3">
        <v>3.9577222222222465E-2</v>
      </c>
    </row>
    <row r="8716" spans="7:8" x14ac:dyDescent="0.3">
      <c r="G8716" s="15">
        <v>24.197222222222223</v>
      </c>
      <c r="H8716" s="3">
        <v>3.9576611111111354E-2</v>
      </c>
    </row>
    <row r="8717" spans="7:8" x14ac:dyDescent="0.3">
      <c r="G8717" s="15">
        <v>24.2</v>
      </c>
      <c r="H8717" s="3">
        <v>3.9576000000000243E-2</v>
      </c>
    </row>
    <row r="8718" spans="7:8" x14ac:dyDescent="0.3">
      <c r="G8718" s="15">
        <v>24.202777777777779</v>
      </c>
      <c r="H8718" s="3">
        <v>3.9575388888889132E-2</v>
      </c>
    </row>
    <row r="8719" spans="7:8" x14ac:dyDescent="0.3">
      <c r="G8719" s="15">
        <v>24.205555555555556</v>
      </c>
      <c r="H8719" s="3">
        <v>3.9574777777778021E-2</v>
      </c>
    </row>
    <row r="8720" spans="7:8" x14ac:dyDescent="0.3">
      <c r="G8720" s="15">
        <v>24.208333333333332</v>
      </c>
      <c r="H8720" s="3">
        <v>3.957416666666691E-2</v>
      </c>
    </row>
    <row r="8721" spans="7:8" x14ac:dyDescent="0.3">
      <c r="G8721" s="15">
        <v>24.211111111111112</v>
      </c>
      <c r="H8721" s="3">
        <v>3.9573555555555799E-2</v>
      </c>
    </row>
    <row r="8722" spans="7:8" x14ac:dyDescent="0.3">
      <c r="G8722" s="15">
        <v>24.213888888888889</v>
      </c>
      <c r="H8722" s="3">
        <v>3.9572944444444688E-2</v>
      </c>
    </row>
    <row r="8723" spans="7:8" x14ac:dyDescent="0.3">
      <c r="G8723" s="15">
        <v>24.216666666666665</v>
      </c>
      <c r="H8723" s="3">
        <v>3.9572333333333577E-2</v>
      </c>
    </row>
    <row r="8724" spans="7:8" x14ac:dyDescent="0.3">
      <c r="G8724" s="15">
        <v>24.219444444444445</v>
      </c>
      <c r="H8724" s="3">
        <v>3.9571722222222466E-2</v>
      </c>
    </row>
    <row r="8725" spans="7:8" x14ac:dyDescent="0.3">
      <c r="G8725" s="15">
        <v>24.222222222222221</v>
      </c>
      <c r="H8725" s="3">
        <v>3.9571111111111355E-2</v>
      </c>
    </row>
    <row r="8726" spans="7:8" x14ac:dyDescent="0.3">
      <c r="G8726" s="15">
        <v>24.225000000000001</v>
      </c>
      <c r="H8726" s="3">
        <v>3.9570500000000244E-2</v>
      </c>
    </row>
    <row r="8727" spans="7:8" x14ac:dyDescent="0.3">
      <c r="G8727" s="15">
        <v>24.227777777777778</v>
      </c>
      <c r="H8727" s="3">
        <v>3.9569888888889133E-2</v>
      </c>
    </row>
    <row r="8728" spans="7:8" x14ac:dyDescent="0.3">
      <c r="G8728" s="15">
        <v>24.230555555555554</v>
      </c>
      <c r="H8728" s="3">
        <v>3.9569277777778022E-2</v>
      </c>
    </row>
    <row r="8729" spans="7:8" x14ac:dyDescent="0.3">
      <c r="G8729" s="15">
        <v>24.233333333333334</v>
      </c>
      <c r="H8729" s="3">
        <v>3.9568666666666912E-2</v>
      </c>
    </row>
    <row r="8730" spans="7:8" x14ac:dyDescent="0.3">
      <c r="G8730" s="15">
        <v>24.236111111111111</v>
      </c>
      <c r="H8730" s="3">
        <v>3.9568055555555801E-2</v>
      </c>
    </row>
    <row r="8731" spans="7:8" x14ac:dyDescent="0.3">
      <c r="G8731" s="15">
        <v>24.238888888888887</v>
      </c>
      <c r="H8731" s="3">
        <v>3.956744444444469E-2</v>
      </c>
    </row>
    <row r="8732" spans="7:8" x14ac:dyDescent="0.3">
      <c r="G8732" s="15">
        <v>24.241666666666667</v>
      </c>
      <c r="H8732" s="3">
        <v>3.9566833333333579E-2</v>
      </c>
    </row>
    <row r="8733" spans="7:8" x14ac:dyDescent="0.3">
      <c r="G8733" s="15">
        <v>24.244444444444444</v>
      </c>
      <c r="H8733" s="3">
        <v>3.9566222222222468E-2</v>
      </c>
    </row>
    <row r="8734" spans="7:8" x14ac:dyDescent="0.3">
      <c r="G8734" s="15">
        <v>24.247222222222224</v>
      </c>
      <c r="H8734" s="3">
        <v>3.9565611111111357E-2</v>
      </c>
    </row>
    <row r="8735" spans="7:8" x14ac:dyDescent="0.3">
      <c r="G8735" s="15">
        <v>24.25</v>
      </c>
      <c r="H8735" s="3">
        <v>3.9565000000000246E-2</v>
      </c>
    </row>
    <row r="8736" spans="7:8" x14ac:dyDescent="0.3">
      <c r="G8736" s="15">
        <v>24.252777777777776</v>
      </c>
      <c r="H8736" s="3">
        <v>3.9564388888889135E-2</v>
      </c>
    </row>
    <row r="8737" spans="7:8" x14ac:dyDescent="0.3">
      <c r="G8737" s="15">
        <v>24.255555555555556</v>
      </c>
      <c r="H8737" s="3">
        <v>3.9563777777778024E-2</v>
      </c>
    </row>
    <row r="8738" spans="7:8" x14ac:dyDescent="0.3">
      <c r="G8738" s="15">
        <v>24.258333333333333</v>
      </c>
      <c r="H8738" s="3">
        <v>3.9563166666666913E-2</v>
      </c>
    </row>
    <row r="8739" spans="7:8" x14ac:dyDescent="0.3">
      <c r="G8739" s="15">
        <v>24.261111111111113</v>
      </c>
      <c r="H8739" s="3">
        <v>3.9562555555555802E-2</v>
      </c>
    </row>
    <row r="8740" spans="7:8" x14ac:dyDescent="0.3">
      <c r="G8740" s="15">
        <v>24.263888888888889</v>
      </c>
      <c r="H8740" s="3">
        <v>3.9561944444444691E-2</v>
      </c>
    </row>
    <row r="8741" spans="7:8" x14ac:dyDescent="0.3">
      <c r="G8741" s="15">
        <v>24.266666666666666</v>
      </c>
      <c r="H8741" s="3">
        <v>3.956133333333358E-2</v>
      </c>
    </row>
    <row r="8742" spans="7:8" x14ac:dyDescent="0.3">
      <c r="G8742" s="15">
        <v>24.269444444444446</v>
      </c>
      <c r="H8742" s="3">
        <v>3.9560722222222469E-2</v>
      </c>
    </row>
    <row r="8743" spans="7:8" x14ac:dyDescent="0.3">
      <c r="G8743" s="15">
        <v>24.272222222222222</v>
      </c>
      <c r="H8743" s="3">
        <v>3.9560111111111358E-2</v>
      </c>
    </row>
    <row r="8744" spans="7:8" x14ac:dyDescent="0.3">
      <c r="G8744" s="15">
        <v>24.274999999999999</v>
      </c>
      <c r="H8744" s="3">
        <v>3.9559500000000247E-2</v>
      </c>
    </row>
    <row r="8745" spans="7:8" x14ac:dyDescent="0.3">
      <c r="G8745" s="15">
        <v>24.277777777777779</v>
      </c>
      <c r="H8745" s="3">
        <v>3.9558888888889136E-2</v>
      </c>
    </row>
    <row r="8746" spans="7:8" x14ac:dyDescent="0.3">
      <c r="G8746" s="15">
        <v>24.280555555555555</v>
      </c>
      <c r="H8746" s="3">
        <v>3.9558277777778025E-2</v>
      </c>
    </row>
    <row r="8747" spans="7:8" x14ac:dyDescent="0.3">
      <c r="G8747" s="15">
        <v>24.283333333333335</v>
      </c>
      <c r="H8747" s="3">
        <v>3.9557666666666914E-2</v>
      </c>
    </row>
    <row r="8748" spans="7:8" x14ac:dyDescent="0.3">
      <c r="G8748" s="15">
        <v>24.286111111111111</v>
      </c>
      <c r="H8748" s="3">
        <v>3.9557055555555803E-2</v>
      </c>
    </row>
    <row r="8749" spans="7:8" x14ac:dyDescent="0.3">
      <c r="G8749" s="15">
        <v>24.288888888888888</v>
      </c>
      <c r="H8749" s="3">
        <v>3.9556444444444692E-2</v>
      </c>
    </row>
    <row r="8750" spans="7:8" x14ac:dyDescent="0.3">
      <c r="G8750" s="15">
        <v>24.291666666666668</v>
      </c>
      <c r="H8750" s="3">
        <v>3.9555833333333582E-2</v>
      </c>
    </row>
    <row r="8751" spans="7:8" x14ac:dyDescent="0.3">
      <c r="G8751" s="15">
        <v>24.294444444444444</v>
      </c>
      <c r="H8751" s="3">
        <v>3.9555222222222471E-2</v>
      </c>
    </row>
    <row r="8752" spans="7:8" x14ac:dyDescent="0.3">
      <c r="G8752" s="15">
        <v>24.297222222222221</v>
      </c>
      <c r="H8752" s="3">
        <v>3.955461111111136E-2</v>
      </c>
    </row>
    <row r="8753" spans="7:8" x14ac:dyDescent="0.3">
      <c r="G8753" s="15">
        <v>24.3</v>
      </c>
      <c r="H8753" s="3">
        <v>3.9554000000000249E-2</v>
      </c>
    </row>
    <row r="8754" spans="7:8" x14ac:dyDescent="0.3">
      <c r="G8754" s="15">
        <v>24.302777777777777</v>
      </c>
      <c r="H8754" s="3">
        <v>3.9553388888889138E-2</v>
      </c>
    </row>
    <row r="8755" spans="7:8" x14ac:dyDescent="0.3">
      <c r="G8755" s="15">
        <v>24.305555555555557</v>
      </c>
      <c r="H8755" s="3">
        <v>3.9552777777778027E-2</v>
      </c>
    </row>
    <row r="8756" spans="7:8" x14ac:dyDescent="0.3">
      <c r="G8756" s="15">
        <v>24.308333333333334</v>
      </c>
      <c r="H8756" s="3">
        <v>3.9552166666666916E-2</v>
      </c>
    </row>
    <row r="8757" spans="7:8" x14ac:dyDescent="0.3">
      <c r="G8757" s="15">
        <v>24.31111111111111</v>
      </c>
      <c r="H8757" s="3">
        <v>3.9551555555555805E-2</v>
      </c>
    </row>
    <row r="8758" spans="7:8" x14ac:dyDescent="0.3">
      <c r="G8758" s="15">
        <v>24.31388888888889</v>
      </c>
      <c r="H8758" s="3">
        <v>3.9550944444444694E-2</v>
      </c>
    </row>
    <row r="8759" spans="7:8" x14ac:dyDescent="0.3">
      <c r="G8759" s="15">
        <v>24.316666666666666</v>
      </c>
      <c r="H8759" s="3">
        <v>3.9550333333333583E-2</v>
      </c>
    </row>
    <row r="8760" spans="7:8" x14ac:dyDescent="0.3">
      <c r="G8760" s="15">
        <v>24.319444444444443</v>
      </c>
      <c r="H8760" s="3">
        <v>3.9549722222222472E-2</v>
      </c>
    </row>
    <row r="8761" spans="7:8" x14ac:dyDescent="0.3">
      <c r="G8761" s="15">
        <v>24.322222222222223</v>
      </c>
      <c r="H8761" s="3">
        <v>3.9549111111111361E-2</v>
      </c>
    </row>
    <row r="8762" spans="7:8" x14ac:dyDescent="0.3">
      <c r="G8762" s="15">
        <v>24.324999999999999</v>
      </c>
      <c r="H8762" s="3">
        <v>3.954850000000025E-2</v>
      </c>
    </row>
    <row r="8763" spans="7:8" x14ac:dyDescent="0.3">
      <c r="G8763" s="15">
        <v>24.327777777777779</v>
      </c>
      <c r="H8763" s="3">
        <v>3.9547888888889139E-2</v>
      </c>
    </row>
    <row r="8764" spans="7:8" x14ac:dyDescent="0.3">
      <c r="G8764" s="15">
        <v>24.330555555555556</v>
      </c>
      <c r="H8764" s="3">
        <v>3.9547277777778028E-2</v>
      </c>
    </row>
    <row r="8765" spans="7:8" x14ac:dyDescent="0.3">
      <c r="G8765" s="15">
        <v>24.333333333333332</v>
      </c>
      <c r="H8765" s="3">
        <v>3.9546666666666917E-2</v>
      </c>
    </row>
    <row r="8766" spans="7:8" x14ac:dyDescent="0.3">
      <c r="G8766" s="15">
        <v>24.336111111111112</v>
      </c>
      <c r="H8766" s="3">
        <v>3.9546055555555806E-2</v>
      </c>
    </row>
    <row r="8767" spans="7:8" x14ac:dyDescent="0.3">
      <c r="G8767" s="15">
        <v>24.338888888888889</v>
      </c>
      <c r="H8767" s="3">
        <v>3.9545444444444695E-2</v>
      </c>
    </row>
    <row r="8768" spans="7:8" x14ac:dyDescent="0.3">
      <c r="G8768" s="15">
        <v>24.341666666666665</v>
      </c>
      <c r="H8768" s="3">
        <v>3.9544833333333584E-2</v>
      </c>
    </row>
    <row r="8769" spans="7:8" x14ac:dyDescent="0.3">
      <c r="G8769" s="15">
        <v>24.344444444444445</v>
      </c>
      <c r="H8769" s="3">
        <v>3.9544222222222473E-2</v>
      </c>
    </row>
    <row r="8770" spans="7:8" x14ac:dyDescent="0.3">
      <c r="G8770" s="15">
        <v>24.347222222222221</v>
      </c>
      <c r="H8770" s="3">
        <v>3.9543611111111363E-2</v>
      </c>
    </row>
    <row r="8771" spans="7:8" x14ac:dyDescent="0.3">
      <c r="G8771" s="15">
        <v>24.35</v>
      </c>
      <c r="H8771" s="3">
        <v>3.9543000000000252E-2</v>
      </c>
    </row>
    <row r="8772" spans="7:8" x14ac:dyDescent="0.3">
      <c r="G8772" s="15">
        <v>24.352777777777778</v>
      </c>
      <c r="H8772" s="3">
        <v>3.9542388888889141E-2</v>
      </c>
    </row>
    <row r="8773" spans="7:8" x14ac:dyDescent="0.3">
      <c r="G8773" s="15">
        <v>24.355555555555554</v>
      </c>
      <c r="H8773" s="3">
        <v>3.954177777777803E-2</v>
      </c>
    </row>
    <row r="8774" spans="7:8" x14ac:dyDescent="0.3">
      <c r="G8774" s="15">
        <v>24.358333333333334</v>
      </c>
      <c r="H8774" s="3">
        <v>3.9541166666666919E-2</v>
      </c>
    </row>
    <row r="8775" spans="7:8" x14ac:dyDescent="0.3">
      <c r="G8775" s="15">
        <v>24.361111111111111</v>
      </c>
      <c r="H8775" s="3">
        <v>3.9540555555555808E-2</v>
      </c>
    </row>
    <row r="8776" spans="7:8" x14ac:dyDescent="0.3">
      <c r="G8776" s="15">
        <v>24.363888888888887</v>
      </c>
      <c r="H8776" s="3">
        <v>3.9539944444444697E-2</v>
      </c>
    </row>
    <row r="8777" spans="7:8" x14ac:dyDescent="0.3">
      <c r="G8777" s="15">
        <v>24.366666666666667</v>
      </c>
      <c r="H8777" s="3">
        <v>3.9539333333333586E-2</v>
      </c>
    </row>
    <row r="8778" spans="7:8" x14ac:dyDescent="0.3">
      <c r="G8778" s="15">
        <v>24.369444444444444</v>
      </c>
      <c r="H8778" s="3">
        <v>3.9538722222222475E-2</v>
      </c>
    </row>
    <row r="8779" spans="7:8" x14ac:dyDescent="0.3">
      <c r="G8779" s="15">
        <v>24.372222222222224</v>
      </c>
      <c r="H8779" s="3">
        <v>3.9538111111111364E-2</v>
      </c>
    </row>
    <row r="8780" spans="7:8" x14ac:dyDescent="0.3">
      <c r="G8780" s="15">
        <v>24.375</v>
      </c>
      <c r="H8780" s="3">
        <v>3.9537500000000253E-2</v>
      </c>
    </row>
    <row r="8781" spans="7:8" x14ac:dyDescent="0.3">
      <c r="G8781" s="15">
        <v>24.377777777777776</v>
      </c>
      <c r="H8781" s="3">
        <v>3.9536888888889142E-2</v>
      </c>
    </row>
    <row r="8782" spans="7:8" x14ac:dyDescent="0.3">
      <c r="G8782" s="15">
        <v>24.380555555555556</v>
      </c>
      <c r="H8782" s="3">
        <v>3.9536277777778031E-2</v>
      </c>
    </row>
    <row r="8783" spans="7:8" x14ac:dyDescent="0.3">
      <c r="G8783" s="15">
        <v>24.383333333333333</v>
      </c>
      <c r="H8783" s="3">
        <v>3.953566666666692E-2</v>
      </c>
    </row>
    <row r="8784" spans="7:8" x14ac:dyDescent="0.3">
      <c r="G8784" s="15">
        <v>24.386111111111113</v>
      </c>
      <c r="H8784" s="3">
        <v>3.9535055555555809E-2</v>
      </c>
    </row>
    <row r="8785" spans="7:8" x14ac:dyDescent="0.3">
      <c r="G8785" s="15">
        <v>24.388888888888889</v>
      </c>
      <c r="H8785" s="3">
        <v>3.9534444444444698E-2</v>
      </c>
    </row>
    <row r="8786" spans="7:8" x14ac:dyDescent="0.3">
      <c r="G8786" s="15">
        <v>24.391666666666666</v>
      </c>
      <c r="H8786" s="3">
        <v>3.9533833333333587E-2</v>
      </c>
    </row>
    <row r="8787" spans="7:8" x14ac:dyDescent="0.3">
      <c r="G8787" s="15">
        <v>24.394444444444446</v>
      </c>
      <c r="H8787" s="3">
        <v>3.9533222222222476E-2</v>
      </c>
    </row>
    <row r="8788" spans="7:8" x14ac:dyDescent="0.3">
      <c r="G8788" s="15">
        <v>24.397222222222222</v>
      </c>
      <c r="H8788" s="3">
        <v>3.9532611111111365E-2</v>
      </c>
    </row>
    <row r="8789" spans="7:8" x14ac:dyDescent="0.3">
      <c r="G8789" s="15">
        <v>24.4</v>
      </c>
      <c r="H8789" s="3">
        <v>3.9532000000000254E-2</v>
      </c>
    </row>
    <row r="8790" spans="7:8" x14ac:dyDescent="0.3">
      <c r="G8790" s="15">
        <v>24.402777777777779</v>
      </c>
      <c r="H8790" s="3">
        <v>3.9531388888889143E-2</v>
      </c>
    </row>
    <row r="8791" spans="7:8" x14ac:dyDescent="0.3">
      <c r="G8791" s="15">
        <v>24.405555555555555</v>
      </c>
      <c r="H8791" s="3">
        <v>3.9530777777778033E-2</v>
      </c>
    </row>
    <row r="8792" spans="7:8" x14ac:dyDescent="0.3">
      <c r="G8792" s="15">
        <v>24.408333333333335</v>
      </c>
      <c r="H8792" s="3">
        <v>3.9530166666666922E-2</v>
      </c>
    </row>
    <row r="8793" spans="7:8" x14ac:dyDescent="0.3">
      <c r="G8793" s="15">
        <v>24.411111111111111</v>
      </c>
      <c r="H8793" s="3">
        <v>3.9529555555555811E-2</v>
      </c>
    </row>
    <row r="8794" spans="7:8" x14ac:dyDescent="0.3">
      <c r="G8794" s="15">
        <v>24.413888888888888</v>
      </c>
      <c r="H8794" s="3">
        <v>3.95289444444447E-2</v>
      </c>
    </row>
    <row r="8795" spans="7:8" x14ac:dyDescent="0.3">
      <c r="G8795" s="15">
        <v>24.416666666666668</v>
      </c>
      <c r="H8795" s="3">
        <v>3.9528333333333589E-2</v>
      </c>
    </row>
    <row r="8796" spans="7:8" x14ac:dyDescent="0.3">
      <c r="G8796" s="15">
        <v>24.419444444444444</v>
      </c>
      <c r="H8796" s="3">
        <v>3.9527722222222478E-2</v>
      </c>
    </row>
    <row r="8797" spans="7:8" x14ac:dyDescent="0.3">
      <c r="G8797" s="15">
        <v>24.422222222222221</v>
      </c>
      <c r="H8797" s="3">
        <v>3.9527111111111367E-2</v>
      </c>
    </row>
    <row r="8798" spans="7:8" x14ac:dyDescent="0.3">
      <c r="G8798" s="15">
        <v>24.425000000000001</v>
      </c>
      <c r="H8798" s="3">
        <v>3.9526500000000256E-2</v>
      </c>
    </row>
    <row r="8799" spans="7:8" x14ac:dyDescent="0.3">
      <c r="G8799" s="15">
        <v>24.427777777777777</v>
      </c>
      <c r="H8799" s="3">
        <v>3.9525888888889145E-2</v>
      </c>
    </row>
    <row r="8800" spans="7:8" x14ac:dyDescent="0.3">
      <c r="G8800" s="15">
        <v>24.430555555555557</v>
      </c>
      <c r="H8800" s="3">
        <v>3.9525277777778034E-2</v>
      </c>
    </row>
    <row r="8801" spans="7:8" x14ac:dyDescent="0.3">
      <c r="G8801" s="15">
        <v>24.433333333333334</v>
      </c>
      <c r="H8801" s="3">
        <v>3.9524666666666923E-2</v>
      </c>
    </row>
    <row r="8802" spans="7:8" x14ac:dyDescent="0.3">
      <c r="G8802" s="15">
        <v>24.43611111111111</v>
      </c>
      <c r="H8802" s="3">
        <v>3.9524055555555812E-2</v>
      </c>
    </row>
    <row r="8803" spans="7:8" x14ac:dyDescent="0.3">
      <c r="G8803" s="15">
        <v>24.43888888888889</v>
      </c>
      <c r="H8803" s="3">
        <v>3.9523444444444701E-2</v>
      </c>
    </row>
    <row r="8804" spans="7:8" x14ac:dyDescent="0.3">
      <c r="G8804" s="15">
        <v>24.441666666666666</v>
      </c>
      <c r="H8804" s="3">
        <v>3.952283333333359E-2</v>
      </c>
    </row>
    <row r="8805" spans="7:8" x14ac:dyDescent="0.3">
      <c r="G8805" s="15">
        <v>24.444444444444443</v>
      </c>
      <c r="H8805" s="3">
        <v>3.9522222222222479E-2</v>
      </c>
    </row>
    <row r="8806" spans="7:8" x14ac:dyDescent="0.3">
      <c r="G8806" s="15">
        <v>24.447222222222223</v>
      </c>
      <c r="H8806" s="3">
        <v>3.9521611111111368E-2</v>
      </c>
    </row>
    <row r="8807" spans="7:8" x14ac:dyDescent="0.3">
      <c r="G8807" s="15">
        <v>24.45</v>
      </c>
      <c r="H8807" s="3">
        <v>3.9521000000000257E-2</v>
      </c>
    </row>
    <row r="8808" spans="7:8" x14ac:dyDescent="0.3">
      <c r="G8808" s="15">
        <v>24.452777777777779</v>
      </c>
      <c r="H8808" s="3">
        <v>3.9520388888889146E-2</v>
      </c>
    </row>
    <row r="8809" spans="7:8" x14ac:dyDescent="0.3">
      <c r="G8809" s="15">
        <v>24.455555555555556</v>
      </c>
      <c r="H8809" s="3">
        <v>3.9519777777778035E-2</v>
      </c>
    </row>
    <row r="8810" spans="7:8" x14ac:dyDescent="0.3">
      <c r="G8810" s="15">
        <v>24.458333333333332</v>
      </c>
      <c r="H8810" s="3">
        <v>3.9519166666666924E-2</v>
      </c>
    </row>
    <row r="8811" spans="7:8" x14ac:dyDescent="0.3">
      <c r="G8811" s="15">
        <v>24.461111111111112</v>
      </c>
      <c r="H8811" s="3">
        <v>3.9518555555555814E-2</v>
      </c>
    </row>
    <row r="8812" spans="7:8" x14ac:dyDescent="0.3">
      <c r="G8812" s="15">
        <v>24.463888888888889</v>
      </c>
      <c r="H8812" s="3">
        <v>3.9517944444444703E-2</v>
      </c>
    </row>
    <row r="8813" spans="7:8" x14ac:dyDescent="0.3">
      <c r="G8813" s="15">
        <v>24.466666666666665</v>
      </c>
      <c r="H8813" s="3">
        <v>3.9517333333333592E-2</v>
      </c>
    </row>
    <row r="8814" spans="7:8" x14ac:dyDescent="0.3">
      <c r="G8814" s="15">
        <v>24.469444444444445</v>
      </c>
      <c r="H8814" s="3">
        <v>3.9516722222222481E-2</v>
      </c>
    </row>
    <row r="8815" spans="7:8" x14ac:dyDescent="0.3">
      <c r="G8815" s="15">
        <v>24.472222222222221</v>
      </c>
      <c r="H8815" s="3">
        <v>3.951611111111137E-2</v>
      </c>
    </row>
    <row r="8816" spans="7:8" x14ac:dyDescent="0.3">
      <c r="G8816" s="15">
        <v>24.475000000000001</v>
      </c>
      <c r="H8816" s="3">
        <v>3.9515500000000259E-2</v>
      </c>
    </row>
    <row r="8817" spans="7:8" x14ac:dyDescent="0.3">
      <c r="G8817" s="15">
        <v>24.477777777777778</v>
      </c>
      <c r="H8817" s="3">
        <v>3.9514888888889148E-2</v>
      </c>
    </row>
    <row r="8818" spans="7:8" x14ac:dyDescent="0.3">
      <c r="G8818" s="15">
        <v>24.480555555555554</v>
      </c>
      <c r="H8818" s="3">
        <v>3.9514277777778037E-2</v>
      </c>
    </row>
    <row r="8819" spans="7:8" x14ac:dyDescent="0.3">
      <c r="G8819" s="15">
        <v>24.483333333333334</v>
      </c>
      <c r="H8819" s="3">
        <v>3.9513666666666926E-2</v>
      </c>
    </row>
    <row r="8820" spans="7:8" x14ac:dyDescent="0.3">
      <c r="G8820" s="15">
        <v>24.486111111111111</v>
      </c>
      <c r="H8820" s="3">
        <v>3.9513055555555815E-2</v>
      </c>
    </row>
    <row r="8821" spans="7:8" x14ac:dyDescent="0.3">
      <c r="G8821" s="15">
        <v>24.488888888888887</v>
      </c>
      <c r="H8821" s="3">
        <v>3.9512444444444704E-2</v>
      </c>
    </row>
    <row r="8822" spans="7:8" x14ac:dyDescent="0.3">
      <c r="G8822" s="15">
        <v>24.491666666666667</v>
      </c>
      <c r="H8822" s="3">
        <v>3.9511833333333593E-2</v>
      </c>
    </row>
    <row r="8823" spans="7:8" x14ac:dyDescent="0.3">
      <c r="G8823" s="15">
        <v>24.494444444444444</v>
      </c>
      <c r="H8823" s="3">
        <v>3.9511222222222482E-2</v>
      </c>
    </row>
    <row r="8824" spans="7:8" x14ac:dyDescent="0.3">
      <c r="G8824" s="15">
        <v>24.497222222222224</v>
      </c>
      <c r="H8824" s="3">
        <v>3.9510611111111371E-2</v>
      </c>
    </row>
    <row r="8825" spans="7:8" x14ac:dyDescent="0.3">
      <c r="G8825" s="15">
        <v>24.5</v>
      </c>
      <c r="H8825" s="3">
        <v>3.951000000000026E-2</v>
      </c>
    </row>
    <row r="8826" spans="7:8" x14ac:dyDescent="0.3">
      <c r="G8826" s="15">
        <v>24.502777777777776</v>
      </c>
      <c r="H8826" s="3">
        <v>3.9509388888889149E-2</v>
      </c>
    </row>
    <row r="8827" spans="7:8" x14ac:dyDescent="0.3">
      <c r="G8827" s="15">
        <v>24.505555555555556</v>
      </c>
      <c r="H8827" s="3">
        <v>3.9508777777778038E-2</v>
      </c>
    </row>
    <row r="8828" spans="7:8" x14ac:dyDescent="0.3">
      <c r="G8828" s="15">
        <v>24.508333333333333</v>
      </c>
      <c r="H8828" s="3">
        <v>3.9508166666666927E-2</v>
      </c>
    </row>
    <row r="8829" spans="7:8" x14ac:dyDescent="0.3">
      <c r="G8829" s="15">
        <v>24.511111111111113</v>
      </c>
      <c r="H8829" s="3">
        <v>3.9507555555555816E-2</v>
      </c>
    </row>
    <row r="8830" spans="7:8" x14ac:dyDescent="0.3">
      <c r="G8830" s="15">
        <v>24.513888888888889</v>
      </c>
      <c r="H8830" s="3">
        <v>3.9506944444444705E-2</v>
      </c>
    </row>
    <row r="8831" spans="7:8" x14ac:dyDescent="0.3">
      <c r="G8831" s="15">
        <v>24.516666666666666</v>
      </c>
      <c r="H8831" s="3">
        <v>3.9506333333333594E-2</v>
      </c>
    </row>
    <row r="8832" spans="7:8" x14ac:dyDescent="0.3">
      <c r="G8832" s="15">
        <v>24.519444444444446</v>
      </c>
      <c r="H8832" s="3">
        <v>3.9505722222222484E-2</v>
      </c>
    </row>
    <row r="8833" spans="7:8" x14ac:dyDescent="0.3">
      <c r="G8833" s="15">
        <v>24.522222222222222</v>
      </c>
      <c r="H8833" s="3">
        <v>3.9505111111111373E-2</v>
      </c>
    </row>
    <row r="8834" spans="7:8" x14ac:dyDescent="0.3">
      <c r="G8834" s="15">
        <v>24.524999999999999</v>
      </c>
      <c r="H8834" s="3">
        <v>3.9504500000000262E-2</v>
      </c>
    </row>
    <row r="8835" spans="7:8" x14ac:dyDescent="0.3">
      <c r="G8835" s="15">
        <v>24.527777777777779</v>
      </c>
      <c r="H8835" s="3">
        <v>3.9503888888889151E-2</v>
      </c>
    </row>
    <row r="8836" spans="7:8" x14ac:dyDescent="0.3">
      <c r="G8836" s="15">
        <v>24.530555555555555</v>
      </c>
      <c r="H8836" s="3">
        <v>3.950327777777804E-2</v>
      </c>
    </row>
    <row r="8837" spans="7:8" x14ac:dyDescent="0.3">
      <c r="G8837" s="15">
        <v>24.533333333333335</v>
      </c>
      <c r="H8837" s="3">
        <v>3.9502666666666929E-2</v>
      </c>
    </row>
    <row r="8838" spans="7:8" x14ac:dyDescent="0.3">
      <c r="G8838" s="15">
        <v>24.536111111111111</v>
      </c>
      <c r="H8838" s="3">
        <v>3.9502055555555818E-2</v>
      </c>
    </row>
    <row r="8839" spans="7:8" x14ac:dyDescent="0.3">
      <c r="G8839" s="15">
        <v>24.538888888888888</v>
      </c>
      <c r="H8839" s="3">
        <v>3.9501444444444707E-2</v>
      </c>
    </row>
    <row r="8840" spans="7:8" x14ac:dyDescent="0.3">
      <c r="G8840" s="15">
        <v>24.541666666666668</v>
      </c>
      <c r="H8840" s="3">
        <v>3.9500833333333596E-2</v>
      </c>
    </row>
    <row r="8841" spans="7:8" x14ac:dyDescent="0.3">
      <c r="G8841" s="15">
        <v>24.544444444444444</v>
      </c>
      <c r="H8841" s="3">
        <v>3.9500222222222485E-2</v>
      </c>
    </row>
    <row r="8842" spans="7:8" x14ac:dyDescent="0.3">
      <c r="G8842" s="15">
        <v>24.547222222222221</v>
      </c>
      <c r="H8842" s="3">
        <v>3.9499611111111374E-2</v>
      </c>
    </row>
    <row r="8843" spans="7:8" x14ac:dyDescent="0.3">
      <c r="G8843" s="15">
        <v>24.55</v>
      </c>
      <c r="H8843" s="3">
        <v>3.9499000000000263E-2</v>
      </c>
    </row>
    <row r="8844" spans="7:8" x14ac:dyDescent="0.3">
      <c r="G8844" s="15">
        <v>24.552777777777777</v>
      </c>
      <c r="H8844" s="3">
        <v>3.9498388888889152E-2</v>
      </c>
    </row>
    <row r="8845" spans="7:8" x14ac:dyDescent="0.3">
      <c r="G8845" s="15">
        <v>24.555555555555557</v>
      </c>
      <c r="H8845" s="3">
        <v>3.9497777777778041E-2</v>
      </c>
    </row>
    <row r="8846" spans="7:8" x14ac:dyDescent="0.3">
      <c r="G8846" s="15">
        <v>24.558333333333334</v>
      </c>
      <c r="H8846" s="3">
        <v>3.949716666666693E-2</v>
      </c>
    </row>
    <row r="8847" spans="7:8" x14ac:dyDescent="0.3">
      <c r="G8847" s="15">
        <v>24.56111111111111</v>
      </c>
      <c r="H8847" s="3">
        <v>3.9496555555555819E-2</v>
      </c>
    </row>
    <row r="8848" spans="7:8" x14ac:dyDescent="0.3">
      <c r="G8848" s="15">
        <v>24.56388888888889</v>
      </c>
      <c r="H8848" s="3">
        <v>3.9495944444444708E-2</v>
      </c>
    </row>
    <row r="8849" spans="7:8" x14ac:dyDescent="0.3">
      <c r="G8849" s="15">
        <v>24.566666666666666</v>
      </c>
      <c r="H8849" s="3">
        <v>3.9495333333333597E-2</v>
      </c>
    </row>
    <row r="8850" spans="7:8" x14ac:dyDescent="0.3">
      <c r="G8850" s="15">
        <v>24.569444444444443</v>
      </c>
      <c r="H8850" s="3">
        <v>3.9494722222222486E-2</v>
      </c>
    </row>
    <row r="8851" spans="7:8" x14ac:dyDescent="0.3">
      <c r="G8851" s="15">
        <v>24.572222222222223</v>
      </c>
      <c r="H8851" s="3">
        <v>3.9494111111111375E-2</v>
      </c>
    </row>
    <row r="8852" spans="7:8" x14ac:dyDescent="0.3">
      <c r="G8852" s="15">
        <v>24.574999999999999</v>
      </c>
      <c r="H8852" s="3">
        <v>3.9493500000000265E-2</v>
      </c>
    </row>
    <row r="8853" spans="7:8" x14ac:dyDescent="0.3">
      <c r="G8853" s="15">
        <v>24.577777777777779</v>
      </c>
      <c r="H8853" s="3">
        <v>3.9492888888889154E-2</v>
      </c>
    </row>
    <row r="8854" spans="7:8" x14ac:dyDescent="0.3">
      <c r="G8854" s="15">
        <v>24.580555555555556</v>
      </c>
      <c r="H8854" s="3">
        <v>3.9492277777778043E-2</v>
      </c>
    </row>
    <row r="8855" spans="7:8" x14ac:dyDescent="0.3">
      <c r="G8855" s="15">
        <v>24.583333333333332</v>
      </c>
      <c r="H8855" s="3">
        <v>3.9491666666666932E-2</v>
      </c>
    </row>
    <row r="8856" spans="7:8" x14ac:dyDescent="0.3">
      <c r="G8856" s="15">
        <v>24.586111111111112</v>
      </c>
      <c r="H8856" s="3">
        <v>3.9491055555555821E-2</v>
      </c>
    </row>
    <row r="8857" spans="7:8" x14ac:dyDescent="0.3">
      <c r="G8857" s="15">
        <v>24.588888888888889</v>
      </c>
      <c r="H8857" s="3">
        <v>3.949044444444471E-2</v>
      </c>
    </row>
    <row r="8858" spans="7:8" x14ac:dyDescent="0.3">
      <c r="G8858" s="15">
        <v>24.591666666666665</v>
      </c>
      <c r="H8858" s="3">
        <v>3.9489833333333599E-2</v>
      </c>
    </row>
    <row r="8859" spans="7:8" x14ac:dyDescent="0.3">
      <c r="G8859" s="15">
        <v>24.594444444444445</v>
      </c>
      <c r="H8859" s="3">
        <v>3.9489222222222488E-2</v>
      </c>
    </row>
    <row r="8860" spans="7:8" x14ac:dyDescent="0.3">
      <c r="G8860" s="15">
        <v>24.597222222222221</v>
      </c>
      <c r="H8860" s="3">
        <v>3.9488611111111377E-2</v>
      </c>
    </row>
    <row r="8861" spans="7:8" x14ac:dyDescent="0.3">
      <c r="G8861" s="15">
        <v>24.6</v>
      </c>
      <c r="H8861" s="3">
        <v>3.9488000000000266E-2</v>
      </c>
    </row>
    <row r="8862" spans="7:8" x14ac:dyDescent="0.3">
      <c r="G8862" s="15">
        <v>24.602777777777778</v>
      </c>
      <c r="H8862" s="3">
        <v>3.9487388888889155E-2</v>
      </c>
    </row>
    <row r="8863" spans="7:8" x14ac:dyDescent="0.3">
      <c r="G8863" s="15">
        <v>24.605555555555554</v>
      </c>
      <c r="H8863" s="3">
        <v>3.9486777777778044E-2</v>
      </c>
    </row>
    <row r="8864" spans="7:8" x14ac:dyDescent="0.3">
      <c r="G8864" s="15">
        <v>24.608333333333334</v>
      </c>
      <c r="H8864" s="3">
        <v>3.9486166666666933E-2</v>
      </c>
    </row>
    <row r="8865" spans="7:8" x14ac:dyDescent="0.3">
      <c r="G8865" s="15">
        <v>24.611111111111111</v>
      </c>
      <c r="H8865" s="3">
        <v>3.9485555555555822E-2</v>
      </c>
    </row>
    <row r="8866" spans="7:8" x14ac:dyDescent="0.3">
      <c r="G8866" s="15">
        <v>24.613888888888887</v>
      </c>
      <c r="H8866" s="3">
        <v>3.9484944444444711E-2</v>
      </c>
    </row>
    <row r="8867" spans="7:8" x14ac:dyDescent="0.3">
      <c r="G8867" s="15">
        <v>24.616666666666667</v>
      </c>
      <c r="H8867" s="3">
        <v>3.94843333333336E-2</v>
      </c>
    </row>
    <row r="8868" spans="7:8" x14ac:dyDescent="0.3">
      <c r="G8868" s="15">
        <v>24.619444444444444</v>
      </c>
      <c r="H8868" s="3">
        <v>3.9483722222222489E-2</v>
      </c>
    </row>
    <row r="8869" spans="7:8" x14ac:dyDescent="0.3">
      <c r="G8869" s="15">
        <v>24.622222222222224</v>
      </c>
      <c r="H8869" s="3">
        <v>3.9483111111111378E-2</v>
      </c>
    </row>
    <row r="8870" spans="7:8" x14ac:dyDescent="0.3">
      <c r="G8870" s="15">
        <v>24.625</v>
      </c>
      <c r="H8870" s="3">
        <v>3.9482500000000267E-2</v>
      </c>
    </row>
    <row r="8871" spans="7:8" x14ac:dyDescent="0.3">
      <c r="G8871" s="15">
        <v>24.627777777777776</v>
      </c>
      <c r="H8871" s="3">
        <v>3.9481888888889156E-2</v>
      </c>
    </row>
    <row r="8872" spans="7:8" x14ac:dyDescent="0.3">
      <c r="G8872" s="15">
        <v>24.630555555555556</v>
      </c>
      <c r="H8872" s="3">
        <v>3.9481277777778045E-2</v>
      </c>
    </row>
    <row r="8873" spans="7:8" x14ac:dyDescent="0.3">
      <c r="G8873" s="15">
        <v>24.633333333333333</v>
      </c>
      <c r="H8873" s="3">
        <v>3.9480666666666935E-2</v>
      </c>
    </row>
    <row r="8874" spans="7:8" x14ac:dyDescent="0.3">
      <c r="G8874" s="15">
        <v>24.636111111111113</v>
      </c>
      <c r="H8874" s="3">
        <v>3.9480055555555824E-2</v>
      </c>
    </row>
    <row r="8875" spans="7:8" x14ac:dyDescent="0.3">
      <c r="G8875" s="15">
        <v>24.638888888888889</v>
      </c>
      <c r="H8875" s="3">
        <v>3.9479444444444713E-2</v>
      </c>
    </row>
    <row r="8876" spans="7:8" x14ac:dyDescent="0.3">
      <c r="G8876" s="15">
        <v>24.641666666666666</v>
      </c>
      <c r="H8876" s="3">
        <v>3.9478833333333602E-2</v>
      </c>
    </row>
    <row r="8877" spans="7:8" x14ac:dyDescent="0.3">
      <c r="G8877" s="15">
        <v>24.644444444444446</v>
      </c>
      <c r="H8877" s="3">
        <v>3.9478222222222491E-2</v>
      </c>
    </row>
    <row r="8878" spans="7:8" x14ac:dyDescent="0.3">
      <c r="G8878" s="15">
        <v>24.647222222222222</v>
      </c>
      <c r="H8878" s="3">
        <v>3.947761111111138E-2</v>
      </c>
    </row>
    <row r="8879" spans="7:8" x14ac:dyDescent="0.3">
      <c r="G8879" s="15">
        <v>24.65</v>
      </c>
      <c r="H8879" s="3">
        <v>3.9477000000000269E-2</v>
      </c>
    </row>
    <row r="8880" spans="7:8" x14ac:dyDescent="0.3">
      <c r="G8880" s="15">
        <v>24.652777777777779</v>
      </c>
      <c r="H8880" s="3">
        <v>3.9476388888889158E-2</v>
      </c>
    </row>
    <row r="8881" spans="7:8" x14ac:dyDescent="0.3">
      <c r="G8881" s="15">
        <v>24.655555555555555</v>
      </c>
      <c r="H8881" s="3">
        <v>3.9475777777778047E-2</v>
      </c>
    </row>
    <row r="8882" spans="7:8" x14ac:dyDescent="0.3">
      <c r="G8882" s="15">
        <v>24.658333333333335</v>
      </c>
      <c r="H8882" s="3">
        <v>3.9475166666666936E-2</v>
      </c>
    </row>
    <row r="8883" spans="7:8" x14ac:dyDescent="0.3">
      <c r="G8883" s="15">
        <v>24.661111111111111</v>
      </c>
      <c r="H8883" s="3">
        <v>3.9474555555555825E-2</v>
      </c>
    </row>
    <row r="8884" spans="7:8" x14ac:dyDescent="0.3">
      <c r="G8884" s="15">
        <v>24.663888888888888</v>
      </c>
      <c r="H8884" s="3">
        <v>3.9473944444444714E-2</v>
      </c>
    </row>
    <row r="8885" spans="7:8" x14ac:dyDescent="0.3">
      <c r="G8885" s="15">
        <v>24.666666666666668</v>
      </c>
      <c r="H8885" s="3">
        <v>3.9473333333333603E-2</v>
      </c>
    </row>
    <row r="8886" spans="7:8" x14ac:dyDescent="0.3">
      <c r="G8886" s="15">
        <v>24.669444444444444</v>
      </c>
      <c r="H8886" s="3">
        <v>3.9472722222222492E-2</v>
      </c>
    </row>
    <row r="8887" spans="7:8" x14ac:dyDescent="0.3">
      <c r="G8887" s="15">
        <v>24.672222222222221</v>
      </c>
      <c r="H8887" s="3">
        <v>3.9472111111111381E-2</v>
      </c>
    </row>
    <row r="8888" spans="7:8" x14ac:dyDescent="0.3">
      <c r="G8888" s="15">
        <v>24.675000000000001</v>
      </c>
      <c r="H8888" s="3">
        <v>3.947150000000027E-2</v>
      </c>
    </row>
    <row r="8889" spans="7:8" x14ac:dyDescent="0.3">
      <c r="G8889" s="15">
        <v>24.677777777777777</v>
      </c>
      <c r="H8889" s="3">
        <v>3.9470888888889159E-2</v>
      </c>
    </row>
    <row r="8890" spans="7:8" x14ac:dyDescent="0.3">
      <c r="G8890" s="15">
        <v>24.680555555555557</v>
      </c>
      <c r="H8890" s="3">
        <v>3.9470277777778048E-2</v>
      </c>
    </row>
    <row r="8891" spans="7:8" x14ac:dyDescent="0.3">
      <c r="G8891" s="15">
        <v>24.683333333333334</v>
      </c>
      <c r="H8891" s="3">
        <v>3.9469666666666937E-2</v>
      </c>
    </row>
    <row r="8892" spans="7:8" x14ac:dyDescent="0.3">
      <c r="G8892" s="15">
        <v>24.68611111111111</v>
      </c>
      <c r="H8892" s="3">
        <v>3.9469055555555826E-2</v>
      </c>
    </row>
    <row r="8893" spans="7:8" x14ac:dyDescent="0.3">
      <c r="G8893" s="15">
        <v>24.68888888888889</v>
      </c>
      <c r="H8893" s="3">
        <v>3.9468444444444716E-2</v>
      </c>
    </row>
    <row r="8894" spans="7:8" x14ac:dyDescent="0.3">
      <c r="G8894" s="15">
        <v>24.691666666666666</v>
      </c>
      <c r="H8894" s="3">
        <v>3.9467833333333605E-2</v>
      </c>
    </row>
    <row r="8895" spans="7:8" x14ac:dyDescent="0.3">
      <c r="G8895" s="15">
        <v>24.694444444444443</v>
      </c>
      <c r="H8895" s="3">
        <v>3.9467222222222494E-2</v>
      </c>
    </row>
    <row r="8896" spans="7:8" x14ac:dyDescent="0.3">
      <c r="G8896" s="15">
        <v>24.697222222222223</v>
      </c>
      <c r="H8896" s="3">
        <v>3.9466611111111383E-2</v>
      </c>
    </row>
    <row r="8897" spans="7:8" x14ac:dyDescent="0.3">
      <c r="G8897" s="15">
        <v>24.7</v>
      </c>
      <c r="H8897" s="3">
        <v>3.9466000000000272E-2</v>
      </c>
    </row>
    <row r="8898" spans="7:8" x14ac:dyDescent="0.3">
      <c r="G8898" s="15">
        <v>24.702777777777779</v>
      </c>
      <c r="H8898" s="3">
        <v>3.9465388888889161E-2</v>
      </c>
    </row>
    <row r="8899" spans="7:8" x14ac:dyDescent="0.3">
      <c r="G8899" s="15">
        <v>24.705555555555556</v>
      </c>
      <c r="H8899" s="3">
        <v>3.946477777777805E-2</v>
      </c>
    </row>
    <row r="8900" spans="7:8" x14ac:dyDescent="0.3">
      <c r="G8900" s="15">
        <v>24.708333333333332</v>
      </c>
      <c r="H8900" s="3">
        <v>3.9464166666666939E-2</v>
      </c>
    </row>
    <row r="8901" spans="7:8" x14ac:dyDescent="0.3">
      <c r="G8901" s="15">
        <v>24.711111111111112</v>
      </c>
      <c r="H8901" s="3">
        <v>3.9463555555555828E-2</v>
      </c>
    </row>
    <row r="8902" spans="7:8" x14ac:dyDescent="0.3">
      <c r="G8902" s="15">
        <v>24.713888888888889</v>
      </c>
      <c r="H8902" s="3">
        <v>3.9462944444444717E-2</v>
      </c>
    </row>
    <row r="8903" spans="7:8" x14ac:dyDescent="0.3">
      <c r="G8903" s="15">
        <v>24.716666666666665</v>
      </c>
      <c r="H8903" s="3">
        <v>3.9462333333333606E-2</v>
      </c>
    </row>
    <row r="8904" spans="7:8" x14ac:dyDescent="0.3">
      <c r="G8904" s="15">
        <v>24.719444444444445</v>
      </c>
      <c r="H8904" s="3">
        <v>3.9461722222222495E-2</v>
      </c>
    </row>
    <row r="8905" spans="7:8" x14ac:dyDescent="0.3">
      <c r="G8905" s="15">
        <v>24.722222222222221</v>
      </c>
      <c r="H8905" s="3">
        <v>3.9461111111111384E-2</v>
      </c>
    </row>
    <row r="8906" spans="7:8" x14ac:dyDescent="0.3">
      <c r="G8906" s="15">
        <v>24.725000000000001</v>
      </c>
      <c r="H8906" s="3">
        <v>3.9460500000000273E-2</v>
      </c>
    </row>
    <row r="8907" spans="7:8" x14ac:dyDescent="0.3">
      <c r="G8907" s="15">
        <v>24.727777777777778</v>
      </c>
      <c r="H8907" s="3">
        <v>3.9459888888889162E-2</v>
      </c>
    </row>
    <row r="8908" spans="7:8" x14ac:dyDescent="0.3">
      <c r="G8908" s="15">
        <v>24.730555555555554</v>
      </c>
      <c r="H8908" s="3">
        <v>3.9459277777778051E-2</v>
      </c>
    </row>
    <row r="8909" spans="7:8" x14ac:dyDescent="0.3">
      <c r="G8909" s="15">
        <v>24.733333333333334</v>
      </c>
      <c r="H8909" s="3">
        <v>3.945866666666694E-2</v>
      </c>
    </row>
    <row r="8910" spans="7:8" x14ac:dyDescent="0.3">
      <c r="G8910" s="15">
        <v>24.736111111111111</v>
      </c>
      <c r="H8910" s="3">
        <v>3.9458055555555829E-2</v>
      </c>
    </row>
    <row r="8911" spans="7:8" x14ac:dyDescent="0.3">
      <c r="G8911" s="15">
        <v>24.738888888888887</v>
      </c>
      <c r="H8911" s="3">
        <v>3.9457444444444718E-2</v>
      </c>
    </row>
    <row r="8912" spans="7:8" x14ac:dyDescent="0.3">
      <c r="G8912" s="15">
        <v>24.741666666666667</v>
      </c>
      <c r="H8912" s="3">
        <v>3.9456833333333607E-2</v>
      </c>
    </row>
    <row r="8913" spans="7:8" x14ac:dyDescent="0.3">
      <c r="G8913" s="15">
        <v>24.744444444444444</v>
      </c>
      <c r="H8913" s="3">
        <v>3.9456222222222496E-2</v>
      </c>
    </row>
    <row r="8914" spans="7:8" x14ac:dyDescent="0.3">
      <c r="G8914" s="15">
        <v>24.747222222222224</v>
      </c>
      <c r="H8914" s="3">
        <v>3.9455611111111386E-2</v>
      </c>
    </row>
    <row r="8915" spans="7:8" x14ac:dyDescent="0.3">
      <c r="G8915" s="15">
        <v>24.75</v>
      </c>
      <c r="H8915" s="3">
        <v>3.9455000000000275E-2</v>
      </c>
    </row>
    <row r="8916" spans="7:8" x14ac:dyDescent="0.3">
      <c r="G8916" s="15">
        <v>24.752777777777776</v>
      </c>
      <c r="H8916" s="3">
        <v>3.9454388888889164E-2</v>
      </c>
    </row>
    <row r="8917" spans="7:8" x14ac:dyDescent="0.3">
      <c r="G8917" s="15">
        <v>24.755555555555556</v>
      </c>
      <c r="H8917" s="3">
        <v>3.9453777777778053E-2</v>
      </c>
    </row>
    <row r="8918" spans="7:8" x14ac:dyDescent="0.3">
      <c r="G8918" s="15">
        <v>24.758333333333333</v>
      </c>
      <c r="H8918" s="3">
        <v>3.9453166666666942E-2</v>
      </c>
    </row>
    <row r="8919" spans="7:8" x14ac:dyDescent="0.3">
      <c r="G8919" s="15">
        <v>24.761111111111113</v>
      </c>
      <c r="H8919" s="3">
        <v>3.9452555555555831E-2</v>
      </c>
    </row>
    <row r="8920" spans="7:8" x14ac:dyDescent="0.3">
      <c r="G8920" s="15">
        <v>24.763888888888889</v>
      </c>
      <c r="H8920" s="3">
        <v>3.945194444444472E-2</v>
      </c>
    </row>
    <row r="8921" spans="7:8" x14ac:dyDescent="0.3">
      <c r="G8921" s="15">
        <v>24.766666666666666</v>
      </c>
      <c r="H8921" s="3">
        <v>3.9451333333333609E-2</v>
      </c>
    </row>
    <row r="8922" spans="7:8" x14ac:dyDescent="0.3">
      <c r="G8922" s="15">
        <v>24.769444444444446</v>
      </c>
      <c r="H8922" s="3">
        <v>3.9450722222222498E-2</v>
      </c>
    </row>
    <row r="8923" spans="7:8" x14ac:dyDescent="0.3">
      <c r="G8923" s="15">
        <v>24.772222222222222</v>
      </c>
      <c r="H8923" s="3">
        <v>3.9450111111111387E-2</v>
      </c>
    </row>
    <row r="8924" spans="7:8" x14ac:dyDescent="0.3">
      <c r="G8924" s="15">
        <v>24.774999999999999</v>
      </c>
      <c r="H8924" s="3">
        <v>3.9449500000000276E-2</v>
      </c>
    </row>
    <row r="8925" spans="7:8" x14ac:dyDescent="0.3">
      <c r="G8925" s="15">
        <v>24.777777777777779</v>
      </c>
      <c r="H8925" s="3">
        <v>3.9448888888889165E-2</v>
      </c>
    </row>
    <row r="8926" spans="7:8" x14ac:dyDescent="0.3">
      <c r="G8926" s="15">
        <v>24.780555555555555</v>
      </c>
      <c r="H8926" s="3">
        <v>3.9448277777778054E-2</v>
      </c>
    </row>
    <row r="8927" spans="7:8" x14ac:dyDescent="0.3">
      <c r="G8927" s="15">
        <v>24.783333333333335</v>
      </c>
      <c r="H8927" s="3">
        <v>3.9447666666666943E-2</v>
      </c>
    </row>
    <row r="8928" spans="7:8" x14ac:dyDescent="0.3">
      <c r="G8928" s="15">
        <v>24.786111111111111</v>
      </c>
      <c r="H8928" s="3">
        <v>3.9447055555555832E-2</v>
      </c>
    </row>
    <row r="8929" spans="7:8" x14ac:dyDescent="0.3">
      <c r="G8929" s="15">
        <v>24.788888888888888</v>
      </c>
      <c r="H8929" s="3">
        <v>3.9446444444444721E-2</v>
      </c>
    </row>
    <row r="8930" spans="7:8" x14ac:dyDescent="0.3">
      <c r="G8930" s="15">
        <v>24.791666666666668</v>
      </c>
      <c r="H8930" s="3">
        <v>3.944583333333361E-2</v>
      </c>
    </row>
    <row r="8931" spans="7:8" x14ac:dyDescent="0.3">
      <c r="G8931" s="15">
        <v>24.794444444444444</v>
      </c>
      <c r="H8931" s="3">
        <v>3.9445222222222499E-2</v>
      </c>
    </row>
    <row r="8932" spans="7:8" x14ac:dyDescent="0.3">
      <c r="G8932" s="15">
        <v>24.797222222222221</v>
      </c>
      <c r="H8932" s="3">
        <v>3.9444611111111388E-2</v>
      </c>
    </row>
    <row r="8933" spans="7:8" x14ac:dyDescent="0.3">
      <c r="G8933" s="15">
        <v>24.8</v>
      </c>
      <c r="H8933" s="3">
        <v>3.9444000000000277E-2</v>
      </c>
    </row>
    <row r="8934" spans="7:8" x14ac:dyDescent="0.3">
      <c r="G8934" s="15">
        <v>24.802777777777777</v>
      </c>
      <c r="H8934" s="3">
        <v>3.9443388888889166E-2</v>
      </c>
    </row>
    <row r="8935" spans="7:8" x14ac:dyDescent="0.3">
      <c r="G8935" s="15">
        <v>24.805555555555557</v>
      </c>
      <c r="H8935" s="3">
        <v>3.9442777777778056E-2</v>
      </c>
    </row>
    <row r="8936" spans="7:8" x14ac:dyDescent="0.3">
      <c r="G8936" s="15">
        <v>24.808333333333334</v>
      </c>
      <c r="H8936" s="3">
        <v>3.9442166666666945E-2</v>
      </c>
    </row>
    <row r="8937" spans="7:8" x14ac:dyDescent="0.3">
      <c r="G8937" s="15">
        <v>24.81111111111111</v>
      </c>
      <c r="H8937" s="3">
        <v>3.9441555555555834E-2</v>
      </c>
    </row>
    <row r="8938" spans="7:8" x14ac:dyDescent="0.3">
      <c r="G8938" s="15">
        <v>24.81388888888889</v>
      </c>
      <c r="H8938" s="3">
        <v>3.9440944444444723E-2</v>
      </c>
    </row>
    <row r="8939" spans="7:8" x14ac:dyDescent="0.3">
      <c r="G8939" s="15">
        <v>24.816666666666666</v>
      </c>
      <c r="H8939" s="3">
        <v>3.9440333333333612E-2</v>
      </c>
    </row>
    <row r="8940" spans="7:8" x14ac:dyDescent="0.3">
      <c r="G8940" s="15">
        <v>24.819444444444443</v>
      </c>
      <c r="H8940" s="3">
        <v>3.9439722222222501E-2</v>
      </c>
    </row>
    <row r="8941" spans="7:8" x14ac:dyDescent="0.3">
      <c r="G8941" s="15">
        <v>24.822222222222223</v>
      </c>
      <c r="H8941" s="3">
        <v>3.943911111111139E-2</v>
      </c>
    </row>
    <row r="8942" spans="7:8" x14ac:dyDescent="0.3">
      <c r="G8942" s="15">
        <v>24.824999999999999</v>
      </c>
      <c r="H8942" s="3">
        <v>3.9438500000000279E-2</v>
      </c>
    </row>
    <row r="8943" spans="7:8" x14ac:dyDescent="0.3">
      <c r="G8943" s="15">
        <v>24.827777777777779</v>
      </c>
      <c r="H8943" s="3">
        <v>3.9437888888889168E-2</v>
      </c>
    </row>
    <row r="8944" spans="7:8" x14ac:dyDescent="0.3">
      <c r="G8944" s="15">
        <v>24.830555555555556</v>
      </c>
      <c r="H8944" s="3">
        <v>3.9437277777778057E-2</v>
      </c>
    </row>
    <row r="8945" spans="7:8" x14ac:dyDescent="0.3">
      <c r="G8945" s="15">
        <v>24.833333333333332</v>
      </c>
      <c r="H8945" s="3">
        <v>3.9436666666666946E-2</v>
      </c>
    </row>
    <row r="8946" spans="7:8" x14ac:dyDescent="0.3">
      <c r="G8946" s="15">
        <v>24.836111111111112</v>
      </c>
      <c r="H8946" s="3">
        <v>3.9436055555555835E-2</v>
      </c>
    </row>
    <row r="8947" spans="7:8" x14ac:dyDescent="0.3">
      <c r="G8947" s="15">
        <v>24.838888888888889</v>
      </c>
      <c r="H8947" s="3">
        <v>3.9435444444444724E-2</v>
      </c>
    </row>
    <row r="8948" spans="7:8" x14ac:dyDescent="0.3">
      <c r="G8948" s="15">
        <v>24.841666666666665</v>
      </c>
      <c r="H8948" s="3">
        <v>3.9434833333333613E-2</v>
      </c>
    </row>
    <row r="8949" spans="7:8" x14ac:dyDescent="0.3">
      <c r="G8949" s="15">
        <v>24.844444444444445</v>
      </c>
      <c r="H8949" s="3">
        <v>3.9434222222222502E-2</v>
      </c>
    </row>
    <row r="8950" spans="7:8" x14ac:dyDescent="0.3">
      <c r="G8950" s="15">
        <v>24.847222222222221</v>
      </c>
      <c r="H8950" s="3">
        <v>3.9433611111111391E-2</v>
      </c>
    </row>
    <row r="8951" spans="7:8" x14ac:dyDescent="0.3">
      <c r="G8951" s="15">
        <v>24.85</v>
      </c>
      <c r="H8951" s="3">
        <v>3.943300000000028E-2</v>
      </c>
    </row>
    <row r="8952" spans="7:8" x14ac:dyDescent="0.3">
      <c r="G8952" s="15">
        <v>24.852777777777778</v>
      </c>
      <c r="H8952" s="3">
        <v>3.9432388888889169E-2</v>
      </c>
    </row>
    <row r="8953" spans="7:8" x14ac:dyDescent="0.3">
      <c r="G8953" s="15">
        <v>24.855555555555554</v>
      </c>
      <c r="H8953" s="3">
        <v>3.9431777777778058E-2</v>
      </c>
    </row>
    <row r="8954" spans="7:8" x14ac:dyDescent="0.3">
      <c r="G8954" s="15">
        <v>24.858333333333334</v>
      </c>
      <c r="H8954" s="3">
        <v>3.9431166666666947E-2</v>
      </c>
    </row>
    <row r="8955" spans="7:8" x14ac:dyDescent="0.3">
      <c r="G8955" s="15">
        <v>24.861111111111111</v>
      </c>
      <c r="H8955" s="3">
        <v>3.9430555555555837E-2</v>
      </c>
    </row>
    <row r="8956" spans="7:8" x14ac:dyDescent="0.3">
      <c r="G8956" s="15">
        <v>24.863888888888887</v>
      </c>
      <c r="H8956" s="3">
        <v>3.9429944444444726E-2</v>
      </c>
    </row>
    <row r="8957" spans="7:8" x14ac:dyDescent="0.3">
      <c r="G8957" s="15">
        <v>24.866666666666667</v>
      </c>
      <c r="H8957" s="3">
        <v>3.9429333333333615E-2</v>
      </c>
    </row>
    <row r="8958" spans="7:8" x14ac:dyDescent="0.3">
      <c r="G8958" s="15">
        <v>24.869444444444444</v>
      </c>
      <c r="H8958" s="3">
        <v>3.9428722222222504E-2</v>
      </c>
    </row>
    <row r="8959" spans="7:8" x14ac:dyDescent="0.3">
      <c r="G8959" s="15">
        <v>24.872222222222224</v>
      </c>
      <c r="H8959" s="3">
        <v>3.9428111111111393E-2</v>
      </c>
    </row>
    <row r="8960" spans="7:8" x14ac:dyDescent="0.3">
      <c r="G8960" s="15">
        <v>24.875</v>
      </c>
      <c r="H8960" s="3">
        <v>3.9427500000000282E-2</v>
      </c>
    </row>
    <row r="8961" spans="7:8" x14ac:dyDescent="0.3">
      <c r="G8961" s="15">
        <v>24.877777777777776</v>
      </c>
      <c r="H8961" s="3">
        <v>3.9426888888889171E-2</v>
      </c>
    </row>
    <row r="8962" spans="7:8" x14ac:dyDescent="0.3">
      <c r="G8962" s="15">
        <v>24.880555555555556</v>
      </c>
      <c r="H8962" s="3">
        <v>3.942627777777806E-2</v>
      </c>
    </row>
    <row r="8963" spans="7:8" x14ac:dyDescent="0.3">
      <c r="G8963" s="15">
        <v>24.883333333333333</v>
      </c>
      <c r="H8963" s="3">
        <v>3.9425666666666949E-2</v>
      </c>
    </row>
    <row r="8964" spans="7:8" x14ac:dyDescent="0.3">
      <c r="G8964" s="15">
        <v>24.886111111111113</v>
      </c>
      <c r="H8964" s="3">
        <v>3.9425055555555838E-2</v>
      </c>
    </row>
    <row r="8965" spans="7:8" x14ac:dyDescent="0.3">
      <c r="G8965" s="15">
        <v>24.888888888888889</v>
      </c>
      <c r="H8965" s="3">
        <v>3.9424444444444727E-2</v>
      </c>
    </row>
    <row r="8966" spans="7:8" x14ac:dyDescent="0.3">
      <c r="G8966" s="15">
        <v>24.891666666666666</v>
      </c>
      <c r="H8966" s="3">
        <v>3.9423833333333616E-2</v>
      </c>
    </row>
    <row r="8967" spans="7:8" x14ac:dyDescent="0.3">
      <c r="G8967" s="15">
        <v>24.894444444444446</v>
      </c>
      <c r="H8967" s="3">
        <v>3.9423222222222505E-2</v>
      </c>
    </row>
    <row r="8968" spans="7:8" x14ac:dyDescent="0.3">
      <c r="G8968" s="15">
        <v>24.897222222222222</v>
      </c>
      <c r="H8968" s="3">
        <v>3.9422611111111394E-2</v>
      </c>
    </row>
    <row r="8969" spans="7:8" x14ac:dyDescent="0.3">
      <c r="G8969" s="15">
        <v>24.9</v>
      </c>
      <c r="H8969" s="3">
        <v>3.9422000000000283E-2</v>
      </c>
    </row>
    <row r="8970" spans="7:8" x14ac:dyDescent="0.3">
      <c r="G8970" s="15">
        <v>24.902777777777779</v>
      </c>
      <c r="H8970" s="3">
        <v>3.9421388888889172E-2</v>
      </c>
    </row>
    <row r="8971" spans="7:8" x14ac:dyDescent="0.3">
      <c r="G8971" s="15">
        <v>24.905555555555555</v>
      </c>
      <c r="H8971" s="3">
        <v>3.9420777777778061E-2</v>
      </c>
    </row>
    <row r="8972" spans="7:8" x14ac:dyDescent="0.3">
      <c r="G8972" s="15">
        <v>24.908333333333335</v>
      </c>
      <c r="H8972" s="3">
        <v>3.942016666666695E-2</v>
      </c>
    </row>
    <row r="8973" spans="7:8" x14ac:dyDescent="0.3">
      <c r="G8973" s="15">
        <v>24.911111111111111</v>
      </c>
      <c r="H8973" s="3">
        <v>3.9419555555555839E-2</v>
      </c>
    </row>
    <row r="8974" spans="7:8" x14ac:dyDescent="0.3">
      <c r="G8974" s="15">
        <v>24.913888888888888</v>
      </c>
      <c r="H8974" s="3">
        <v>3.9418944444444728E-2</v>
      </c>
    </row>
    <row r="8975" spans="7:8" x14ac:dyDescent="0.3">
      <c r="G8975" s="15">
        <v>24.916666666666668</v>
      </c>
      <c r="H8975" s="3">
        <v>3.9418333333333617E-2</v>
      </c>
    </row>
    <row r="8976" spans="7:8" x14ac:dyDescent="0.3">
      <c r="G8976" s="15">
        <v>24.919444444444444</v>
      </c>
      <c r="H8976" s="3">
        <v>3.9417722222222507E-2</v>
      </c>
    </row>
    <row r="8977" spans="7:8" x14ac:dyDescent="0.3">
      <c r="G8977" s="15">
        <v>24.922222222222221</v>
      </c>
      <c r="H8977" s="3">
        <v>3.9417111111111396E-2</v>
      </c>
    </row>
    <row r="8978" spans="7:8" x14ac:dyDescent="0.3">
      <c r="G8978" s="15">
        <v>24.925000000000001</v>
      </c>
      <c r="H8978" s="3">
        <v>3.9416500000000285E-2</v>
      </c>
    </row>
    <row r="8979" spans="7:8" x14ac:dyDescent="0.3">
      <c r="G8979" s="15">
        <v>24.927777777777777</v>
      </c>
      <c r="H8979" s="3">
        <v>3.9415888888889174E-2</v>
      </c>
    </row>
    <row r="8980" spans="7:8" x14ac:dyDescent="0.3">
      <c r="G8980" s="15">
        <v>24.930555555555557</v>
      </c>
      <c r="H8980" s="3">
        <v>3.9415277777778063E-2</v>
      </c>
    </row>
    <row r="8981" spans="7:8" x14ac:dyDescent="0.3">
      <c r="G8981" s="15">
        <v>24.933333333333334</v>
      </c>
      <c r="H8981" s="3">
        <v>3.9414666666666952E-2</v>
      </c>
    </row>
    <row r="8982" spans="7:8" x14ac:dyDescent="0.3">
      <c r="G8982" s="15">
        <v>24.93611111111111</v>
      </c>
      <c r="H8982" s="3">
        <v>3.9414055555555841E-2</v>
      </c>
    </row>
    <row r="8983" spans="7:8" x14ac:dyDescent="0.3">
      <c r="G8983" s="15">
        <v>24.93888888888889</v>
      </c>
      <c r="H8983" s="3">
        <v>3.941344444444473E-2</v>
      </c>
    </row>
    <row r="8984" spans="7:8" x14ac:dyDescent="0.3">
      <c r="G8984" s="15">
        <v>24.941666666666666</v>
      </c>
      <c r="H8984" s="3">
        <v>3.9412833333333619E-2</v>
      </c>
    </row>
    <row r="8985" spans="7:8" x14ac:dyDescent="0.3">
      <c r="G8985" s="15">
        <v>24.944444444444443</v>
      </c>
      <c r="H8985" s="3">
        <v>3.9412222222222508E-2</v>
      </c>
    </row>
    <row r="8986" spans="7:8" x14ac:dyDescent="0.3">
      <c r="G8986" s="15">
        <v>24.947222222222223</v>
      </c>
      <c r="H8986" s="3">
        <v>3.9411611111111397E-2</v>
      </c>
    </row>
    <row r="8987" spans="7:8" x14ac:dyDescent="0.3">
      <c r="G8987" s="15">
        <v>24.95</v>
      </c>
      <c r="H8987" s="3">
        <v>3.9411000000000286E-2</v>
      </c>
    </row>
    <row r="8988" spans="7:8" x14ac:dyDescent="0.3">
      <c r="G8988" s="15">
        <v>24.952777777777779</v>
      </c>
      <c r="H8988" s="3">
        <v>3.9410388888889175E-2</v>
      </c>
    </row>
    <row r="8989" spans="7:8" x14ac:dyDescent="0.3">
      <c r="G8989" s="15">
        <v>24.955555555555556</v>
      </c>
      <c r="H8989" s="3">
        <v>3.9409777777778064E-2</v>
      </c>
    </row>
    <row r="8990" spans="7:8" x14ac:dyDescent="0.3">
      <c r="G8990" s="15">
        <v>24.958333333333332</v>
      </c>
      <c r="H8990" s="3">
        <v>3.9409166666666953E-2</v>
      </c>
    </row>
    <row r="8991" spans="7:8" x14ac:dyDescent="0.3">
      <c r="G8991" s="15">
        <v>24.961111111111112</v>
      </c>
      <c r="H8991" s="3">
        <v>3.9408555555555842E-2</v>
      </c>
    </row>
    <row r="8992" spans="7:8" x14ac:dyDescent="0.3">
      <c r="G8992" s="15">
        <v>24.963888888888889</v>
      </c>
      <c r="H8992" s="3">
        <v>3.9407944444444731E-2</v>
      </c>
    </row>
    <row r="8993" spans="7:8" x14ac:dyDescent="0.3">
      <c r="G8993" s="15">
        <v>24.966666666666665</v>
      </c>
      <c r="H8993" s="3">
        <v>3.940733333333362E-2</v>
      </c>
    </row>
    <row r="8994" spans="7:8" x14ac:dyDescent="0.3">
      <c r="G8994" s="15">
        <v>24.969444444444445</v>
      </c>
      <c r="H8994" s="3">
        <v>3.9406722222222509E-2</v>
      </c>
    </row>
    <row r="8995" spans="7:8" x14ac:dyDescent="0.3">
      <c r="G8995" s="15">
        <v>24.972222222222221</v>
      </c>
      <c r="H8995" s="3">
        <v>3.9406111111111398E-2</v>
      </c>
    </row>
    <row r="8996" spans="7:8" x14ac:dyDescent="0.3">
      <c r="G8996" s="15">
        <v>24.975000000000001</v>
      </c>
      <c r="H8996" s="3">
        <v>3.9405500000000288E-2</v>
      </c>
    </row>
    <row r="8997" spans="7:8" x14ac:dyDescent="0.3">
      <c r="G8997" s="15">
        <v>24.977777777777778</v>
      </c>
      <c r="H8997" s="3">
        <v>3.9404888888889177E-2</v>
      </c>
    </row>
    <row r="8998" spans="7:8" x14ac:dyDescent="0.3">
      <c r="G8998" s="15">
        <v>24.980555555555554</v>
      </c>
      <c r="H8998" s="3">
        <v>3.9404277777778066E-2</v>
      </c>
    </row>
    <row r="8999" spans="7:8" x14ac:dyDescent="0.3">
      <c r="G8999" s="15">
        <v>24.983333333333334</v>
      </c>
      <c r="H8999" s="3">
        <v>3.9403666666666955E-2</v>
      </c>
    </row>
    <row r="9000" spans="7:8" x14ac:dyDescent="0.3">
      <c r="G9000" s="15">
        <v>24.986111111111111</v>
      </c>
      <c r="H9000" s="3">
        <v>3.9403055555555844E-2</v>
      </c>
    </row>
    <row r="9001" spans="7:8" x14ac:dyDescent="0.3">
      <c r="G9001" s="15">
        <v>24.988888888888887</v>
      </c>
      <c r="H9001" s="3">
        <v>3.9402444444444733E-2</v>
      </c>
    </row>
    <row r="9002" spans="7:8" x14ac:dyDescent="0.3">
      <c r="G9002" s="15">
        <v>24.991666666666667</v>
      </c>
      <c r="H9002" s="3">
        <v>3.9401833333333622E-2</v>
      </c>
    </row>
    <row r="9003" spans="7:8" x14ac:dyDescent="0.3">
      <c r="G9003" s="15">
        <v>24.994444444444444</v>
      </c>
      <c r="H9003" s="3">
        <v>3.9401222222222511E-2</v>
      </c>
    </row>
    <row r="9004" spans="7:8" x14ac:dyDescent="0.3">
      <c r="G9004" s="15">
        <v>24.997222222222224</v>
      </c>
      <c r="H9004" s="3">
        <v>3.94006111111114E-2</v>
      </c>
    </row>
    <row r="9005" spans="7:8" x14ac:dyDescent="0.3">
      <c r="G9005" s="15">
        <v>25</v>
      </c>
      <c r="H9005" s="3">
        <v>3.9400000000000289E-2</v>
      </c>
    </row>
    <row r="9006" spans="7:8" x14ac:dyDescent="0.3">
      <c r="G9006" s="15">
        <v>25.002777777777776</v>
      </c>
      <c r="H9006" s="3">
        <v>3.9399388888889178E-2</v>
      </c>
    </row>
    <row r="9007" spans="7:8" x14ac:dyDescent="0.3">
      <c r="G9007" s="15">
        <v>25.005555555555556</v>
      </c>
      <c r="H9007" s="3">
        <v>3.9398777777778067E-2</v>
      </c>
    </row>
    <row r="9008" spans="7:8" x14ac:dyDescent="0.3">
      <c r="G9008" s="15">
        <v>25.008333333333333</v>
      </c>
      <c r="H9008" s="3">
        <v>3.9398166666666956E-2</v>
      </c>
    </row>
    <row r="9009" spans="7:8" x14ac:dyDescent="0.3">
      <c r="G9009" s="15">
        <v>25.011111111111113</v>
      </c>
      <c r="H9009" s="3">
        <v>3.9397555555555845E-2</v>
      </c>
    </row>
    <row r="9010" spans="7:8" x14ac:dyDescent="0.3">
      <c r="G9010" s="15">
        <v>25.013888888888889</v>
      </c>
      <c r="H9010" s="3">
        <v>3.9396944444444734E-2</v>
      </c>
    </row>
    <row r="9011" spans="7:8" x14ac:dyDescent="0.3">
      <c r="G9011" s="15">
        <v>25.016666666666666</v>
      </c>
      <c r="H9011" s="3">
        <v>3.9396333333333623E-2</v>
      </c>
    </row>
    <row r="9012" spans="7:8" x14ac:dyDescent="0.3">
      <c r="G9012" s="15">
        <v>25.019444444444446</v>
      </c>
      <c r="H9012" s="3">
        <v>3.9395722222222512E-2</v>
      </c>
    </row>
    <row r="9013" spans="7:8" x14ac:dyDescent="0.3">
      <c r="G9013" s="15">
        <v>25.022222222222222</v>
      </c>
      <c r="H9013" s="3">
        <v>3.9395111111111401E-2</v>
      </c>
    </row>
    <row r="9014" spans="7:8" x14ac:dyDescent="0.3">
      <c r="G9014" s="15">
        <v>25.024999999999999</v>
      </c>
      <c r="H9014" s="3">
        <v>3.939450000000029E-2</v>
      </c>
    </row>
    <row r="9015" spans="7:8" x14ac:dyDescent="0.3">
      <c r="G9015" s="15">
        <v>25.027777777777779</v>
      </c>
      <c r="H9015" s="3">
        <v>3.9393888888889179E-2</v>
      </c>
    </row>
    <row r="9016" spans="7:8" x14ac:dyDescent="0.3">
      <c r="G9016" s="15">
        <v>25.030555555555555</v>
      </c>
      <c r="H9016" s="3">
        <v>3.9393277777778068E-2</v>
      </c>
    </row>
    <row r="9017" spans="7:8" x14ac:dyDescent="0.3">
      <c r="G9017" s="15">
        <v>25.033333333333335</v>
      </c>
      <c r="H9017" s="3">
        <v>3.9392666666666958E-2</v>
      </c>
    </row>
    <row r="9018" spans="7:8" x14ac:dyDescent="0.3">
      <c r="G9018" s="15">
        <v>25.036111111111111</v>
      </c>
      <c r="H9018" s="3">
        <v>3.9392055555555847E-2</v>
      </c>
    </row>
    <row r="9019" spans="7:8" x14ac:dyDescent="0.3">
      <c r="G9019" s="15">
        <v>25.038888888888888</v>
      </c>
      <c r="H9019" s="3">
        <v>3.9391444444444736E-2</v>
      </c>
    </row>
    <row r="9020" spans="7:8" x14ac:dyDescent="0.3">
      <c r="G9020" s="15">
        <v>25.041666666666668</v>
      </c>
      <c r="H9020" s="3">
        <v>3.9390833333333625E-2</v>
      </c>
    </row>
    <row r="9021" spans="7:8" x14ac:dyDescent="0.3">
      <c r="G9021" s="15">
        <v>25.044444444444444</v>
      </c>
      <c r="H9021" s="3">
        <v>3.9390222222222514E-2</v>
      </c>
    </row>
    <row r="9022" spans="7:8" x14ac:dyDescent="0.3">
      <c r="G9022" s="15">
        <v>25.047222222222221</v>
      </c>
      <c r="H9022" s="3">
        <v>3.9389611111111403E-2</v>
      </c>
    </row>
    <row r="9023" spans="7:8" x14ac:dyDescent="0.3">
      <c r="G9023" s="15">
        <v>25.05</v>
      </c>
      <c r="H9023" s="3">
        <v>3.9389000000000292E-2</v>
      </c>
    </row>
    <row r="9024" spans="7:8" x14ac:dyDescent="0.3">
      <c r="G9024" s="15">
        <v>25.052777777777777</v>
      </c>
      <c r="H9024" s="3">
        <v>3.9388388888889181E-2</v>
      </c>
    </row>
    <row r="9025" spans="7:8" x14ac:dyDescent="0.3">
      <c r="G9025" s="15">
        <v>25.055555555555557</v>
      </c>
      <c r="H9025" s="3">
        <v>3.938777777777807E-2</v>
      </c>
    </row>
    <row r="9026" spans="7:8" x14ac:dyDescent="0.3">
      <c r="G9026" s="15">
        <v>25.058333333333334</v>
      </c>
      <c r="H9026" s="3">
        <v>3.9387166666666959E-2</v>
      </c>
    </row>
    <row r="9027" spans="7:8" x14ac:dyDescent="0.3">
      <c r="G9027" s="15">
        <v>25.06111111111111</v>
      </c>
      <c r="H9027" s="3">
        <v>3.9386555555555848E-2</v>
      </c>
    </row>
    <row r="9028" spans="7:8" x14ac:dyDescent="0.3">
      <c r="G9028" s="15">
        <v>25.06388888888889</v>
      </c>
      <c r="H9028" s="3">
        <v>3.9385944444444737E-2</v>
      </c>
    </row>
    <row r="9029" spans="7:8" x14ac:dyDescent="0.3">
      <c r="G9029" s="15">
        <v>25.066666666666666</v>
      </c>
      <c r="H9029" s="3">
        <v>3.9385333333333626E-2</v>
      </c>
    </row>
    <row r="9030" spans="7:8" x14ac:dyDescent="0.3">
      <c r="G9030" s="15">
        <v>25.069444444444443</v>
      </c>
      <c r="H9030" s="3">
        <v>3.9384722222222515E-2</v>
      </c>
    </row>
    <row r="9031" spans="7:8" x14ac:dyDescent="0.3">
      <c r="G9031" s="15">
        <v>25.072222222222223</v>
      </c>
      <c r="H9031" s="3">
        <v>3.9384111111111404E-2</v>
      </c>
    </row>
    <row r="9032" spans="7:8" x14ac:dyDescent="0.3">
      <c r="G9032" s="15">
        <v>25.074999999999999</v>
      </c>
      <c r="H9032" s="3">
        <v>3.9383500000000293E-2</v>
      </c>
    </row>
    <row r="9033" spans="7:8" x14ac:dyDescent="0.3">
      <c r="G9033" s="15">
        <v>25.077777777777779</v>
      </c>
      <c r="H9033" s="3">
        <v>3.9382888888889182E-2</v>
      </c>
    </row>
    <row r="9034" spans="7:8" x14ac:dyDescent="0.3">
      <c r="G9034" s="15">
        <v>25.080555555555556</v>
      </c>
      <c r="H9034" s="3">
        <v>3.9382277777778071E-2</v>
      </c>
    </row>
    <row r="9035" spans="7:8" x14ac:dyDescent="0.3">
      <c r="G9035" s="15">
        <v>25.083333333333332</v>
      </c>
      <c r="H9035" s="3">
        <v>3.938166666666696E-2</v>
      </c>
    </row>
    <row r="9036" spans="7:8" x14ac:dyDescent="0.3">
      <c r="G9036" s="15">
        <v>25.086111111111112</v>
      </c>
      <c r="H9036" s="3">
        <v>3.9381055555555849E-2</v>
      </c>
    </row>
    <row r="9037" spans="7:8" x14ac:dyDescent="0.3">
      <c r="G9037" s="15">
        <v>25.088888888888889</v>
      </c>
      <c r="H9037" s="3">
        <v>3.9380444444444739E-2</v>
      </c>
    </row>
    <row r="9038" spans="7:8" x14ac:dyDescent="0.3">
      <c r="G9038" s="15">
        <v>25.091666666666665</v>
      </c>
      <c r="H9038" s="3">
        <v>3.9379833333333628E-2</v>
      </c>
    </row>
    <row r="9039" spans="7:8" x14ac:dyDescent="0.3">
      <c r="G9039" s="15">
        <v>25.094444444444445</v>
      </c>
      <c r="H9039" s="3">
        <v>3.9379222222222517E-2</v>
      </c>
    </row>
    <row r="9040" spans="7:8" x14ac:dyDescent="0.3">
      <c r="G9040" s="15">
        <v>25.097222222222221</v>
      </c>
      <c r="H9040" s="3">
        <v>3.9378611111111406E-2</v>
      </c>
    </row>
    <row r="9041" spans="7:8" x14ac:dyDescent="0.3">
      <c r="G9041" s="15">
        <v>25.1</v>
      </c>
      <c r="H9041" s="3">
        <v>3.9378000000000295E-2</v>
      </c>
    </row>
    <row r="9042" spans="7:8" x14ac:dyDescent="0.3">
      <c r="G9042" s="15">
        <v>25.102777777777778</v>
      </c>
      <c r="H9042" s="3">
        <v>3.9377388888889184E-2</v>
      </c>
    </row>
    <row r="9043" spans="7:8" x14ac:dyDescent="0.3">
      <c r="G9043" s="15">
        <v>25.105555555555554</v>
      </c>
      <c r="H9043" s="3">
        <v>3.9376777777778073E-2</v>
      </c>
    </row>
    <row r="9044" spans="7:8" x14ac:dyDescent="0.3">
      <c r="G9044" s="15">
        <v>25.108333333333334</v>
      </c>
      <c r="H9044" s="3">
        <v>3.9376166666666962E-2</v>
      </c>
    </row>
    <row r="9045" spans="7:8" x14ac:dyDescent="0.3">
      <c r="G9045" s="15">
        <v>25.111111111111111</v>
      </c>
      <c r="H9045" s="3">
        <v>3.9375555555555851E-2</v>
      </c>
    </row>
    <row r="9046" spans="7:8" x14ac:dyDescent="0.3">
      <c r="G9046" s="15">
        <v>25.113888888888887</v>
      </c>
      <c r="H9046" s="3">
        <v>3.937494444444474E-2</v>
      </c>
    </row>
    <row r="9047" spans="7:8" x14ac:dyDescent="0.3">
      <c r="G9047" s="15">
        <v>25.116666666666667</v>
      </c>
      <c r="H9047" s="3">
        <v>3.9374333333333629E-2</v>
      </c>
    </row>
    <row r="9048" spans="7:8" x14ac:dyDescent="0.3">
      <c r="G9048" s="15">
        <v>25.119444444444444</v>
      </c>
      <c r="H9048" s="3">
        <v>3.9373722222222518E-2</v>
      </c>
    </row>
    <row r="9049" spans="7:8" x14ac:dyDescent="0.3">
      <c r="G9049" s="15">
        <v>25.122222222222224</v>
      </c>
      <c r="H9049" s="3">
        <v>3.9373111111111407E-2</v>
      </c>
    </row>
    <row r="9050" spans="7:8" x14ac:dyDescent="0.3">
      <c r="G9050" s="15">
        <v>25.125</v>
      </c>
      <c r="H9050" s="3">
        <v>3.9372500000000296E-2</v>
      </c>
    </row>
    <row r="9051" spans="7:8" x14ac:dyDescent="0.3">
      <c r="G9051" s="15">
        <v>25.127777777777776</v>
      </c>
      <c r="H9051" s="3">
        <v>3.9371888888889185E-2</v>
      </c>
    </row>
    <row r="9052" spans="7:8" x14ac:dyDescent="0.3">
      <c r="G9052" s="15">
        <v>25.130555555555556</v>
      </c>
      <c r="H9052" s="3">
        <v>3.9371277777778074E-2</v>
      </c>
    </row>
    <row r="9053" spans="7:8" x14ac:dyDescent="0.3">
      <c r="G9053" s="15">
        <v>25.133333333333333</v>
      </c>
      <c r="H9053" s="3">
        <v>3.9370666666666963E-2</v>
      </c>
    </row>
    <row r="9054" spans="7:8" x14ac:dyDescent="0.3">
      <c r="G9054" s="15">
        <v>25.136111111111113</v>
      </c>
      <c r="H9054" s="3">
        <v>3.9370055555555852E-2</v>
      </c>
    </row>
    <row r="9055" spans="7:8" x14ac:dyDescent="0.3">
      <c r="G9055" s="15">
        <v>25.138888888888889</v>
      </c>
      <c r="H9055" s="3">
        <v>3.9369444444444741E-2</v>
      </c>
    </row>
    <row r="9056" spans="7:8" x14ac:dyDescent="0.3">
      <c r="G9056" s="15">
        <v>25.141666666666666</v>
      </c>
      <c r="H9056" s="3">
        <v>3.936883333333363E-2</v>
      </c>
    </row>
    <row r="9057" spans="7:8" x14ac:dyDescent="0.3">
      <c r="G9057" s="15">
        <v>25.144444444444446</v>
      </c>
      <c r="H9057" s="3">
        <v>3.9368222222222519E-2</v>
      </c>
    </row>
    <row r="9058" spans="7:8" x14ac:dyDescent="0.3">
      <c r="G9058" s="15">
        <v>25.147222222222222</v>
      </c>
      <c r="H9058" s="3">
        <v>3.9367611111111409E-2</v>
      </c>
    </row>
    <row r="9059" spans="7:8" x14ac:dyDescent="0.3">
      <c r="G9059" s="15">
        <v>25.15</v>
      </c>
      <c r="H9059" s="3">
        <v>3.9367000000000298E-2</v>
      </c>
    </row>
    <row r="9060" spans="7:8" x14ac:dyDescent="0.3">
      <c r="G9060" s="15">
        <v>25.152777777777779</v>
      </c>
      <c r="H9060" s="3">
        <v>3.9366388888889187E-2</v>
      </c>
    </row>
    <row r="9061" spans="7:8" x14ac:dyDescent="0.3">
      <c r="G9061" s="15">
        <v>25.155555555555555</v>
      </c>
      <c r="H9061" s="3">
        <v>3.9365777777778076E-2</v>
      </c>
    </row>
    <row r="9062" spans="7:8" x14ac:dyDescent="0.3">
      <c r="G9062" s="15">
        <v>25.158333333333335</v>
      </c>
      <c r="H9062" s="3">
        <v>3.9365166666666965E-2</v>
      </c>
    </row>
    <row r="9063" spans="7:8" x14ac:dyDescent="0.3">
      <c r="G9063" s="15">
        <v>25.161111111111111</v>
      </c>
      <c r="H9063" s="3">
        <v>3.9364555555555854E-2</v>
      </c>
    </row>
    <row r="9064" spans="7:8" x14ac:dyDescent="0.3">
      <c r="G9064" s="15">
        <v>25.163888888888888</v>
      </c>
      <c r="H9064" s="3">
        <v>3.9363944444444743E-2</v>
      </c>
    </row>
    <row r="9065" spans="7:8" x14ac:dyDescent="0.3">
      <c r="G9065" s="15">
        <v>25.166666666666668</v>
      </c>
      <c r="H9065" s="3">
        <v>3.9363333333333632E-2</v>
      </c>
    </row>
    <row r="9066" spans="7:8" x14ac:dyDescent="0.3">
      <c r="G9066" s="15">
        <v>25.169444444444444</v>
      </c>
      <c r="H9066" s="3">
        <v>3.9362722222222521E-2</v>
      </c>
    </row>
    <row r="9067" spans="7:8" x14ac:dyDescent="0.3">
      <c r="G9067" s="15">
        <v>25.172222222222221</v>
      </c>
      <c r="H9067" s="3">
        <v>3.936211111111141E-2</v>
      </c>
    </row>
    <row r="9068" spans="7:8" x14ac:dyDescent="0.3">
      <c r="G9068" s="15">
        <v>25.175000000000001</v>
      </c>
      <c r="H9068" s="3">
        <v>3.9361500000000299E-2</v>
      </c>
    </row>
    <row r="9069" spans="7:8" x14ac:dyDescent="0.3">
      <c r="G9069" s="15">
        <v>25.177777777777777</v>
      </c>
      <c r="H9069" s="3">
        <v>3.9360888888889188E-2</v>
      </c>
    </row>
    <row r="9070" spans="7:8" x14ac:dyDescent="0.3">
      <c r="G9070" s="15">
        <v>25.180555555555557</v>
      </c>
      <c r="H9070" s="3">
        <v>3.9360277777778077E-2</v>
      </c>
    </row>
    <row r="9071" spans="7:8" x14ac:dyDescent="0.3">
      <c r="G9071" s="15">
        <v>25.183333333333334</v>
      </c>
      <c r="H9071" s="3">
        <v>3.9359666666666966E-2</v>
      </c>
    </row>
    <row r="9072" spans="7:8" x14ac:dyDescent="0.3">
      <c r="G9072" s="15">
        <v>25.18611111111111</v>
      </c>
      <c r="H9072" s="3">
        <v>3.9359055555555855E-2</v>
      </c>
    </row>
    <row r="9073" spans="7:8" x14ac:dyDescent="0.3">
      <c r="G9073" s="15">
        <v>25.18888888888889</v>
      </c>
      <c r="H9073" s="3">
        <v>3.9358444444444744E-2</v>
      </c>
    </row>
    <row r="9074" spans="7:8" x14ac:dyDescent="0.3">
      <c r="G9074" s="15">
        <v>25.191666666666666</v>
      </c>
      <c r="H9074" s="3">
        <v>3.9357833333333633E-2</v>
      </c>
    </row>
    <row r="9075" spans="7:8" x14ac:dyDescent="0.3">
      <c r="G9075" s="15">
        <v>25.194444444444443</v>
      </c>
      <c r="H9075" s="3">
        <v>3.9357222222222522E-2</v>
      </c>
    </row>
    <row r="9076" spans="7:8" x14ac:dyDescent="0.3">
      <c r="G9076" s="15">
        <v>25.197222222222223</v>
      </c>
      <c r="H9076" s="3">
        <v>3.9356611111111411E-2</v>
      </c>
    </row>
    <row r="9077" spans="7:8" x14ac:dyDescent="0.3">
      <c r="G9077" s="15">
        <v>25.2</v>
      </c>
      <c r="H9077" s="3">
        <v>3.93560000000003E-2</v>
      </c>
    </row>
    <row r="9078" spans="7:8" x14ac:dyDescent="0.3">
      <c r="G9078" s="15">
        <v>25.202777777777779</v>
      </c>
      <c r="H9078" s="3">
        <v>3.935538888888919E-2</v>
      </c>
    </row>
    <row r="9079" spans="7:8" x14ac:dyDescent="0.3">
      <c r="G9079" s="15">
        <v>25.205555555555556</v>
      </c>
      <c r="H9079" s="3">
        <v>3.9354777777778079E-2</v>
      </c>
    </row>
    <row r="9080" spans="7:8" x14ac:dyDescent="0.3">
      <c r="G9080" s="15">
        <v>25.208333333333332</v>
      </c>
      <c r="H9080" s="3">
        <v>3.9354166666666968E-2</v>
      </c>
    </row>
    <row r="9081" spans="7:8" x14ac:dyDescent="0.3">
      <c r="G9081" s="15">
        <v>25.211111111111112</v>
      </c>
      <c r="H9081" s="3">
        <v>3.9353555555555857E-2</v>
      </c>
    </row>
    <row r="9082" spans="7:8" x14ac:dyDescent="0.3">
      <c r="G9082" s="15">
        <v>25.213888888888889</v>
      </c>
      <c r="H9082" s="3">
        <v>3.9352944444444746E-2</v>
      </c>
    </row>
    <row r="9083" spans="7:8" x14ac:dyDescent="0.3">
      <c r="G9083" s="15">
        <v>25.216666666666665</v>
      </c>
      <c r="H9083" s="3">
        <v>3.9352333333333635E-2</v>
      </c>
    </row>
    <row r="9084" spans="7:8" x14ac:dyDescent="0.3">
      <c r="G9084" s="15">
        <v>25.219444444444445</v>
      </c>
      <c r="H9084" s="3">
        <v>3.9351722222222524E-2</v>
      </c>
    </row>
    <row r="9085" spans="7:8" x14ac:dyDescent="0.3">
      <c r="G9085" s="15">
        <v>25.222222222222221</v>
      </c>
      <c r="H9085" s="3">
        <v>3.9351111111111413E-2</v>
      </c>
    </row>
    <row r="9086" spans="7:8" x14ac:dyDescent="0.3">
      <c r="G9086" s="15">
        <v>25.225000000000001</v>
      </c>
      <c r="H9086" s="3">
        <v>3.9350500000000302E-2</v>
      </c>
    </row>
    <row r="9087" spans="7:8" x14ac:dyDescent="0.3">
      <c r="G9087" s="15">
        <v>25.227777777777778</v>
      </c>
      <c r="H9087" s="3">
        <v>3.9349888888889191E-2</v>
      </c>
    </row>
    <row r="9088" spans="7:8" x14ac:dyDescent="0.3">
      <c r="G9088" s="15">
        <v>25.230555555555554</v>
      </c>
      <c r="H9088" s="3">
        <v>3.934927777777808E-2</v>
      </c>
    </row>
    <row r="9089" spans="7:8" x14ac:dyDescent="0.3">
      <c r="G9089" s="15">
        <v>25.233333333333334</v>
      </c>
      <c r="H9089" s="3">
        <v>3.9348666666666969E-2</v>
      </c>
    </row>
    <row r="9090" spans="7:8" x14ac:dyDescent="0.3">
      <c r="G9090" s="15">
        <v>25.236111111111111</v>
      </c>
      <c r="H9090" s="3">
        <v>3.9348055555555858E-2</v>
      </c>
    </row>
    <row r="9091" spans="7:8" x14ac:dyDescent="0.3">
      <c r="G9091" s="15">
        <v>25.238888888888887</v>
      </c>
      <c r="H9091" s="3">
        <v>3.9347444444444747E-2</v>
      </c>
    </row>
    <row r="9092" spans="7:8" x14ac:dyDescent="0.3">
      <c r="G9092" s="15">
        <v>25.241666666666667</v>
      </c>
      <c r="H9092" s="3">
        <v>3.9346833333333636E-2</v>
      </c>
    </row>
    <row r="9093" spans="7:8" x14ac:dyDescent="0.3">
      <c r="G9093" s="15">
        <v>25.244444444444444</v>
      </c>
      <c r="H9093" s="3">
        <v>3.9346222222222525E-2</v>
      </c>
    </row>
    <row r="9094" spans="7:8" x14ac:dyDescent="0.3">
      <c r="G9094" s="15">
        <v>25.247222222222224</v>
      </c>
      <c r="H9094" s="3">
        <v>3.9345611111111414E-2</v>
      </c>
    </row>
    <row r="9095" spans="7:8" x14ac:dyDescent="0.3">
      <c r="G9095" s="15">
        <v>25.25</v>
      </c>
      <c r="H9095" s="3">
        <v>3.9345000000000303E-2</v>
      </c>
    </row>
    <row r="9096" spans="7:8" x14ac:dyDescent="0.3">
      <c r="G9096" s="15">
        <v>25.252777777777776</v>
      </c>
      <c r="H9096" s="3">
        <v>3.9344388888889192E-2</v>
      </c>
    </row>
    <row r="9097" spans="7:8" x14ac:dyDescent="0.3">
      <c r="G9097" s="15">
        <v>25.255555555555556</v>
      </c>
      <c r="H9097" s="3">
        <v>3.9343777777778081E-2</v>
      </c>
    </row>
    <row r="9098" spans="7:8" x14ac:dyDescent="0.3">
      <c r="G9098" s="15">
        <v>25.258333333333333</v>
      </c>
      <c r="H9098" s="3">
        <v>3.934316666666697E-2</v>
      </c>
    </row>
    <row r="9099" spans="7:8" x14ac:dyDescent="0.3">
      <c r="G9099" s="15">
        <v>25.261111111111113</v>
      </c>
      <c r="H9099" s="3">
        <v>3.934255555555586E-2</v>
      </c>
    </row>
    <row r="9100" spans="7:8" x14ac:dyDescent="0.3">
      <c r="G9100" s="15">
        <v>25.263888888888889</v>
      </c>
      <c r="H9100" s="3">
        <v>3.9341944444444749E-2</v>
      </c>
    </row>
    <row r="9101" spans="7:8" x14ac:dyDescent="0.3">
      <c r="G9101" s="15">
        <v>25.266666666666666</v>
      </c>
      <c r="H9101" s="3">
        <v>3.9341333333333638E-2</v>
      </c>
    </row>
    <row r="9102" spans="7:8" x14ac:dyDescent="0.3">
      <c r="G9102" s="15">
        <v>25.269444444444446</v>
      </c>
      <c r="H9102" s="3">
        <v>3.9340722222222527E-2</v>
      </c>
    </row>
    <row r="9103" spans="7:8" x14ac:dyDescent="0.3">
      <c r="G9103" s="15">
        <v>25.272222222222222</v>
      </c>
      <c r="H9103" s="3">
        <v>3.9340111111111416E-2</v>
      </c>
    </row>
    <row r="9104" spans="7:8" x14ac:dyDescent="0.3">
      <c r="G9104" s="15">
        <v>25.274999999999999</v>
      </c>
      <c r="H9104" s="3">
        <v>3.9339500000000305E-2</v>
      </c>
    </row>
    <row r="9105" spans="7:8" x14ac:dyDescent="0.3">
      <c r="G9105" s="15">
        <v>25.277777777777779</v>
      </c>
      <c r="H9105" s="3">
        <v>3.9338888888889194E-2</v>
      </c>
    </row>
    <row r="9106" spans="7:8" x14ac:dyDescent="0.3">
      <c r="G9106" s="15">
        <v>25.280555555555555</v>
      </c>
      <c r="H9106" s="3">
        <v>3.9338277777778083E-2</v>
      </c>
    </row>
    <row r="9107" spans="7:8" x14ac:dyDescent="0.3">
      <c r="G9107" s="15">
        <v>25.283333333333335</v>
      </c>
      <c r="H9107" s="3">
        <v>3.9337666666666972E-2</v>
      </c>
    </row>
    <row r="9108" spans="7:8" x14ac:dyDescent="0.3">
      <c r="G9108" s="15">
        <v>25.286111111111111</v>
      </c>
      <c r="H9108" s="3">
        <v>3.9337055555555861E-2</v>
      </c>
    </row>
    <row r="9109" spans="7:8" x14ac:dyDescent="0.3">
      <c r="G9109" s="15">
        <v>25.288888888888888</v>
      </c>
      <c r="H9109" s="3">
        <v>3.933644444444475E-2</v>
      </c>
    </row>
    <row r="9110" spans="7:8" x14ac:dyDescent="0.3">
      <c r="G9110" s="15">
        <v>25.291666666666668</v>
      </c>
      <c r="H9110" s="3">
        <v>3.9335833333333639E-2</v>
      </c>
    </row>
    <row r="9111" spans="7:8" x14ac:dyDescent="0.3">
      <c r="G9111" s="15">
        <v>25.294444444444444</v>
      </c>
      <c r="H9111" s="3">
        <v>3.9335222222222528E-2</v>
      </c>
    </row>
    <row r="9112" spans="7:8" x14ac:dyDescent="0.3">
      <c r="G9112" s="15">
        <v>25.297222222222221</v>
      </c>
      <c r="H9112" s="3">
        <v>3.9334611111111417E-2</v>
      </c>
    </row>
    <row r="9113" spans="7:8" x14ac:dyDescent="0.3">
      <c r="G9113" s="15">
        <v>25.3</v>
      </c>
      <c r="H9113" s="3">
        <v>3.9334000000000306E-2</v>
      </c>
    </row>
    <row r="9114" spans="7:8" x14ac:dyDescent="0.3">
      <c r="G9114" s="15">
        <v>25.302777777777777</v>
      </c>
      <c r="H9114" s="3">
        <v>3.9333388888889195E-2</v>
      </c>
    </row>
    <row r="9115" spans="7:8" x14ac:dyDescent="0.3">
      <c r="G9115" s="15">
        <v>25.305555555555557</v>
      </c>
      <c r="H9115" s="3">
        <v>3.9332777777778084E-2</v>
      </c>
    </row>
    <row r="9116" spans="7:8" x14ac:dyDescent="0.3">
      <c r="G9116" s="15">
        <v>25.308333333333334</v>
      </c>
      <c r="H9116" s="3">
        <v>3.9332166666666973E-2</v>
      </c>
    </row>
    <row r="9117" spans="7:8" x14ac:dyDescent="0.3">
      <c r="G9117" s="15">
        <v>25.31111111111111</v>
      </c>
      <c r="H9117" s="3">
        <v>3.9331555555555862E-2</v>
      </c>
    </row>
    <row r="9118" spans="7:8" x14ac:dyDescent="0.3">
      <c r="G9118" s="15">
        <v>25.31388888888889</v>
      </c>
      <c r="H9118" s="3">
        <v>3.9330944444444751E-2</v>
      </c>
    </row>
    <row r="9119" spans="7:8" x14ac:dyDescent="0.3">
      <c r="G9119" s="15">
        <v>25.316666666666666</v>
      </c>
      <c r="H9119" s="3">
        <v>3.9330333333333641E-2</v>
      </c>
    </row>
    <row r="9120" spans="7:8" x14ac:dyDescent="0.3">
      <c r="G9120" s="15">
        <v>25.319444444444443</v>
      </c>
      <c r="H9120" s="3">
        <v>3.932972222222253E-2</v>
      </c>
    </row>
    <row r="9121" spans="7:8" x14ac:dyDescent="0.3">
      <c r="G9121" s="15">
        <v>25.322222222222223</v>
      </c>
      <c r="H9121" s="3">
        <v>3.9329111111111419E-2</v>
      </c>
    </row>
    <row r="9122" spans="7:8" x14ac:dyDescent="0.3">
      <c r="G9122" s="15">
        <v>25.324999999999999</v>
      </c>
      <c r="H9122" s="3">
        <v>3.9328500000000308E-2</v>
      </c>
    </row>
    <row r="9123" spans="7:8" x14ac:dyDescent="0.3">
      <c r="G9123" s="15">
        <v>25.327777777777779</v>
      </c>
      <c r="H9123" s="3">
        <v>3.9327888888889197E-2</v>
      </c>
    </row>
    <row r="9124" spans="7:8" x14ac:dyDescent="0.3">
      <c r="G9124" s="15">
        <v>25.330555555555556</v>
      </c>
      <c r="H9124" s="3">
        <v>3.9327277777778086E-2</v>
      </c>
    </row>
    <row r="9125" spans="7:8" x14ac:dyDescent="0.3">
      <c r="G9125" s="15">
        <v>25.333333333333332</v>
      </c>
      <c r="H9125" s="3">
        <v>3.9326666666666975E-2</v>
      </c>
    </row>
    <row r="9126" spans="7:8" x14ac:dyDescent="0.3">
      <c r="G9126" s="15">
        <v>25.336111111111112</v>
      </c>
      <c r="H9126" s="3">
        <v>3.9326055555555864E-2</v>
      </c>
    </row>
    <row r="9127" spans="7:8" x14ac:dyDescent="0.3">
      <c r="G9127" s="15">
        <v>25.338888888888889</v>
      </c>
      <c r="H9127" s="3">
        <v>3.9325444444444753E-2</v>
      </c>
    </row>
    <row r="9128" spans="7:8" x14ac:dyDescent="0.3">
      <c r="G9128" s="15">
        <v>25.341666666666665</v>
      </c>
      <c r="H9128" s="3">
        <v>3.9324833333333642E-2</v>
      </c>
    </row>
    <row r="9129" spans="7:8" x14ac:dyDescent="0.3">
      <c r="G9129" s="15">
        <v>25.344444444444445</v>
      </c>
      <c r="H9129" s="3">
        <v>3.9324222222222531E-2</v>
      </c>
    </row>
    <row r="9130" spans="7:8" x14ac:dyDescent="0.3">
      <c r="G9130" s="15">
        <v>25.347222222222221</v>
      </c>
      <c r="H9130" s="3">
        <v>3.932361111111142E-2</v>
      </c>
    </row>
    <row r="9131" spans="7:8" x14ac:dyDescent="0.3">
      <c r="G9131" s="15">
        <v>25.35</v>
      </c>
      <c r="H9131" s="3">
        <v>3.9323000000000309E-2</v>
      </c>
    </row>
    <row r="9132" spans="7:8" x14ac:dyDescent="0.3">
      <c r="G9132" s="15">
        <v>25.352777777777778</v>
      </c>
      <c r="H9132" s="3">
        <v>3.9322388888889198E-2</v>
      </c>
    </row>
    <row r="9133" spans="7:8" x14ac:dyDescent="0.3">
      <c r="G9133" s="15">
        <v>25.355555555555554</v>
      </c>
      <c r="H9133" s="3">
        <v>3.9321777777778087E-2</v>
      </c>
    </row>
    <row r="9134" spans="7:8" x14ac:dyDescent="0.3">
      <c r="G9134" s="15">
        <v>25.358333333333334</v>
      </c>
      <c r="H9134" s="3">
        <v>3.9321166666666976E-2</v>
      </c>
    </row>
    <row r="9135" spans="7:8" x14ac:dyDescent="0.3">
      <c r="G9135" s="15">
        <v>25.361111111111111</v>
      </c>
      <c r="H9135" s="3">
        <v>3.9320555555555865E-2</v>
      </c>
    </row>
    <row r="9136" spans="7:8" x14ac:dyDescent="0.3">
      <c r="G9136" s="15">
        <v>25.363888888888887</v>
      </c>
      <c r="H9136" s="3">
        <v>3.9319944444444754E-2</v>
      </c>
    </row>
    <row r="9137" spans="7:8" x14ac:dyDescent="0.3">
      <c r="G9137" s="15">
        <v>25.366666666666667</v>
      </c>
      <c r="H9137" s="3">
        <v>3.9319333333333643E-2</v>
      </c>
    </row>
    <row r="9138" spans="7:8" x14ac:dyDescent="0.3">
      <c r="G9138" s="15">
        <v>25.369444444444444</v>
      </c>
      <c r="H9138" s="3">
        <v>3.9318722222222532E-2</v>
      </c>
    </row>
    <row r="9139" spans="7:8" x14ac:dyDescent="0.3">
      <c r="G9139" s="15">
        <v>25.372222222222224</v>
      </c>
      <c r="H9139" s="3">
        <v>3.9318111111111421E-2</v>
      </c>
    </row>
    <row r="9140" spans="7:8" x14ac:dyDescent="0.3">
      <c r="G9140" s="15">
        <v>25.375</v>
      </c>
      <c r="H9140" s="3">
        <v>3.9317500000000311E-2</v>
      </c>
    </row>
    <row r="9141" spans="7:8" x14ac:dyDescent="0.3">
      <c r="G9141" s="15">
        <v>25.377777777777776</v>
      </c>
      <c r="H9141" s="3">
        <v>3.93168888888892E-2</v>
      </c>
    </row>
    <row r="9142" spans="7:8" x14ac:dyDescent="0.3">
      <c r="G9142" s="15">
        <v>25.380555555555556</v>
      </c>
      <c r="H9142" s="3">
        <v>3.9316277777778089E-2</v>
      </c>
    </row>
    <row r="9143" spans="7:8" x14ac:dyDescent="0.3">
      <c r="G9143" s="15">
        <v>25.383333333333333</v>
      </c>
      <c r="H9143" s="3">
        <v>3.9315666666666978E-2</v>
      </c>
    </row>
    <row r="9144" spans="7:8" x14ac:dyDescent="0.3">
      <c r="G9144" s="15">
        <v>25.386111111111113</v>
      </c>
      <c r="H9144" s="3">
        <v>3.9315055555555867E-2</v>
      </c>
    </row>
    <row r="9145" spans="7:8" x14ac:dyDescent="0.3">
      <c r="G9145" s="15">
        <v>25.388888888888889</v>
      </c>
      <c r="H9145" s="3">
        <v>3.9314444444444756E-2</v>
      </c>
    </row>
    <row r="9146" spans="7:8" x14ac:dyDescent="0.3">
      <c r="G9146" s="15">
        <v>25.391666666666666</v>
      </c>
      <c r="H9146" s="3">
        <v>3.9313833333333645E-2</v>
      </c>
    </row>
    <row r="9147" spans="7:8" x14ac:dyDescent="0.3">
      <c r="G9147" s="15">
        <v>25.394444444444446</v>
      </c>
      <c r="H9147" s="3">
        <v>3.9313222222222534E-2</v>
      </c>
    </row>
    <row r="9148" spans="7:8" x14ac:dyDescent="0.3">
      <c r="G9148" s="15">
        <v>25.397222222222222</v>
      </c>
      <c r="H9148" s="3">
        <v>3.9312611111111423E-2</v>
      </c>
    </row>
    <row r="9149" spans="7:8" x14ac:dyDescent="0.3">
      <c r="G9149" s="15">
        <v>25.4</v>
      </c>
      <c r="H9149" s="3">
        <v>3.9312000000000312E-2</v>
      </c>
    </row>
    <row r="9150" spans="7:8" x14ac:dyDescent="0.3">
      <c r="G9150" s="15">
        <v>25.402777777777779</v>
      </c>
      <c r="H9150" s="3">
        <v>3.9311388888889201E-2</v>
      </c>
    </row>
    <row r="9151" spans="7:8" x14ac:dyDescent="0.3">
      <c r="G9151" s="15">
        <v>25.405555555555555</v>
      </c>
      <c r="H9151" s="3">
        <v>3.931077777777809E-2</v>
      </c>
    </row>
    <row r="9152" spans="7:8" x14ac:dyDescent="0.3">
      <c r="G9152" s="15">
        <v>25.408333333333335</v>
      </c>
      <c r="H9152" s="3">
        <v>3.9310166666666979E-2</v>
      </c>
    </row>
    <row r="9153" spans="7:8" x14ac:dyDescent="0.3">
      <c r="G9153" s="15">
        <v>25.411111111111111</v>
      </c>
      <c r="H9153" s="3">
        <v>3.9309555555555868E-2</v>
      </c>
    </row>
    <row r="9154" spans="7:8" x14ac:dyDescent="0.3">
      <c r="G9154" s="15">
        <v>25.413888888888888</v>
      </c>
      <c r="H9154" s="3">
        <v>3.9308944444444757E-2</v>
      </c>
    </row>
    <row r="9155" spans="7:8" x14ac:dyDescent="0.3">
      <c r="G9155" s="15">
        <v>25.416666666666668</v>
      </c>
      <c r="H9155" s="3">
        <v>3.9308333333333646E-2</v>
      </c>
    </row>
    <row r="9156" spans="7:8" x14ac:dyDescent="0.3">
      <c r="G9156" s="15">
        <v>25.419444444444444</v>
      </c>
      <c r="H9156" s="3">
        <v>3.9307722222222535E-2</v>
      </c>
    </row>
    <row r="9157" spans="7:8" x14ac:dyDescent="0.3">
      <c r="G9157" s="15">
        <v>25.422222222222221</v>
      </c>
      <c r="H9157" s="3">
        <v>3.9307111111111424E-2</v>
      </c>
    </row>
    <row r="9158" spans="7:8" x14ac:dyDescent="0.3">
      <c r="G9158" s="15">
        <v>25.425000000000001</v>
      </c>
      <c r="H9158" s="3">
        <v>3.9306500000000313E-2</v>
      </c>
    </row>
    <row r="9159" spans="7:8" x14ac:dyDescent="0.3">
      <c r="G9159" s="15">
        <v>25.427777777777777</v>
      </c>
      <c r="H9159" s="3">
        <v>3.9305888888889202E-2</v>
      </c>
    </row>
    <row r="9160" spans="7:8" x14ac:dyDescent="0.3">
      <c r="G9160" s="15">
        <v>25.430555555555557</v>
      </c>
      <c r="H9160" s="3">
        <v>3.9305277777778092E-2</v>
      </c>
    </row>
    <row r="9161" spans="7:8" x14ac:dyDescent="0.3">
      <c r="G9161" s="15">
        <v>25.433333333333334</v>
      </c>
      <c r="H9161" s="3">
        <v>3.9304666666666981E-2</v>
      </c>
    </row>
    <row r="9162" spans="7:8" x14ac:dyDescent="0.3">
      <c r="G9162" s="15">
        <v>25.43611111111111</v>
      </c>
      <c r="H9162" s="3">
        <v>3.930405555555587E-2</v>
      </c>
    </row>
    <row r="9163" spans="7:8" x14ac:dyDescent="0.3">
      <c r="G9163" s="15">
        <v>25.43888888888889</v>
      </c>
      <c r="H9163" s="3">
        <v>3.9303444444444759E-2</v>
      </c>
    </row>
    <row r="9164" spans="7:8" x14ac:dyDescent="0.3">
      <c r="G9164" s="15">
        <v>25.441666666666666</v>
      </c>
      <c r="H9164" s="3">
        <v>3.9302833333333648E-2</v>
      </c>
    </row>
    <row r="9165" spans="7:8" x14ac:dyDescent="0.3">
      <c r="G9165" s="15">
        <v>25.444444444444443</v>
      </c>
      <c r="H9165" s="3">
        <v>3.9302222222222537E-2</v>
      </c>
    </row>
    <row r="9166" spans="7:8" x14ac:dyDescent="0.3">
      <c r="G9166" s="15">
        <v>25.447222222222223</v>
      </c>
      <c r="H9166" s="3">
        <v>3.9301611111111426E-2</v>
      </c>
    </row>
    <row r="9167" spans="7:8" x14ac:dyDescent="0.3">
      <c r="G9167" s="15">
        <v>25.45</v>
      </c>
      <c r="H9167" s="3">
        <v>3.9301000000000315E-2</v>
      </c>
    </row>
    <row r="9168" spans="7:8" x14ac:dyDescent="0.3">
      <c r="G9168" s="15">
        <v>25.452777777777779</v>
      </c>
      <c r="H9168" s="3">
        <v>3.9300388888889204E-2</v>
      </c>
    </row>
    <row r="9169" spans="7:8" x14ac:dyDescent="0.3">
      <c r="G9169" s="15">
        <v>25.455555555555556</v>
      </c>
      <c r="H9169" s="3">
        <v>3.9299777777778093E-2</v>
      </c>
    </row>
    <row r="9170" spans="7:8" x14ac:dyDescent="0.3">
      <c r="G9170" s="15">
        <v>25.458333333333332</v>
      </c>
      <c r="H9170" s="3">
        <v>3.9299166666666982E-2</v>
      </c>
    </row>
    <row r="9171" spans="7:8" x14ac:dyDescent="0.3">
      <c r="G9171" s="15">
        <v>25.461111111111112</v>
      </c>
      <c r="H9171" s="3">
        <v>3.9298555555555871E-2</v>
      </c>
    </row>
    <row r="9172" spans="7:8" x14ac:dyDescent="0.3">
      <c r="G9172" s="15">
        <v>25.463888888888889</v>
      </c>
      <c r="H9172" s="3">
        <v>3.929794444444476E-2</v>
      </c>
    </row>
    <row r="9173" spans="7:8" x14ac:dyDescent="0.3">
      <c r="G9173" s="15">
        <v>25.466666666666665</v>
      </c>
      <c r="H9173" s="3">
        <v>3.9297333333333649E-2</v>
      </c>
    </row>
    <row r="9174" spans="7:8" x14ac:dyDescent="0.3">
      <c r="G9174" s="15">
        <v>25.469444444444445</v>
      </c>
      <c r="H9174" s="3">
        <v>3.9296722222222538E-2</v>
      </c>
    </row>
    <row r="9175" spans="7:8" x14ac:dyDescent="0.3">
      <c r="G9175" s="15">
        <v>25.472222222222221</v>
      </c>
      <c r="H9175" s="3">
        <v>3.9296111111111427E-2</v>
      </c>
    </row>
    <row r="9176" spans="7:8" x14ac:dyDescent="0.3">
      <c r="G9176" s="15">
        <v>25.475000000000001</v>
      </c>
      <c r="H9176" s="3">
        <v>3.9295500000000316E-2</v>
      </c>
    </row>
    <row r="9177" spans="7:8" x14ac:dyDescent="0.3">
      <c r="G9177" s="15">
        <v>25.477777777777778</v>
      </c>
      <c r="H9177" s="3">
        <v>3.9294888888889205E-2</v>
      </c>
    </row>
    <row r="9178" spans="7:8" x14ac:dyDescent="0.3">
      <c r="G9178" s="15">
        <v>25.480555555555554</v>
      </c>
      <c r="H9178" s="3">
        <v>3.9294277777778094E-2</v>
      </c>
    </row>
    <row r="9179" spans="7:8" x14ac:dyDescent="0.3">
      <c r="G9179" s="15">
        <v>25.483333333333334</v>
      </c>
      <c r="H9179" s="3">
        <v>3.9293666666666983E-2</v>
      </c>
    </row>
    <row r="9180" spans="7:8" x14ac:dyDescent="0.3">
      <c r="G9180" s="15">
        <v>25.486111111111111</v>
      </c>
      <c r="H9180" s="3">
        <v>3.9293055555555872E-2</v>
      </c>
    </row>
    <row r="9181" spans="7:8" x14ac:dyDescent="0.3">
      <c r="G9181" s="15">
        <v>25.488888888888887</v>
      </c>
      <c r="H9181" s="3">
        <v>3.9292444444444762E-2</v>
      </c>
    </row>
    <row r="9182" spans="7:8" x14ac:dyDescent="0.3">
      <c r="G9182" s="15">
        <v>25.491666666666667</v>
      </c>
      <c r="H9182" s="3">
        <v>3.9291833333333651E-2</v>
      </c>
    </row>
    <row r="9183" spans="7:8" x14ac:dyDescent="0.3">
      <c r="G9183" s="15">
        <v>25.494444444444444</v>
      </c>
      <c r="H9183" s="3">
        <v>3.929122222222254E-2</v>
      </c>
    </row>
    <row r="9184" spans="7:8" x14ac:dyDescent="0.3">
      <c r="G9184" s="15">
        <v>25.497222222222224</v>
      </c>
      <c r="H9184" s="3">
        <v>3.9290611111111429E-2</v>
      </c>
    </row>
    <row r="9185" spans="7:8" x14ac:dyDescent="0.3">
      <c r="G9185" s="15">
        <v>25.5</v>
      </c>
      <c r="H9185" s="3">
        <v>3.9290000000000318E-2</v>
      </c>
    </row>
    <row r="9186" spans="7:8" x14ac:dyDescent="0.3">
      <c r="G9186" s="15">
        <v>25.502777777777776</v>
      </c>
      <c r="H9186" s="3">
        <v>3.9289388888889207E-2</v>
      </c>
    </row>
    <row r="9187" spans="7:8" x14ac:dyDescent="0.3">
      <c r="G9187" s="15">
        <v>25.505555555555556</v>
      </c>
      <c r="H9187" s="3">
        <v>3.9288777777778096E-2</v>
      </c>
    </row>
    <row r="9188" spans="7:8" x14ac:dyDescent="0.3">
      <c r="G9188" s="15">
        <v>25.508333333333333</v>
      </c>
      <c r="H9188" s="3">
        <v>3.9288166666666985E-2</v>
      </c>
    </row>
    <row r="9189" spans="7:8" x14ac:dyDescent="0.3">
      <c r="G9189" s="15">
        <v>25.511111111111113</v>
      </c>
      <c r="H9189" s="3">
        <v>3.9287555555555874E-2</v>
      </c>
    </row>
    <row r="9190" spans="7:8" x14ac:dyDescent="0.3">
      <c r="G9190" s="15">
        <v>25.513888888888889</v>
      </c>
      <c r="H9190" s="3">
        <v>3.9286944444444763E-2</v>
      </c>
    </row>
    <row r="9191" spans="7:8" x14ac:dyDescent="0.3">
      <c r="G9191" s="15">
        <v>25.516666666666666</v>
      </c>
      <c r="H9191" s="3">
        <v>3.9286333333333652E-2</v>
      </c>
    </row>
    <row r="9192" spans="7:8" x14ac:dyDescent="0.3">
      <c r="G9192" s="15">
        <v>25.519444444444446</v>
      </c>
      <c r="H9192" s="3">
        <v>3.9285722222222541E-2</v>
      </c>
    </row>
    <row r="9193" spans="7:8" x14ac:dyDescent="0.3">
      <c r="G9193" s="15">
        <v>25.522222222222222</v>
      </c>
      <c r="H9193" s="3">
        <v>3.928511111111143E-2</v>
      </c>
    </row>
    <row r="9194" spans="7:8" x14ac:dyDescent="0.3">
      <c r="G9194" s="15">
        <v>25.524999999999999</v>
      </c>
      <c r="H9194" s="3">
        <v>3.9284500000000319E-2</v>
      </c>
    </row>
    <row r="9195" spans="7:8" x14ac:dyDescent="0.3">
      <c r="G9195" s="15">
        <v>25.527777777777779</v>
      </c>
      <c r="H9195" s="3">
        <v>3.9283888888889208E-2</v>
      </c>
    </row>
    <row r="9196" spans="7:8" x14ac:dyDescent="0.3">
      <c r="G9196" s="15">
        <v>25.530555555555555</v>
      </c>
      <c r="H9196" s="3">
        <v>3.9283277777778097E-2</v>
      </c>
    </row>
    <row r="9197" spans="7:8" x14ac:dyDescent="0.3">
      <c r="G9197" s="15">
        <v>25.533333333333335</v>
      </c>
      <c r="H9197" s="3">
        <v>3.9282666666666986E-2</v>
      </c>
    </row>
    <row r="9198" spans="7:8" x14ac:dyDescent="0.3">
      <c r="G9198" s="15">
        <v>25.536111111111111</v>
      </c>
      <c r="H9198" s="3">
        <v>3.9282055555555875E-2</v>
      </c>
    </row>
    <row r="9199" spans="7:8" x14ac:dyDescent="0.3">
      <c r="G9199" s="15">
        <v>25.538888888888888</v>
      </c>
      <c r="H9199" s="3">
        <v>3.9281444444444764E-2</v>
      </c>
    </row>
    <row r="9200" spans="7:8" x14ac:dyDescent="0.3">
      <c r="G9200" s="15">
        <v>25.541666666666668</v>
      </c>
      <c r="H9200" s="3">
        <v>3.9280833333333653E-2</v>
      </c>
    </row>
    <row r="9201" spans="7:8" x14ac:dyDescent="0.3">
      <c r="G9201" s="15">
        <v>25.544444444444444</v>
      </c>
      <c r="H9201" s="3">
        <v>3.9280222222222543E-2</v>
      </c>
    </row>
    <row r="9202" spans="7:8" x14ac:dyDescent="0.3">
      <c r="G9202" s="15">
        <v>25.547222222222221</v>
      </c>
      <c r="H9202" s="3">
        <v>3.9279611111111432E-2</v>
      </c>
    </row>
    <row r="9203" spans="7:8" x14ac:dyDescent="0.3">
      <c r="G9203" s="15">
        <v>25.55</v>
      </c>
      <c r="H9203" s="3">
        <v>3.9279000000000321E-2</v>
      </c>
    </row>
    <row r="9204" spans="7:8" x14ac:dyDescent="0.3">
      <c r="G9204" s="15">
        <v>25.552777777777777</v>
      </c>
      <c r="H9204" s="3">
        <v>3.927838888888921E-2</v>
      </c>
    </row>
    <row r="9205" spans="7:8" x14ac:dyDescent="0.3">
      <c r="G9205" s="15">
        <v>25.555555555555557</v>
      </c>
      <c r="H9205" s="3">
        <v>3.9277777777778099E-2</v>
      </c>
    </row>
    <row r="9206" spans="7:8" x14ac:dyDescent="0.3">
      <c r="G9206" s="15">
        <v>25.558333333333334</v>
      </c>
      <c r="H9206" s="3">
        <v>3.9277166666666988E-2</v>
      </c>
    </row>
    <row r="9207" spans="7:8" x14ac:dyDescent="0.3">
      <c r="G9207" s="15">
        <v>25.56111111111111</v>
      </c>
      <c r="H9207" s="3">
        <v>3.9276555555555877E-2</v>
      </c>
    </row>
    <row r="9208" spans="7:8" x14ac:dyDescent="0.3">
      <c r="G9208" s="15">
        <v>25.56388888888889</v>
      </c>
      <c r="H9208" s="3">
        <v>3.9275944444444766E-2</v>
      </c>
    </row>
    <row r="9209" spans="7:8" x14ac:dyDescent="0.3">
      <c r="G9209" s="15">
        <v>25.566666666666666</v>
      </c>
      <c r="H9209" s="3">
        <v>3.9275333333333655E-2</v>
      </c>
    </row>
    <row r="9210" spans="7:8" x14ac:dyDescent="0.3">
      <c r="G9210" s="15">
        <v>25.569444444444443</v>
      </c>
      <c r="H9210" s="3">
        <v>3.9274722222222544E-2</v>
      </c>
    </row>
    <row r="9211" spans="7:8" x14ac:dyDescent="0.3">
      <c r="G9211" s="15">
        <v>25.572222222222223</v>
      </c>
      <c r="H9211" s="3">
        <v>3.9274111111111433E-2</v>
      </c>
    </row>
    <row r="9212" spans="7:8" x14ac:dyDescent="0.3">
      <c r="G9212" s="15">
        <v>25.574999999999999</v>
      </c>
      <c r="H9212" s="3">
        <v>3.9273500000000322E-2</v>
      </c>
    </row>
    <row r="9213" spans="7:8" x14ac:dyDescent="0.3">
      <c r="G9213" s="15">
        <v>25.577777777777779</v>
      </c>
      <c r="H9213" s="3">
        <v>3.9272888888889211E-2</v>
      </c>
    </row>
    <row r="9214" spans="7:8" x14ac:dyDescent="0.3">
      <c r="G9214" s="15">
        <v>25.580555555555556</v>
      </c>
      <c r="H9214" s="3">
        <v>3.92722777777781E-2</v>
      </c>
    </row>
    <row r="9215" spans="7:8" x14ac:dyDescent="0.3">
      <c r="G9215" s="15">
        <v>25.583333333333332</v>
      </c>
      <c r="H9215" s="3">
        <v>3.9271666666666989E-2</v>
      </c>
    </row>
    <row r="9216" spans="7:8" x14ac:dyDescent="0.3">
      <c r="G9216" s="15">
        <v>25.586111111111112</v>
      </c>
      <c r="H9216" s="3">
        <v>3.9271055555555878E-2</v>
      </c>
    </row>
    <row r="9217" spans="7:8" x14ac:dyDescent="0.3">
      <c r="G9217" s="15">
        <v>25.588888888888889</v>
      </c>
      <c r="H9217" s="3">
        <v>3.9270444444444767E-2</v>
      </c>
    </row>
    <row r="9218" spans="7:8" x14ac:dyDescent="0.3">
      <c r="G9218" s="15">
        <v>25.591666666666665</v>
      </c>
      <c r="H9218" s="3">
        <v>3.9269833333333656E-2</v>
      </c>
    </row>
    <row r="9219" spans="7:8" x14ac:dyDescent="0.3">
      <c r="G9219" s="15">
        <v>25.594444444444445</v>
      </c>
      <c r="H9219" s="3">
        <v>3.9269222222222545E-2</v>
      </c>
    </row>
    <row r="9220" spans="7:8" x14ac:dyDescent="0.3">
      <c r="G9220" s="15">
        <v>25.597222222222221</v>
      </c>
      <c r="H9220" s="3">
        <v>3.9268611111111434E-2</v>
      </c>
    </row>
    <row r="9221" spans="7:8" x14ac:dyDescent="0.3">
      <c r="G9221" s="15">
        <v>25.6</v>
      </c>
      <c r="H9221" s="3">
        <v>3.9268000000000323E-2</v>
      </c>
    </row>
    <row r="9222" spans="7:8" x14ac:dyDescent="0.3">
      <c r="G9222" s="15">
        <v>25.602777777777778</v>
      </c>
      <c r="H9222" s="3">
        <v>3.9267388888889213E-2</v>
      </c>
    </row>
    <row r="9223" spans="7:8" x14ac:dyDescent="0.3">
      <c r="G9223" s="15">
        <v>25.605555555555554</v>
      </c>
      <c r="H9223" s="3">
        <v>3.9266777777778102E-2</v>
      </c>
    </row>
    <row r="9224" spans="7:8" x14ac:dyDescent="0.3">
      <c r="G9224" s="15">
        <v>25.608333333333334</v>
      </c>
      <c r="H9224" s="3">
        <v>3.9266166666666991E-2</v>
      </c>
    </row>
    <row r="9225" spans="7:8" x14ac:dyDescent="0.3">
      <c r="G9225" s="15">
        <v>25.611111111111111</v>
      </c>
      <c r="H9225" s="3">
        <v>3.926555555555588E-2</v>
      </c>
    </row>
    <row r="9226" spans="7:8" x14ac:dyDescent="0.3">
      <c r="G9226" s="15">
        <v>25.613888888888887</v>
      </c>
      <c r="H9226" s="3">
        <v>3.9264944444444769E-2</v>
      </c>
    </row>
    <row r="9227" spans="7:8" x14ac:dyDescent="0.3">
      <c r="G9227" s="15">
        <v>25.616666666666667</v>
      </c>
      <c r="H9227" s="3">
        <v>3.9264333333333658E-2</v>
      </c>
    </row>
    <row r="9228" spans="7:8" x14ac:dyDescent="0.3">
      <c r="G9228" s="15">
        <v>25.619444444444444</v>
      </c>
      <c r="H9228" s="3">
        <v>3.9263722222222547E-2</v>
      </c>
    </row>
    <row r="9229" spans="7:8" x14ac:dyDescent="0.3">
      <c r="G9229" s="15">
        <v>25.622222222222224</v>
      </c>
      <c r="H9229" s="3">
        <v>3.9263111111111436E-2</v>
      </c>
    </row>
    <row r="9230" spans="7:8" x14ac:dyDescent="0.3">
      <c r="G9230" s="15">
        <v>25.625</v>
      </c>
      <c r="H9230" s="3">
        <v>3.9262500000000325E-2</v>
      </c>
    </row>
    <row r="9231" spans="7:8" x14ac:dyDescent="0.3">
      <c r="G9231" s="15">
        <v>25.627777777777776</v>
      </c>
      <c r="H9231" s="3">
        <v>3.9261888888889214E-2</v>
      </c>
    </row>
    <row r="9232" spans="7:8" x14ac:dyDescent="0.3">
      <c r="G9232" s="15">
        <v>25.630555555555556</v>
      </c>
      <c r="H9232" s="3">
        <v>3.9261277777778103E-2</v>
      </c>
    </row>
    <row r="9233" spans="7:8" x14ac:dyDescent="0.3">
      <c r="G9233" s="15">
        <v>25.633333333333333</v>
      </c>
      <c r="H9233" s="3">
        <v>3.9260666666666992E-2</v>
      </c>
    </row>
    <row r="9234" spans="7:8" x14ac:dyDescent="0.3">
      <c r="G9234" s="15">
        <v>25.636111111111113</v>
      </c>
      <c r="H9234" s="3">
        <v>3.9260055555555881E-2</v>
      </c>
    </row>
    <row r="9235" spans="7:8" x14ac:dyDescent="0.3">
      <c r="G9235" s="15">
        <v>25.638888888888889</v>
      </c>
      <c r="H9235" s="3">
        <v>3.925944444444477E-2</v>
      </c>
    </row>
    <row r="9236" spans="7:8" x14ac:dyDescent="0.3">
      <c r="G9236" s="15">
        <v>25.641666666666666</v>
      </c>
      <c r="H9236" s="3">
        <v>3.9258833333333659E-2</v>
      </c>
    </row>
    <row r="9237" spans="7:8" x14ac:dyDescent="0.3">
      <c r="G9237" s="15">
        <v>25.644444444444446</v>
      </c>
      <c r="H9237" s="3">
        <v>3.9258222222222548E-2</v>
      </c>
    </row>
    <row r="9238" spans="7:8" x14ac:dyDescent="0.3">
      <c r="G9238" s="15">
        <v>25.647222222222222</v>
      </c>
      <c r="H9238" s="3">
        <v>3.9257611111111437E-2</v>
      </c>
    </row>
    <row r="9239" spans="7:8" x14ac:dyDescent="0.3">
      <c r="G9239" s="15">
        <v>25.65</v>
      </c>
      <c r="H9239" s="3">
        <v>3.9257000000000326E-2</v>
      </c>
    </row>
    <row r="9240" spans="7:8" x14ac:dyDescent="0.3">
      <c r="G9240" s="15">
        <v>25.652777777777779</v>
      </c>
      <c r="H9240" s="3">
        <v>3.9256388888889215E-2</v>
      </c>
    </row>
    <row r="9241" spans="7:8" x14ac:dyDescent="0.3">
      <c r="G9241" s="15">
        <v>25.655555555555555</v>
      </c>
      <c r="H9241" s="3">
        <v>3.9255777777778104E-2</v>
      </c>
    </row>
    <row r="9242" spans="7:8" x14ac:dyDescent="0.3">
      <c r="G9242" s="15">
        <v>25.658333333333335</v>
      </c>
      <c r="H9242" s="3">
        <v>3.9255166666666994E-2</v>
      </c>
    </row>
    <row r="9243" spans="7:8" x14ac:dyDescent="0.3">
      <c r="G9243" s="15">
        <v>25.661111111111111</v>
      </c>
      <c r="H9243" s="3">
        <v>3.9254555555555883E-2</v>
      </c>
    </row>
    <row r="9244" spans="7:8" x14ac:dyDescent="0.3">
      <c r="G9244" s="15">
        <v>25.663888888888888</v>
      </c>
      <c r="H9244" s="3">
        <v>3.9253944444444772E-2</v>
      </c>
    </row>
    <row r="9245" spans="7:8" x14ac:dyDescent="0.3">
      <c r="G9245" s="15">
        <v>25.666666666666668</v>
      </c>
      <c r="H9245" s="3">
        <v>3.9253333333333661E-2</v>
      </c>
    </row>
    <row r="9246" spans="7:8" x14ac:dyDescent="0.3">
      <c r="G9246" s="15">
        <v>25.669444444444444</v>
      </c>
      <c r="H9246" s="3">
        <v>3.925272222222255E-2</v>
      </c>
    </row>
    <row r="9247" spans="7:8" x14ac:dyDescent="0.3">
      <c r="G9247" s="15">
        <v>25.672222222222221</v>
      </c>
      <c r="H9247" s="3">
        <v>3.9252111111111439E-2</v>
      </c>
    </row>
    <row r="9248" spans="7:8" x14ac:dyDescent="0.3">
      <c r="G9248" s="15">
        <v>25.675000000000001</v>
      </c>
      <c r="H9248" s="3">
        <v>3.9251500000000328E-2</v>
      </c>
    </row>
    <row r="9249" spans="7:8" x14ac:dyDescent="0.3">
      <c r="G9249" s="15">
        <v>25.677777777777777</v>
      </c>
      <c r="H9249" s="3">
        <v>3.9250888888889217E-2</v>
      </c>
    </row>
    <row r="9250" spans="7:8" x14ac:dyDescent="0.3">
      <c r="G9250" s="15">
        <v>25.680555555555557</v>
      </c>
      <c r="H9250" s="3">
        <v>3.9250277777778106E-2</v>
      </c>
    </row>
    <row r="9251" spans="7:8" x14ac:dyDescent="0.3">
      <c r="G9251" s="15">
        <v>25.683333333333334</v>
      </c>
      <c r="H9251" s="3">
        <v>3.9249666666666995E-2</v>
      </c>
    </row>
    <row r="9252" spans="7:8" x14ac:dyDescent="0.3">
      <c r="G9252" s="15">
        <v>25.68611111111111</v>
      </c>
      <c r="H9252" s="3">
        <v>3.9249055555555884E-2</v>
      </c>
    </row>
    <row r="9253" spans="7:8" x14ac:dyDescent="0.3">
      <c r="G9253" s="15">
        <v>25.68888888888889</v>
      </c>
      <c r="H9253" s="3">
        <v>3.9248444444444773E-2</v>
      </c>
    </row>
    <row r="9254" spans="7:8" x14ac:dyDescent="0.3">
      <c r="G9254" s="15">
        <v>25.691666666666666</v>
      </c>
      <c r="H9254" s="3">
        <v>3.9247833333333662E-2</v>
      </c>
    </row>
    <row r="9255" spans="7:8" x14ac:dyDescent="0.3">
      <c r="G9255" s="15">
        <v>25.694444444444443</v>
      </c>
      <c r="H9255" s="3">
        <v>3.9247222222222551E-2</v>
      </c>
    </row>
    <row r="9256" spans="7:8" x14ac:dyDescent="0.3">
      <c r="G9256" s="15">
        <v>25.697222222222223</v>
      </c>
      <c r="H9256" s="3">
        <v>3.924661111111144E-2</v>
      </c>
    </row>
    <row r="9257" spans="7:8" x14ac:dyDescent="0.3">
      <c r="G9257" s="15">
        <v>25.7</v>
      </c>
      <c r="H9257" s="3">
        <v>3.9246000000000329E-2</v>
      </c>
    </row>
    <row r="9258" spans="7:8" x14ac:dyDescent="0.3">
      <c r="G9258" s="15">
        <v>25.702777777777779</v>
      </c>
      <c r="H9258" s="3">
        <v>3.9245388888889218E-2</v>
      </c>
    </row>
    <row r="9259" spans="7:8" x14ac:dyDescent="0.3">
      <c r="G9259" s="15">
        <v>25.705555555555556</v>
      </c>
      <c r="H9259" s="3">
        <v>3.9244777777778107E-2</v>
      </c>
    </row>
    <row r="9260" spans="7:8" x14ac:dyDescent="0.3">
      <c r="G9260" s="15">
        <v>25.708333333333332</v>
      </c>
      <c r="H9260" s="3">
        <v>3.9244166666666996E-2</v>
      </c>
    </row>
    <row r="9261" spans="7:8" x14ac:dyDescent="0.3">
      <c r="G9261" s="15">
        <v>25.711111111111112</v>
      </c>
      <c r="H9261" s="3">
        <v>3.9243555555555885E-2</v>
      </c>
    </row>
    <row r="9262" spans="7:8" x14ac:dyDescent="0.3">
      <c r="G9262" s="15">
        <v>25.713888888888889</v>
      </c>
      <c r="H9262" s="3">
        <v>3.9242944444444774E-2</v>
      </c>
    </row>
    <row r="9263" spans="7:8" x14ac:dyDescent="0.3">
      <c r="G9263" s="15">
        <v>25.716666666666665</v>
      </c>
      <c r="H9263" s="3">
        <v>3.9242333333333664E-2</v>
      </c>
    </row>
    <row r="9264" spans="7:8" x14ac:dyDescent="0.3">
      <c r="G9264" s="15">
        <v>25.719444444444445</v>
      </c>
      <c r="H9264" s="3">
        <v>3.9241722222222553E-2</v>
      </c>
    </row>
    <row r="9265" spans="7:8" x14ac:dyDescent="0.3">
      <c r="G9265" s="15">
        <v>25.722222222222221</v>
      </c>
      <c r="H9265" s="3">
        <v>3.9241111111111442E-2</v>
      </c>
    </row>
    <row r="9266" spans="7:8" x14ac:dyDescent="0.3">
      <c r="G9266" s="15">
        <v>25.725000000000001</v>
      </c>
      <c r="H9266" s="3">
        <v>3.9240500000000331E-2</v>
      </c>
    </row>
    <row r="9267" spans="7:8" x14ac:dyDescent="0.3">
      <c r="G9267" s="15">
        <v>25.727777777777778</v>
      </c>
      <c r="H9267" s="3">
        <v>3.923988888888922E-2</v>
      </c>
    </row>
    <row r="9268" spans="7:8" x14ac:dyDescent="0.3">
      <c r="G9268" s="15">
        <v>25.730555555555554</v>
      </c>
      <c r="H9268" s="3">
        <v>3.9239277777778109E-2</v>
      </c>
    </row>
    <row r="9269" spans="7:8" x14ac:dyDescent="0.3">
      <c r="G9269" s="15">
        <v>25.733333333333334</v>
      </c>
      <c r="H9269" s="3">
        <v>3.9238666666666998E-2</v>
      </c>
    </row>
    <row r="9270" spans="7:8" x14ac:dyDescent="0.3">
      <c r="G9270" s="15">
        <v>25.736111111111111</v>
      </c>
      <c r="H9270" s="3">
        <v>3.9238055555555887E-2</v>
      </c>
    </row>
    <row r="9271" spans="7:8" x14ac:dyDescent="0.3">
      <c r="G9271" s="15">
        <v>25.738888888888887</v>
      </c>
      <c r="H9271" s="3">
        <v>3.9237444444444776E-2</v>
      </c>
    </row>
    <row r="9272" spans="7:8" x14ac:dyDescent="0.3">
      <c r="G9272" s="15">
        <v>25.741666666666667</v>
      </c>
      <c r="H9272" s="3">
        <v>3.9236833333333665E-2</v>
      </c>
    </row>
    <row r="9273" spans="7:8" x14ac:dyDescent="0.3">
      <c r="G9273" s="15">
        <v>25.744444444444444</v>
      </c>
      <c r="H9273" s="3">
        <v>3.9236222222222554E-2</v>
      </c>
    </row>
    <row r="9274" spans="7:8" x14ac:dyDescent="0.3">
      <c r="G9274" s="15">
        <v>25.747222222222224</v>
      </c>
      <c r="H9274" s="3">
        <v>3.9235611111111443E-2</v>
      </c>
    </row>
    <row r="9275" spans="7:8" x14ac:dyDescent="0.3">
      <c r="G9275" s="15">
        <v>25.75</v>
      </c>
      <c r="H9275" s="3">
        <v>3.9235000000000332E-2</v>
      </c>
    </row>
    <row r="9276" spans="7:8" x14ac:dyDescent="0.3">
      <c r="G9276" s="15">
        <v>25.752777777777776</v>
      </c>
      <c r="H9276" s="3">
        <v>3.9234388888889221E-2</v>
      </c>
    </row>
    <row r="9277" spans="7:8" x14ac:dyDescent="0.3">
      <c r="G9277" s="15">
        <v>25.755555555555556</v>
      </c>
      <c r="H9277" s="3">
        <v>3.923377777777811E-2</v>
      </c>
    </row>
    <row r="9278" spans="7:8" x14ac:dyDescent="0.3">
      <c r="G9278" s="15">
        <v>25.758333333333333</v>
      </c>
      <c r="H9278" s="3">
        <v>3.9233166666666999E-2</v>
      </c>
    </row>
    <row r="9279" spans="7:8" x14ac:dyDescent="0.3">
      <c r="G9279" s="15">
        <v>25.761111111111113</v>
      </c>
      <c r="H9279" s="3">
        <v>3.9232555555555888E-2</v>
      </c>
    </row>
    <row r="9280" spans="7:8" x14ac:dyDescent="0.3">
      <c r="G9280" s="15">
        <v>25.763888888888889</v>
      </c>
      <c r="H9280" s="3">
        <v>3.9231944444444777E-2</v>
      </c>
    </row>
    <row r="9281" spans="7:8" x14ac:dyDescent="0.3">
      <c r="G9281" s="15">
        <v>25.766666666666666</v>
      </c>
      <c r="H9281" s="3">
        <v>3.9231333333333666E-2</v>
      </c>
    </row>
    <row r="9282" spans="7:8" x14ac:dyDescent="0.3">
      <c r="G9282" s="15">
        <v>25.769444444444446</v>
      </c>
      <c r="H9282" s="3">
        <v>3.9230722222222555E-2</v>
      </c>
    </row>
    <row r="9283" spans="7:8" x14ac:dyDescent="0.3">
      <c r="G9283" s="15">
        <v>25.772222222222222</v>
      </c>
      <c r="H9283" s="3">
        <v>3.9230111111111444E-2</v>
      </c>
    </row>
    <row r="9284" spans="7:8" x14ac:dyDescent="0.3">
      <c r="G9284" s="15">
        <v>25.774999999999999</v>
      </c>
      <c r="H9284" s="3">
        <v>3.9229500000000334E-2</v>
      </c>
    </row>
    <row r="9285" spans="7:8" x14ac:dyDescent="0.3">
      <c r="G9285" s="15">
        <v>25.777777777777779</v>
      </c>
      <c r="H9285" s="3">
        <v>3.9228888888889223E-2</v>
      </c>
    </row>
    <row r="9286" spans="7:8" x14ac:dyDescent="0.3">
      <c r="G9286" s="15">
        <v>25.780555555555555</v>
      </c>
      <c r="H9286" s="3">
        <v>3.9228277777778112E-2</v>
      </c>
    </row>
    <row r="9287" spans="7:8" x14ac:dyDescent="0.3">
      <c r="G9287" s="15">
        <v>25.783333333333335</v>
      </c>
      <c r="H9287" s="3">
        <v>3.9227666666667001E-2</v>
      </c>
    </row>
    <row r="9288" spans="7:8" x14ac:dyDescent="0.3">
      <c r="G9288" s="15">
        <v>25.786111111111111</v>
      </c>
      <c r="H9288" s="3">
        <v>3.922705555555589E-2</v>
      </c>
    </row>
    <row r="9289" spans="7:8" x14ac:dyDescent="0.3">
      <c r="G9289" s="15">
        <v>25.788888888888888</v>
      </c>
      <c r="H9289" s="3">
        <v>3.9226444444444779E-2</v>
      </c>
    </row>
    <row r="9290" spans="7:8" x14ac:dyDescent="0.3">
      <c r="G9290" s="15">
        <v>25.791666666666668</v>
      </c>
      <c r="H9290" s="3">
        <v>3.9225833333333668E-2</v>
      </c>
    </row>
    <row r="9291" spans="7:8" x14ac:dyDescent="0.3">
      <c r="G9291" s="15">
        <v>25.794444444444444</v>
      </c>
      <c r="H9291" s="3">
        <v>3.9225222222222557E-2</v>
      </c>
    </row>
    <row r="9292" spans="7:8" x14ac:dyDescent="0.3">
      <c r="G9292" s="15">
        <v>25.797222222222221</v>
      </c>
      <c r="H9292" s="3">
        <v>3.9224611111111446E-2</v>
      </c>
    </row>
    <row r="9293" spans="7:8" x14ac:dyDescent="0.3">
      <c r="G9293" s="15">
        <v>25.8</v>
      </c>
      <c r="H9293" s="3">
        <v>3.9224000000000335E-2</v>
      </c>
    </row>
    <row r="9294" spans="7:8" x14ac:dyDescent="0.3">
      <c r="G9294" s="15">
        <v>25.802777777777777</v>
      </c>
      <c r="H9294" s="3">
        <v>3.9223388888889224E-2</v>
      </c>
    </row>
    <row r="9295" spans="7:8" x14ac:dyDescent="0.3">
      <c r="G9295" s="15">
        <v>25.805555555555557</v>
      </c>
      <c r="H9295" s="3">
        <v>3.9222777777778113E-2</v>
      </c>
    </row>
    <row r="9296" spans="7:8" x14ac:dyDescent="0.3">
      <c r="G9296" s="15">
        <v>25.808333333333334</v>
      </c>
      <c r="H9296" s="3">
        <v>3.9222166666667002E-2</v>
      </c>
    </row>
    <row r="9297" spans="7:8" x14ac:dyDescent="0.3">
      <c r="G9297" s="15">
        <v>25.81111111111111</v>
      </c>
      <c r="H9297" s="3">
        <v>3.9221555555555891E-2</v>
      </c>
    </row>
    <row r="9298" spans="7:8" x14ac:dyDescent="0.3">
      <c r="G9298" s="15">
        <v>25.81388888888889</v>
      </c>
      <c r="H9298" s="3">
        <v>3.922094444444478E-2</v>
      </c>
    </row>
    <row r="9299" spans="7:8" x14ac:dyDescent="0.3">
      <c r="G9299" s="15">
        <v>25.816666666666666</v>
      </c>
      <c r="H9299" s="3">
        <v>3.9220333333333669E-2</v>
      </c>
    </row>
    <row r="9300" spans="7:8" x14ac:dyDescent="0.3">
      <c r="G9300" s="15">
        <v>25.819444444444443</v>
      </c>
      <c r="H9300" s="3">
        <v>3.9219722222222558E-2</v>
      </c>
    </row>
    <row r="9301" spans="7:8" x14ac:dyDescent="0.3">
      <c r="G9301" s="15">
        <v>25.822222222222223</v>
      </c>
      <c r="H9301" s="3">
        <v>3.9219111111111447E-2</v>
      </c>
    </row>
    <row r="9302" spans="7:8" x14ac:dyDescent="0.3">
      <c r="G9302" s="15">
        <v>25.824999999999999</v>
      </c>
      <c r="H9302" s="3">
        <v>3.9218500000000336E-2</v>
      </c>
    </row>
    <row r="9303" spans="7:8" x14ac:dyDescent="0.3">
      <c r="G9303" s="15">
        <v>25.827777777777779</v>
      </c>
      <c r="H9303" s="3">
        <v>3.9217888888889225E-2</v>
      </c>
    </row>
    <row r="9304" spans="7:8" x14ac:dyDescent="0.3">
      <c r="G9304" s="15">
        <v>25.830555555555556</v>
      </c>
      <c r="H9304" s="3">
        <v>3.9217277777778115E-2</v>
      </c>
    </row>
    <row r="9305" spans="7:8" x14ac:dyDescent="0.3">
      <c r="G9305" s="15">
        <v>25.833333333333332</v>
      </c>
      <c r="H9305" s="3">
        <v>3.9216666666667004E-2</v>
      </c>
    </row>
    <row r="9306" spans="7:8" x14ac:dyDescent="0.3">
      <c r="G9306" s="15">
        <v>25.836111111111112</v>
      </c>
      <c r="H9306" s="3">
        <v>3.9216055555555893E-2</v>
      </c>
    </row>
    <row r="9307" spans="7:8" x14ac:dyDescent="0.3">
      <c r="G9307" s="15">
        <v>25.838888888888889</v>
      </c>
      <c r="H9307" s="3">
        <v>3.9215444444444782E-2</v>
      </c>
    </row>
    <row r="9308" spans="7:8" x14ac:dyDescent="0.3">
      <c r="G9308" s="15">
        <v>25.841666666666665</v>
      </c>
      <c r="H9308" s="3">
        <v>3.9214833333333671E-2</v>
      </c>
    </row>
    <row r="9309" spans="7:8" x14ac:dyDescent="0.3">
      <c r="G9309" s="15">
        <v>25.844444444444445</v>
      </c>
      <c r="H9309" s="3">
        <v>3.921422222222256E-2</v>
      </c>
    </row>
    <row r="9310" spans="7:8" x14ac:dyDescent="0.3">
      <c r="G9310" s="15">
        <v>25.847222222222221</v>
      </c>
      <c r="H9310" s="3">
        <v>3.9213611111111449E-2</v>
      </c>
    </row>
    <row r="9311" spans="7:8" x14ac:dyDescent="0.3">
      <c r="G9311" s="15">
        <v>25.85</v>
      </c>
      <c r="H9311" s="3">
        <v>3.9213000000000338E-2</v>
      </c>
    </row>
    <row r="9312" spans="7:8" x14ac:dyDescent="0.3">
      <c r="G9312" s="15">
        <v>25.852777777777778</v>
      </c>
      <c r="H9312" s="3">
        <v>3.9212388888889227E-2</v>
      </c>
    </row>
    <row r="9313" spans="7:8" x14ac:dyDescent="0.3">
      <c r="G9313" s="15">
        <v>25.855555555555554</v>
      </c>
      <c r="H9313" s="3">
        <v>3.9211777777778116E-2</v>
      </c>
    </row>
    <row r="9314" spans="7:8" x14ac:dyDescent="0.3">
      <c r="G9314" s="15">
        <v>25.858333333333334</v>
      </c>
      <c r="H9314" s="3">
        <v>3.9211166666667005E-2</v>
      </c>
    </row>
    <row r="9315" spans="7:8" x14ac:dyDescent="0.3">
      <c r="G9315" s="15">
        <v>25.861111111111111</v>
      </c>
      <c r="H9315" s="3">
        <v>3.9210555555555894E-2</v>
      </c>
    </row>
    <row r="9316" spans="7:8" x14ac:dyDescent="0.3">
      <c r="G9316" s="15">
        <v>25.863888888888887</v>
      </c>
      <c r="H9316" s="3">
        <v>3.9209944444444783E-2</v>
      </c>
    </row>
    <row r="9317" spans="7:8" x14ac:dyDescent="0.3">
      <c r="G9317" s="15">
        <v>25.866666666666667</v>
      </c>
      <c r="H9317" s="3">
        <v>3.9209333333333672E-2</v>
      </c>
    </row>
    <row r="9318" spans="7:8" x14ac:dyDescent="0.3">
      <c r="G9318" s="15">
        <v>25.869444444444444</v>
      </c>
      <c r="H9318" s="3">
        <v>3.9208722222222561E-2</v>
      </c>
    </row>
    <row r="9319" spans="7:8" x14ac:dyDescent="0.3">
      <c r="G9319" s="15">
        <v>25.872222222222224</v>
      </c>
      <c r="H9319" s="3">
        <v>3.920811111111145E-2</v>
      </c>
    </row>
    <row r="9320" spans="7:8" x14ac:dyDescent="0.3">
      <c r="G9320" s="15">
        <v>25.875</v>
      </c>
      <c r="H9320" s="3">
        <v>3.9207500000000339E-2</v>
      </c>
    </row>
    <row r="9321" spans="7:8" x14ac:dyDescent="0.3">
      <c r="G9321" s="15">
        <v>25.877777777777776</v>
      </c>
      <c r="H9321" s="3">
        <v>3.9206888888889228E-2</v>
      </c>
    </row>
    <row r="9322" spans="7:8" x14ac:dyDescent="0.3">
      <c r="G9322" s="15">
        <v>25.880555555555556</v>
      </c>
      <c r="H9322" s="3">
        <v>3.9206277777778117E-2</v>
      </c>
    </row>
    <row r="9323" spans="7:8" x14ac:dyDescent="0.3">
      <c r="G9323" s="15">
        <v>25.883333333333333</v>
      </c>
      <c r="H9323" s="3">
        <v>3.9205666666667006E-2</v>
      </c>
    </row>
    <row r="9324" spans="7:8" x14ac:dyDescent="0.3">
      <c r="G9324" s="15">
        <v>25.886111111111113</v>
      </c>
      <c r="H9324" s="3">
        <v>3.9205055555555895E-2</v>
      </c>
    </row>
    <row r="9325" spans="7:8" x14ac:dyDescent="0.3">
      <c r="G9325" s="15">
        <v>25.888888888888889</v>
      </c>
      <c r="H9325" s="3">
        <v>3.9204444444444785E-2</v>
      </c>
    </row>
    <row r="9326" spans="7:8" x14ac:dyDescent="0.3">
      <c r="G9326" s="15">
        <v>25.891666666666666</v>
      </c>
      <c r="H9326" s="3">
        <v>3.9203833333333674E-2</v>
      </c>
    </row>
    <row r="9327" spans="7:8" x14ac:dyDescent="0.3">
      <c r="G9327" s="15">
        <v>25.894444444444446</v>
      </c>
      <c r="H9327" s="3">
        <v>3.9203222222222563E-2</v>
      </c>
    </row>
    <row r="9328" spans="7:8" x14ac:dyDescent="0.3">
      <c r="G9328" s="15">
        <v>25.897222222222222</v>
      </c>
      <c r="H9328" s="3">
        <v>3.9202611111111452E-2</v>
      </c>
    </row>
    <row r="9329" spans="7:8" x14ac:dyDescent="0.3">
      <c r="G9329" s="15">
        <v>25.9</v>
      </c>
      <c r="H9329" s="3">
        <v>3.9202000000000341E-2</v>
      </c>
    </row>
    <row r="9330" spans="7:8" x14ac:dyDescent="0.3">
      <c r="G9330" s="15">
        <v>25.902777777777779</v>
      </c>
      <c r="H9330" s="3">
        <v>3.920138888888923E-2</v>
      </c>
    </row>
    <row r="9331" spans="7:8" x14ac:dyDescent="0.3">
      <c r="G9331" s="15">
        <v>25.905555555555555</v>
      </c>
      <c r="H9331" s="3">
        <v>3.9200777777778119E-2</v>
      </c>
    </row>
    <row r="9332" spans="7:8" x14ac:dyDescent="0.3">
      <c r="G9332" s="15">
        <v>25.908333333333335</v>
      </c>
      <c r="H9332" s="3">
        <v>3.9200166666667008E-2</v>
      </c>
    </row>
    <row r="9333" spans="7:8" x14ac:dyDescent="0.3">
      <c r="G9333" s="15">
        <v>25.911111111111111</v>
      </c>
      <c r="H9333" s="3">
        <v>3.9199555555555897E-2</v>
      </c>
    </row>
    <row r="9334" spans="7:8" x14ac:dyDescent="0.3">
      <c r="G9334" s="15">
        <v>25.913888888888888</v>
      </c>
      <c r="H9334" s="3">
        <v>3.9198944444444786E-2</v>
      </c>
    </row>
    <row r="9335" spans="7:8" x14ac:dyDescent="0.3">
      <c r="G9335" s="15">
        <v>25.916666666666668</v>
      </c>
      <c r="H9335" s="3">
        <v>3.9198333333333675E-2</v>
      </c>
    </row>
    <row r="9336" spans="7:8" x14ac:dyDescent="0.3">
      <c r="G9336" s="15">
        <v>25.919444444444444</v>
      </c>
      <c r="H9336" s="3">
        <v>3.9197722222222564E-2</v>
      </c>
    </row>
    <row r="9337" spans="7:8" x14ac:dyDescent="0.3">
      <c r="G9337" s="15">
        <v>25.922222222222221</v>
      </c>
      <c r="H9337" s="3">
        <v>3.9197111111111453E-2</v>
      </c>
    </row>
    <row r="9338" spans="7:8" x14ac:dyDescent="0.3">
      <c r="G9338" s="15">
        <v>25.925000000000001</v>
      </c>
      <c r="H9338" s="3">
        <v>3.9196500000000342E-2</v>
      </c>
    </row>
    <row r="9339" spans="7:8" x14ac:dyDescent="0.3">
      <c r="G9339" s="15">
        <v>25.927777777777777</v>
      </c>
      <c r="H9339" s="3">
        <v>3.9195888888889231E-2</v>
      </c>
    </row>
    <row r="9340" spans="7:8" x14ac:dyDescent="0.3">
      <c r="G9340" s="15">
        <v>25.930555555555557</v>
      </c>
      <c r="H9340" s="3">
        <v>3.919527777777812E-2</v>
      </c>
    </row>
    <row r="9341" spans="7:8" x14ac:dyDescent="0.3">
      <c r="G9341" s="15">
        <v>25.933333333333334</v>
      </c>
      <c r="H9341" s="3">
        <v>3.9194666666667009E-2</v>
      </c>
    </row>
    <row r="9342" spans="7:8" x14ac:dyDescent="0.3">
      <c r="G9342" s="15">
        <v>25.93611111111111</v>
      </c>
      <c r="H9342" s="3">
        <v>3.9194055555555898E-2</v>
      </c>
    </row>
    <row r="9343" spans="7:8" x14ac:dyDescent="0.3">
      <c r="G9343" s="15">
        <v>25.93888888888889</v>
      </c>
      <c r="H9343" s="3">
        <v>3.9193444444444787E-2</v>
      </c>
    </row>
    <row r="9344" spans="7:8" x14ac:dyDescent="0.3">
      <c r="G9344" s="15">
        <v>25.941666666666666</v>
      </c>
      <c r="H9344" s="3">
        <v>3.9192833333333676E-2</v>
      </c>
    </row>
    <row r="9345" spans="7:8" x14ac:dyDescent="0.3">
      <c r="G9345" s="15">
        <v>25.944444444444443</v>
      </c>
      <c r="H9345" s="3">
        <v>3.9192222222222566E-2</v>
      </c>
    </row>
    <row r="9346" spans="7:8" x14ac:dyDescent="0.3">
      <c r="G9346" s="15">
        <v>25.947222222222223</v>
      </c>
      <c r="H9346" s="3">
        <v>3.9191611111111455E-2</v>
      </c>
    </row>
    <row r="9347" spans="7:8" x14ac:dyDescent="0.3">
      <c r="G9347" s="15">
        <v>25.95</v>
      </c>
      <c r="H9347" s="3">
        <v>3.9191000000000344E-2</v>
      </c>
    </row>
    <row r="9348" spans="7:8" x14ac:dyDescent="0.3">
      <c r="G9348" s="15">
        <v>25.952777777777779</v>
      </c>
      <c r="H9348" s="3">
        <v>3.9190388888889233E-2</v>
      </c>
    </row>
    <row r="9349" spans="7:8" x14ac:dyDescent="0.3">
      <c r="G9349" s="15">
        <v>25.955555555555556</v>
      </c>
      <c r="H9349" s="3">
        <v>3.9189777777778122E-2</v>
      </c>
    </row>
    <row r="9350" spans="7:8" x14ac:dyDescent="0.3">
      <c r="G9350" s="15">
        <v>25.958333333333332</v>
      </c>
      <c r="H9350" s="3">
        <v>3.9189166666667011E-2</v>
      </c>
    </row>
    <row r="9351" spans="7:8" x14ac:dyDescent="0.3">
      <c r="G9351" s="15">
        <v>25.961111111111112</v>
      </c>
      <c r="H9351" s="3">
        <v>3.91885555555559E-2</v>
      </c>
    </row>
    <row r="9352" spans="7:8" x14ac:dyDescent="0.3">
      <c r="G9352" s="15">
        <v>25.963888888888889</v>
      </c>
      <c r="H9352" s="3">
        <v>3.9187944444444789E-2</v>
      </c>
    </row>
    <row r="9353" spans="7:8" x14ac:dyDescent="0.3">
      <c r="G9353" s="15">
        <v>25.966666666666665</v>
      </c>
      <c r="H9353" s="3">
        <v>3.9187333333333678E-2</v>
      </c>
    </row>
    <row r="9354" spans="7:8" x14ac:dyDescent="0.3">
      <c r="G9354" s="15">
        <v>25.969444444444445</v>
      </c>
      <c r="H9354" s="3">
        <v>3.9186722222222567E-2</v>
      </c>
    </row>
    <row r="9355" spans="7:8" x14ac:dyDescent="0.3">
      <c r="G9355" s="15">
        <v>25.972222222222221</v>
      </c>
      <c r="H9355" s="3">
        <v>3.9186111111111456E-2</v>
      </c>
    </row>
    <row r="9356" spans="7:8" x14ac:dyDescent="0.3">
      <c r="G9356" s="15">
        <v>25.975000000000001</v>
      </c>
      <c r="H9356" s="3">
        <v>3.9185500000000345E-2</v>
      </c>
    </row>
    <row r="9357" spans="7:8" x14ac:dyDescent="0.3">
      <c r="G9357" s="15">
        <v>25.977777777777778</v>
      </c>
      <c r="H9357" s="3">
        <v>3.9184888888889234E-2</v>
      </c>
    </row>
    <row r="9358" spans="7:8" x14ac:dyDescent="0.3">
      <c r="G9358" s="15">
        <v>25.980555555555554</v>
      </c>
      <c r="H9358" s="3">
        <v>3.9184277777778123E-2</v>
      </c>
    </row>
    <row r="9359" spans="7:8" x14ac:dyDescent="0.3">
      <c r="G9359" s="15">
        <v>25.983333333333334</v>
      </c>
      <c r="H9359" s="3">
        <v>3.9183666666667012E-2</v>
      </c>
    </row>
    <row r="9360" spans="7:8" x14ac:dyDescent="0.3">
      <c r="G9360" s="15">
        <v>25.986111111111111</v>
      </c>
      <c r="H9360" s="3">
        <v>3.9183055555555901E-2</v>
      </c>
    </row>
    <row r="9361" spans="7:8" x14ac:dyDescent="0.3">
      <c r="G9361" s="15">
        <v>25.988888888888887</v>
      </c>
      <c r="H9361" s="3">
        <v>3.918244444444479E-2</v>
      </c>
    </row>
    <row r="9362" spans="7:8" x14ac:dyDescent="0.3">
      <c r="G9362" s="15">
        <v>25.991666666666667</v>
      </c>
      <c r="H9362" s="3">
        <v>3.9181833333333679E-2</v>
      </c>
    </row>
    <row r="9363" spans="7:8" x14ac:dyDescent="0.3">
      <c r="G9363" s="15">
        <v>25.994444444444444</v>
      </c>
      <c r="H9363" s="3">
        <v>3.9181222222222568E-2</v>
      </c>
    </row>
    <row r="9364" spans="7:8" x14ac:dyDescent="0.3">
      <c r="G9364" s="15">
        <v>25.997222222222224</v>
      </c>
      <c r="H9364" s="3">
        <v>3.9180611111111457E-2</v>
      </c>
    </row>
    <row r="9365" spans="7:8" x14ac:dyDescent="0.3">
      <c r="G9365" s="15">
        <v>26</v>
      </c>
      <c r="H9365" s="3">
        <v>3.9180000000000346E-2</v>
      </c>
    </row>
    <row r="9366" spans="7:8" x14ac:dyDescent="0.3">
      <c r="G9366" s="15">
        <v>26.002777777777776</v>
      </c>
      <c r="H9366" s="3">
        <v>3.9179388888889236E-2</v>
      </c>
    </row>
    <row r="9367" spans="7:8" x14ac:dyDescent="0.3">
      <c r="G9367" s="15">
        <v>26.005555555555556</v>
      </c>
      <c r="H9367" s="3">
        <v>3.9178777777778125E-2</v>
      </c>
    </row>
    <row r="9368" spans="7:8" x14ac:dyDescent="0.3">
      <c r="G9368" s="15">
        <v>26.008333333333333</v>
      </c>
      <c r="H9368" s="3">
        <v>3.9178166666667014E-2</v>
      </c>
    </row>
    <row r="9369" spans="7:8" x14ac:dyDescent="0.3">
      <c r="G9369" s="15">
        <v>26.011111111111113</v>
      </c>
      <c r="H9369" s="3">
        <v>3.9177555555555903E-2</v>
      </c>
    </row>
    <row r="9370" spans="7:8" x14ac:dyDescent="0.3">
      <c r="G9370" s="15">
        <v>26.013888888888889</v>
      </c>
      <c r="H9370" s="3">
        <v>3.9176944444444792E-2</v>
      </c>
    </row>
    <row r="9371" spans="7:8" x14ac:dyDescent="0.3">
      <c r="G9371" s="15">
        <v>26.016666666666666</v>
      </c>
      <c r="H9371" s="3">
        <v>3.9176333333333681E-2</v>
      </c>
    </row>
    <row r="9372" spans="7:8" x14ac:dyDescent="0.3">
      <c r="G9372" s="15">
        <v>26.019444444444446</v>
      </c>
      <c r="H9372" s="3">
        <v>3.917572222222257E-2</v>
      </c>
    </row>
    <row r="9373" spans="7:8" x14ac:dyDescent="0.3">
      <c r="G9373" s="15">
        <v>26.022222222222222</v>
      </c>
      <c r="H9373" s="3">
        <v>3.9175111111111459E-2</v>
      </c>
    </row>
    <row r="9374" spans="7:8" x14ac:dyDescent="0.3">
      <c r="G9374" s="15">
        <v>26.024999999999999</v>
      </c>
      <c r="H9374" s="3">
        <v>3.9174500000000348E-2</v>
      </c>
    </row>
    <row r="9375" spans="7:8" x14ac:dyDescent="0.3">
      <c r="G9375" s="15">
        <v>26.027777777777779</v>
      </c>
      <c r="H9375" s="3">
        <v>3.9173888888889237E-2</v>
      </c>
    </row>
    <row r="9376" spans="7:8" x14ac:dyDescent="0.3">
      <c r="G9376" s="15">
        <v>26.030555555555555</v>
      </c>
      <c r="H9376" s="3">
        <v>3.9173277777778126E-2</v>
      </c>
    </row>
    <row r="9377" spans="7:8" x14ac:dyDescent="0.3">
      <c r="G9377" s="15">
        <v>26.033333333333335</v>
      </c>
      <c r="H9377" s="3">
        <v>3.9172666666667015E-2</v>
      </c>
    </row>
    <row r="9378" spans="7:8" x14ac:dyDescent="0.3">
      <c r="G9378" s="15">
        <v>26.036111111111111</v>
      </c>
      <c r="H9378" s="3">
        <v>3.9172055555555904E-2</v>
      </c>
    </row>
    <row r="9379" spans="7:8" x14ac:dyDescent="0.3">
      <c r="G9379" s="15">
        <v>26.038888888888888</v>
      </c>
      <c r="H9379" s="3">
        <v>3.9171444444444793E-2</v>
      </c>
    </row>
    <row r="9380" spans="7:8" x14ac:dyDescent="0.3">
      <c r="G9380" s="15">
        <v>26.041666666666668</v>
      </c>
      <c r="H9380" s="3">
        <v>3.9170833333333682E-2</v>
      </c>
    </row>
    <row r="9381" spans="7:8" x14ac:dyDescent="0.3">
      <c r="G9381" s="15">
        <v>26.044444444444444</v>
      </c>
      <c r="H9381" s="3">
        <v>3.9170222222222571E-2</v>
      </c>
    </row>
    <row r="9382" spans="7:8" x14ac:dyDescent="0.3">
      <c r="G9382" s="15">
        <v>26.047222222222221</v>
      </c>
      <c r="H9382" s="3">
        <v>3.916961111111146E-2</v>
      </c>
    </row>
    <row r="9383" spans="7:8" x14ac:dyDescent="0.3">
      <c r="G9383" s="15">
        <v>26.05</v>
      </c>
      <c r="H9383" s="3">
        <v>3.9169000000000349E-2</v>
      </c>
    </row>
    <row r="9384" spans="7:8" x14ac:dyDescent="0.3">
      <c r="G9384" s="15">
        <v>26.052777777777777</v>
      </c>
      <c r="H9384" s="3">
        <v>3.9168388888889238E-2</v>
      </c>
    </row>
    <row r="9385" spans="7:8" x14ac:dyDescent="0.3">
      <c r="G9385" s="15">
        <v>26.055555555555557</v>
      </c>
      <c r="H9385" s="3">
        <v>3.9167777777778127E-2</v>
      </c>
    </row>
    <row r="9386" spans="7:8" x14ac:dyDescent="0.3">
      <c r="G9386" s="15">
        <v>26.058333333333334</v>
      </c>
      <c r="H9386" s="3">
        <v>3.9167166666667017E-2</v>
      </c>
    </row>
    <row r="9387" spans="7:8" x14ac:dyDescent="0.3">
      <c r="G9387" s="15">
        <v>26.06111111111111</v>
      </c>
      <c r="H9387" s="3">
        <v>3.9166555555555906E-2</v>
      </c>
    </row>
    <row r="9388" spans="7:8" x14ac:dyDescent="0.3">
      <c r="G9388" s="15">
        <v>26.06388888888889</v>
      </c>
      <c r="H9388" s="3">
        <v>3.9165944444444795E-2</v>
      </c>
    </row>
    <row r="9389" spans="7:8" x14ac:dyDescent="0.3">
      <c r="G9389" s="15">
        <v>26.066666666666666</v>
      </c>
      <c r="H9389" s="3">
        <v>3.9165333333333684E-2</v>
      </c>
    </row>
    <row r="9390" spans="7:8" x14ac:dyDescent="0.3">
      <c r="G9390" s="15">
        <v>26.069444444444443</v>
      </c>
      <c r="H9390" s="3">
        <v>3.9164722222222573E-2</v>
      </c>
    </row>
    <row r="9391" spans="7:8" x14ac:dyDescent="0.3">
      <c r="G9391" s="15">
        <v>26.072222222222223</v>
      </c>
      <c r="H9391" s="3">
        <v>3.9164111111111462E-2</v>
      </c>
    </row>
    <row r="9392" spans="7:8" x14ac:dyDescent="0.3">
      <c r="G9392" s="15">
        <v>26.074999999999999</v>
      </c>
      <c r="H9392" s="3">
        <v>3.9163500000000351E-2</v>
      </c>
    </row>
    <row r="9393" spans="7:8" x14ac:dyDescent="0.3">
      <c r="G9393" s="15">
        <v>26.077777777777779</v>
      </c>
      <c r="H9393" s="3">
        <v>3.916288888888924E-2</v>
      </c>
    </row>
    <row r="9394" spans="7:8" x14ac:dyDescent="0.3">
      <c r="G9394" s="15">
        <v>26.080555555555556</v>
      </c>
      <c r="H9394" s="3">
        <v>3.9162277777778129E-2</v>
      </c>
    </row>
    <row r="9395" spans="7:8" x14ac:dyDescent="0.3">
      <c r="G9395" s="15">
        <v>26.083333333333332</v>
      </c>
      <c r="H9395" s="3">
        <v>3.9161666666667018E-2</v>
      </c>
    </row>
    <row r="9396" spans="7:8" x14ac:dyDescent="0.3">
      <c r="G9396" s="15">
        <v>26.086111111111112</v>
      </c>
      <c r="H9396" s="3">
        <v>3.9161055555555907E-2</v>
      </c>
    </row>
    <row r="9397" spans="7:8" x14ac:dyDescent="0.3">
      <c r="G9397" s="15">
        <v>26.088888888888889</v>
      </c>
      <c r="H9397" s="3">
        <v>3.9160444444444796E-2</v>
      </c>
    </row>
    <row r="9398" spans="7:8" x14ac:dyDescent="0.3">
      <c r="G9398" s="15">
        <v>26.091666666666665</v>
      </c>
      <c r="H9398" s="3">
        <v>3.9159833333333685E-2</v>
      </c>
    </row>
    <row r="9399" spans="7:8" x14ac:dyDescent="0.3">
      <c r="G9399" s="15">
        <v>26.094444444444445</v>
      </c>
      <c r="H9399" s="3">
        <v>3.9159222222222574E-2</v>
      </c>
    </row>
    <row r="9400" spans="7:8" x14ac:dyDescent="0.3">
      <c r="G9400" s="15">
        <v>26.097222222222221</v>
      </c>
      <c r="H9400" s="3">
        <v>3.9158611111111463E-2</v>
      </c>
    </row>
    <row r="9401" spans="7:8" x14ac:dyDescent="0.3">
      <c r="G9401" s="15">
        <v>26.1</v>
      </c>
      <c r="H9401" s="3">
        <v>3.9158000000000352E-2</v>
      </c>
    </row>
    <row r="9402" spans="7:8" x14ac:dyDescent="0.3">
      <c r="G9402" s="15">
        <v>26.102777777777778</v>
      </c>
      <c r="H9402" s="3">
        <v>3.9157388888889241E-2</v>
      </c>
    </row>
    <row r="9403" spans="7:8" x14ac:dyDescent="0.3">
      <c r="G9403" s="15">
        <v>26.105555555555554</v>
      </c>
      <c r="H9403" s="3">
        <v>3.915677777777813E-2</v>
      </c>
    </row>
    <row r="9404" spans="7:8" x14ac:dyDescent="0.3">
      <c r="G9404" s="15">
        <v>26.108333333333334</v>
      </c>
      <c r="H9404" s="3">
        <v>3.9156166666667019E-2</v>
      </c>
    </row>
    <row r="9405" spans="7:8" x14ac:dyDescent="0.3">
      <c r="G9405" s="15">
        <v>26.111111111111111</v>
      </c>
      <c r="H9405" s="3">
        <v>3.9155555555555908E-2</v>
      </c>
    </row>
    <row r="9406" spans="7:8" x14ac:dyDescent="0.3">
      <c r="G9406" s="15">
        <v>26.113888888888887</v>
      </c>
      <c r="H9406" s="3">
        <v>3.9154944444444797E-2</v>
      </c>
    </row>
    <row r="9407" spans="7:8" x14ac:dyDescent="0.3">
      <c r="G9407" s="15">
        <v>26.116666666666667</v>
      </c>
      <c r="H9407" s="3">
        <v>3.9154333333333687E-2</v>
      </c>
    </row>
    <row r="9408" spans="7:8" x14ac:dyDescent="0.3">
      <c r="G9408" s="15">
        <v>26.119444444444444</v>
      </c>
      <c r="H9408" s="3">
        <v>3.9153722222222576E-2</v>
      </c>
    </row>
    <row r="9409" spans="7:8" x14ac:dyDescent="0.3">
      <c r="G9409" s="15">
        <v>26.122222222222224</v>
      </c>
      <c r="H9409" s="3">
        <v>3.9153111111111465E-2</v>
      </c>
    </row>
    <row r="9410" spans="7:8" x14ac:dyDescent="0.3">
      <c r="G9410" s="15">
        <v>26.125</v>
      </c>
      <c r="H9410" s="3">
        <v>3.9152500000000354E-2</v>
      </c>
    </row>
    <row r="9411" spans="7:8" x14ac:dyDescent="0.3">
      <c r="G9411" s="15">
        <v>26.127777777777776</v>
      </c>
      <c r="H9411" s="3">
        <v>3.9151888888889243E-2</v>
      </c>
    </row>
    <row r="9412" spans="7:8" x14ac:dyDescent="0.3">
      <c r="G9412" s="15">
        <v>26.130555555555556</v>
      </c>
      <c r="H9412" s="3">
        <v>3.9151277777778132E-2</v>
      </c>
    </row>
    <row r="9413" spans="7:8" x14ac:dyDescent="0.3">
      <c r="G9413" s="15">
        <v>26.133333333333333</v>
      </c>
      <c r="H9413" s="3">
        <v>3.9150666666667021E-2</v>
      </c>
    </row>
    <row r="9414" spans="7:8" x14ac:dyDescent="0.3">
      <c r="G9414" s="15">
        <v>26.136111111111113</v>
      </c>
      <c r="H9414" s="3">
        <v>3.915005555555591E-2</v>
      </c>
    </row>
    <row r="9415" spans="7:8" x14ac:dyDescent="0.3">
      <c r="G9415" s="15">
        <v>26.138888888888889</v>
      </c>
      <c r="H9415" s="3">
        <v>3.9149444444444799E-2</v>
      </c>
    </row>
    <row r="9416" spans="7:8" x14ac:dyDescent="0.3">
      <c r="G9416" s="15">
        <v>26.141666666666666</v>
      </c>
      <c r="H9416" s="3">
        <v>3.9148833333333688E-2</v>
      </c>
    </row>
    <row r="9417" spans="7:8" x14ac:dyDescent="0.3">
      <c r="G9417" s="15">
        <v>26.144444444444446</v>
      </c>
      <c r="H9417" s="3">
        <v>3.9148222222222577E-2</v>
      </c>
    </row>
    <row r="9418" spans="7:8" x14ac:dyDescent="0.3">
      <c r="G9418" s="15">
        <v>26.147222222222222</v>
      </c>
      <c r="H9418" s="3">
        <v>3.9147611111111466E-2</v>
      </c>
    </row>
    <row r="9419" spans="7:8" x14ac:dyDescent="0.3">
      <c r="G9419" s="15">
        <v>26.15</v>
      </c>
      <c r="H9419" s="3">
        <v>3.9147000000000355E-2</v>
      </c>
    </row>
    <row r="9420" spans="7:8" x14ac:dyDescent="0.3">
      <c r="G9420" s="15">
        <v>26.152777777777779</v>
      </c>
      <c r="H9420" s="3">
        <v>3.9146388888889244E-2</v>
      </c>
    </row>
    <row r="9421" spans="7:8" x14ac:dyDescent="0.3">
      <c r="G9421" s="15">
        <v>26.155555555555555</v>
      </c>
      <c r="H9421" s="3">
        <v>3.9145777777778133E-2</v>
      </c>
    </row>
    <row r="9422" spans="7:8" x14ac:dyDescent="0.3">
      <c r="G9422" s="15">
        <v>26.158333333333335</v>
      </c>
      <c r="H9422" s="3">
        <v>3.9145166666667022E-2</v>
      </c>
    </row>
    <row r="9423" spans="7:8" x14ac:dyDescent="0.3">
      <c r="G9423" s="15">
        <v>26.161111111111111</v>
      </c>
      <c r="H9423" s="3">
        <v>3.9144555555555911E-2</v>
      </c>
    </row>
    <row r="9424" spans="7:8" x14ac:dyDescent="0.3">
      <c r="G9424" s="15">
        <v>26.163888888888888</v>
      </c>
      <c r="H9424" s="3">
        <v>3.91439444444448E-2</v>
      </c>
    </row>
    <row r="9425" spans="7:8" x14ac:dyDescent="0.3">
      <c r="G9425" s="15">
        <v>26.166666666666668</v>
      </c>
      <c r="H9425" s="3">
        <v>3.9143333333333689E-2</v>
      </c>
    </row>
    <row r="9426" spans="7:8" x14ac:dyDescent="0.3">
      <c r="G9426" s="15">
        <v>26.169444444444444</v>
      </c>
      <c r="H9426" s="3">
        <v>3.9142722222222578E-2</v>
      </c>
    </row>
    <row r="9427" spans="7:8" x14ac:dyDescent="0.3">
      <c r="G9427" s="15">
        <v>26.172222222222221</v>
      </c>
      <c r="H9427" s="3">
        <v>3.9142111111111468E-2</v>
      </c>
    </row>
    <row r="9428" spans="7:8" x14ac:dyDescent="0.3">
      <c r="G9428" s="15">
        <v>26.175000000000001</v>
      </c>
      <c r="H9428" s="3">
        <v>3.9141500000000357E-2</v>
      </c>
    </row>
    <row r="9429" spans="7:8" x14ac:dyDescent="0.3">
      <c r="G9429" s="15">
        <v>26.177777777777777</v>
      </c>
      <c r="H9429" s="3">
        <v>3.9140888888889246E-2</v>
      </c>
    </row>
    <row r="9430" spans="7:8" x14ac:dyDescent="0.3">
      <c r="G9430" s="15">
        <v>26.180555555555557</v>
      </c>
      <c r="H9430" s="3">
        <v>3.9140277777778135E-2</v>
      </c>
    </row>
    <row r="9431" spans="7:8" x14ac:dyDescent="0.3">
      <c r="G9431" s="15">
        <v>26.183333333333334</v>
      </c>
      <c r="H9431" s="3">
        <v>3.9139666666667024E-2</v>
      </c>
    </row>
    <row r="9432" spans="7:8" x14ac:dyDescent="0.3">
      <c r="G9432" s="15">
        <v>26.18611111111111</v>
      </c>
      <c r="H9432" s="3">
        <v>3.9139055555555913E-2</v>
      </c>
    </row>
    <row r="9433" spans="7:8" x14ac:dyDescent="0.3">
      <c r="G9433" s="15">
        <v>26.18888888888889</v>
      </c>
      <c r="H9433" s="3">
        <v>3.9138444444444802E-2</v>
      </c>
    </row>
    <row r="9434" spans="7:8" x14ac:dyDescent="0.3">
      <c r="G9434" s="15">
        <v>26.191666666666666</v>
      </c>
      <c r="H9434" s="3">
        <v>3.9137833333333691E-2</v>
      </c>
    </row>
    <row r="9435" spans="7:8" x14ac:dyDescent="0.3">
      <c r="G9435" s="15">
        <v>26.194444444444443</v>
      </c>
      <c r="H9435" s="3">
        <v>3.913722222222258E-2</v>
      </c>
    </row>
    <row r="9436" spans="7:8" x14ac:dyDescent="0.3">
      <c r="G9436" s="15">
        <v>26.197222222222223</v>
      </c>
      <c r="H9436" s="3">
        <v>3.9136611111111469E-2</v>
      </c>
    </row>
    <row r="9437" spans="7:8" x14ac:dyDescent="0.3">
      <c r="G9437" s="15">
        <v>26.2</v>
      </c>
      <c r="H9437" s="3">
        <v>3.9136000000000358E-2</v>
      </c>
    </row>
    <row r="9438" spans="7:8" x14ac:dyDescent="0.3">
      <c r="G9438" s="15">
        <v>26.202777777777779</v>
      </c>
      <c r="H9438" s="3">
        <v>3.9135388888889247E-2</v>
      </c>
    </row>
    <row r="9439" spans="7:8" x14ac:dyDescent="0.3">
      <c r="G9439" s="15">
        <v>26.205555555555556</v>
      </c>
      <c r="H9439" s="3">
        <v>3.9134777777778136E-2</v>
      </c>
    </row>
    <row r="9440" spans="7:8" x14ac:dyDescent="0.3">
      <c r="G9440" s="15">
        <v>26.208333333333332</v>
      </c>
      <c r="H9440" s="3">
        <v>3.9134166666667025E-2</v>
      </c>
    </row>
    <row r="9441" spans="7:8" x14ac:dyDescent="0.3">
      <c r="G9441" s="15">
        <v>26.211111111111112</v>
      </c>
      <c r="H9441" s="3">
        <v>3.9133555555555914E-2</v>
      </c>
    </row>
    <row r="9442" spans="7:8" x14ac:dyDescent="0.3">
      <c r="G9442" s="15">
        <v>26.213888888888889</v>
      </c>
      <c r="H9442" s="3">
        <v>3.9132944444444803E-2</v>
      </c>
    </row>
    <row r="9443" spans="7:8" x14ac:dyDescent="0.3">
      <c r="G9443" s="15">
        <v>26.216666666666665</v>
      </c>
      <c r="H9443" s="3">
        <v>3.9132333333333692E-2</v>
      </c>
    </row>
    <row r="9444" spans="7:8" x14ac:dyDescent="0.3">
      <c r="G9444" s="15">
        <v>26.219444444444445</v>
      </c>
      <c r="H9444" s="3">
        <v>3.9131722222222581E-2</v>
      </c>
    </row>
    <row r="9445" spans="7:8" x14ac:dyDescent="0.3">
      <c r="G9445" s="15">
        <v>26.222222222222221</v>
      </c>
      <c r="H9445" s="3">
        <v>3.913111111111147E-2</v>
      </c>
    </row>
    <row r="9446" spans="7:8" x14ac:dyDescent="0.3">
      <c r="G9446" s="15">
        <v>26.225000000000001</v>
      </c>
      <c r="H9446" s="3">
        <v>3.9130500000000359E-2</v>
      </c>
    </row>
    <row r="9447" spans="7:8" x14ac:dyDescent="0.3">
      <c r="G9447" s="15">
        <v>26.227777777777778</v>
      </c>
      <c r="H9447" s="3">
        <v>3.9129888888889248E-2</v>
      </c>
    </row>
    <row r="9448" spans="7:8" x14ac:dyDescent="0.3">
      <c r="G9448" s="15">
        <v>26.230555555555554</v>
      </c>
      <c r="H9448" s="3">
        <v>3.9129277777778138E-2</v>
      </c>
    </row>
    <row r="9449" spans="7:8" x14ac:dyDescent="0.3">
      <c r="G9449" s="15">
        <v>26.233333333333334</v>
      </c>
      <c r="H9449" s="3">
        <v>3.9128666666667027E-2</v>
      </c>
    </row>
    <row r="9450" spans="7:8" x14ac:dyDescent="0.3">
      <c r="G9450" s="15">
        <v>26.236111111111111</v>
      </c>
      <c r="H9450" s="3">
        <v>3.9128055555555916E-2</v>
      </c>
    </row>
    <row r="9451" spans="7:8" x14ac:dyDescent="0.3">
      <c r="G9451" s="15">
        <v>26.238888888888887</v>
      </c>
      <c r="H9451" s="3">
        <v>3.9127444444444805E-2</v>
      </c>
    </row>
    <row r="9452" spans="7:8" x14ac:dyDescent="0.3">
      <c r="G9452" s="15">
        <v>26.241666666666667</v>
      </c>
      <c r="H9452" s="3">
        <v>3.9126833333333694E-2</v>
      </c>
    </row>
    <row r="9453" spans="7:8" x14ac:dyDescent="0.3">
      <c r="G9453" s="15">
        <v>26.244444444444444</v>
      </c>
      <c r="H9453" s="3">
        <v>3.9126222222222583E-2</v>
      </c>
    </row>
    <row r="9454" spans="7:8" x14ac:dyDescent="0.3">
      <c r="G9454" s="15">
        <v>26.247222222222224</v>
      </c>
      <c r="H9454" s="3">
        <v>3.9125611111111472E-2</v>
      </c>
    </row>
    <row r="9455" spans="7:8" x14ac:dyDescent="0.3">
      <c r="G9455" s="15">
        <v>26.25</v>
      </c>
      <c r="H9455" s="3">
        <v>3.9125000000000361E-2</v>
      </c>
    </row>
    <row r="9456" spans="7:8" x14ac:dyDescent="0.3">
      <c r="G9456" s="15">
        <v>26.252777777777776</v>
      </c>
      <c r="H9456" s="3">
        <v>3.912438888888925E-2</v>
      </c>
    </row>
    <row r="9457" spans="7:8" x14ac:dyDescent="0.3">
      <c r="G9457" s="15">
        <v>26.255555555555556</v>
      </c>
      <c r="H9457" s="3">
        <v>3.9123777777778139E-2</v>
      </c>
    </row>
    <row r="9458" spans="7:8" x14ac:dyDescent="0.3">
      <c r="G9458" s="15">
        <v>26.258333333333333</v>
      </c>
      <c r="H9458" s="3">
        <v>3.9123166666667028E-2</v>
      </c>
    </row>
    <row r="9459" spans="7:8" x14ac:dyDescent="0.3">
      <c r="G9459" s="15">
        <v>26.261111111111113</v>
      </c>
      <c r="H9459" s="3">
        <v>3.9122555555555917E-2</v>
      </c>
    </row>
    <row r="9460" spans="7:8" x14ac:dyDescent="0.3">
      <c r="G9460" s="15">
        <v>26.263888888888889</v>
      </c>
      <c r="H9460" s="3">
        <v>3.9121944444444806E-2</v>
      </c>
    </row>
    <row r="9461" spans="7:8" x14ac:dyDescent="0.3">
      <c r="G9461" s="15">
        <v>26.266666666666666</v>
      </c>
      <c r="H9461" s="3">
        <v>3.9121333333333695E-2</v>
      </c>
    </row>
    <row r="9462" spans="7:8" x14ac:dyDescent="0.3">
      <c r="G9462" s="15">
        <v>26.269444444444446</v>
      </c>
      <c r="H9462" s="3">
        <v>3.9120722222222584E-2</v>
      </c>
    </row>
    <row r="9463" spans="7:8" x14ac:dyDescent="0.3">
      <c r="G9463" s="15">
        <v>26.272222222222222</v>
      </c>
      <c r="H9463" s="3">
        <v>3.9120111111111473E-2</v>
      </c>
    </row>
    <row r="9464" spans="7:8" x14ac:dyDescent="0.3">
      <c r="G9464" s="15">
        <v>26.274999999999999</v>
      </c>
      <c r="H9464" s="3">
        <v>3.9119500000000362E-2</v>
      </c>
    </row>
    <row r="9465" spans="7:8" x14ac:dyDescent="0.3">
      <c r="G9465" s="15">
        <v>26.277777777777779</v>
      </c>
      <c r="H9465" s="3">
        <v>3.9118888888889251E-2</v>
      </c>
    </row>
    <row r="9466" spans="7:8" x14ac:dyDescent="0.3">
      <c r="G9466" s="15">
        <v>26.280555555555555</v>
      </c>
      <c r="H9466" s="3">
        <v>3.911827777777814E-2</v>
      </c>
    </row>
    <row r="9467" spans="7:8" x14ac:dyDescent="0.3">
      <c r="G9467" s="15">
        <v>26.283333333333335</v>
      </c>
      <c r="H9467" s="3">
        <v>3.9117666666667029E-2</v>
      </c>
    </row>
    <row r="9468" spans="7:8" x14ac:dyDescent="0.3">
      <c r="G9468" s="15">
        <v>26.286111111111111</v>
      </c>
      <c r="H9468" s="3">
        <v>3.9117055555555919E-2</v>
      </c>
    </row>
    <row r="9469" spans="7:8" x14ac:dyDescent="0.3">
      <c r="G9469" s="15">
        <v>26.288888888888888</v>
      </c>
      <c r="H9469" s="3">
        <v>3.9116444444444808E-2</v>
      </c>
    </row>
    <row r="9470" spans="7:8" x14ac:dyDescent="0.3">
      <c r="G9470" s="15">
        <v>26.291666666666668</v>
      </c>
      <c r="H9470" s="3">
        <v>3.9115833333333697E-2</v>
      </c>
    </row>
    <row r="9471" spans="7:8" x14ac:dyDescent="0.3">
      <c r="G9471" s="15">
        <v>26.294444444444444</v>
      </c>
      <c r="H9471" s="3">
        <v>3.9115222222222586E-2</v>
      </c>
    </row>
    <row r="9472" spans="7:8" x14ac:dyDescent="0.3">
      <c r="G9472" s="15">
        <v>26.297222222222221</v>
      </c>
      <c r="H9472" s="3">
        <v>3.9114611111111475E-2</v>
      </c>
    </row>
    <row r="9473" spans="7:8" x14ac:dyDescent="0.3">
      <c r="G9473" s="15">
        <v>26.3</v>
      </c>
      <c r="H9473" s="3">
        <v>3.9114000000000364E-2</v>
      </c>
    </row>
    <row r="9474" spans="7:8" x14ac:dyDescent="0.3">
      <c r="G9474" s="15">
        <v>26.302777777777777</v>
      </c>
      <c r="H9474" s="3">
        <v>3.9113388888889253E-2</v>
      </c>
    </row>
    <row r="9475" spans="7:8" x14ac:dyDescent="0.3">
      <c r="G9475" s="15">
        <v>26.305555555555557</v>
      </c>
      <c r="H9475" s="3">
        <v>3.9112777777778142E-2</v>
      </c>
    </row>
    <row r="9476" spans="7:8" x14ac:dyDescent="0.3">
      <c r="G9476" s="15">
        <v>26.308333333333334</v>
      </c>
      <c r="H9476" s="3">
        <v>3.9112166666667031E-2</v>
      </c>
    </row>
    <row r="9477" spans="7:8" x14ac:dyDescent="0.3">
      <c r="G9477" s="15">
        <v>26.31111111111111</v>
      </c>
      <c r="H9477" s="3">
        <v>3.911155555555592E-2</v>
      </c>
    </row>
    <row r="9478" spans="7:8" x14ac:dyDescent="0.3">
      <c r="G9478" s="15">
        <v>26.31388888888889</v>
      </c>
      <c r="H9478" s="3">
        <v>3.9110944444444809E-2</v>
      </c>
    </row>
    <row r="9479" spans="7:8" x14ac:dyDescent="0.3">
      <c r="G9479" s="15">
        <v>26.316666666666666</v>
      </c>
      <c r="H9479" s="3">
        <v>3.9110333333333698E-2</v>
      </c>
    </row>
    <row r="9480" spans="7:8" x14ac:dyDescent="0.3">
      <c r="G9480" s="15">
        <v>26.319444444444443</v>
      </c>
      <c r="H9480" s="3">
        <v>3.9109722222222587E-2</v>
      </c>
    </row>
    <row r="9481" spans="7:8" x14ac:dyDescent="0.3">
      <c r="G9481" s="15">
        <v>26.322222222222223</v>
      </c>
      <c r="H9481" s="3">
        <v>3.9109111111111476E-2</v>
      </c>
    </row>
    <row r="9482" spans="7:8" x14ac:dyDescent="0.3">
      <c r="G9482" s="15">
        <v>26.324999999999999</v>
      </c>
      <c r="H9482" s="3">
        <v>3.9108500000000365E-2</v>
      </c>
    </row>
    <row r="9483" spans="7:8" x14ac:dyDescent="0.3">
      <c r="G9483" s="15">
        <v>26.327777777777779</v>
      </c>
      <c r="H9483" s="3">
        <v>3.9107888888889254E-2</v>
      </c>
    </row>
    <row r="9484" spans="7:8" x14ac:dyDescent="0.3">
      <c r="G9484" s="15">
        <v>26.330555555555556</v>
      </c>
      <c r="H9484" s="3">
        <v>3.9107277777778143E-2</v>
      </c>
    </row>
    <row r="9485" spans="7:8" x14ac:dyDescent="0.3">
      <c r="G9485" s="15">
        <v>26.333333333333332</v>
      </c>
      <c r="H9485" s="3">
        <v>3.9106666666667032E-2</v>
      </c>
    </row>
    <row r="9486" spans="7:8" x14ac:dyDescent="0.3">
      <c r="G9486" s="15">
        <v>26.336111111111112</v>
      </c>
      <c r="H9486" s="3">
        <v>3.9106055555555921E-2</v>
      </c>
    </row>
    <row r="9487" spans="7:8" x14ac:dyDescent="0.3">
      <c r="G9487" s="15">
        <v>26.338888888888889</v>
      </c>
      <c r="H9487" s="3">
        <v>3.910544444444481E-2</v>
      </c>
    </row>
    <row r="9488" spans="7:8" x14ac:dyDescent="0.3">
      <c r="G9488" s="15">
        <v>26.341666666666665</v>
      </c>
      <c r="H9488" s="3">
        <v>3.9104833333333699E-2</v>
      </c>
    </row>
    <row r="9489" spans="7:8" x14ac:dyDescent="0.3">
      <c r="G9489" s="15">
        <v>26.344444444444445</v>
      </c>
      <c r="H9489" s="3">
        <v>3.9104222222222589E-2</v>
      </c>
    </row>
    <row r="9490" spans="7:8" x14ac:dyDescent="0.3">
      <c r="G9490" s="15">
        <v>26.347222222222221</v>
      </c>
      <c r="H9490" s="3">
        <v>3.9103611111111478E-2</v>
      </c>
    </row>
    <row r="9491" spans="7:8" x14ac:dyDescent="0.3">
      <c r="G9491" s="15">
        <v>26.35</v>
      </c>
      <c r="H9491" s="3">
        <v>3.9103000000000367E-2</v>
      </c>
    </row>
    <row r="9492" spans="7:8" x14ac:dyDescent="0.3">
      <c r="G9492" s="15">
        <v>26.352777777777778</v>
      </c>
      <c r="H9492" s="3">
        <v>3.9102388888889256E-2</v>
      </c>
    </row>
    <row r="9493" spans="7:8" x14ac:dyDescent="0.3">
      <c r="G9493" s="15">
        <v>26.355555555555554</v>
      </c>
      <c r="H9493" s="3">
        <v>3.9101777777778145E-2</v>
      </c>
    </row>
    <row r="9494" spans="7:8" x14ac:dyDescent="0.3">
      <c r="G9494" s="15">
        <v>26.358333333333334</v>
      </c>
      <c r="H9494" s="3">
        <v>3.9101166666667034E-2</v>
      </c>
    </row>
    <row r="9495" spans="7:8" x14ac:dyDescent="0.3">
      <c r="G9495" s="15">
        <v>26.361111111111111</v>
      </c>
      <c r="H9495" s="3">
        <v>3.9100555555555923E-2</v>
      </c>
    </row>
    <row r="9496" spans="7:8" x14ac:dyDescent="0.3">
      <c r="G9496" s="15">
        <v>26.363888888888887</v>
      </c>
      <c r="H9496" s="3">
        <v>3.9099944444444812E-2</v>
      </c>
    </row>
    <row r="9497" spans="7:8" x14ac:dyDescent="0.3">
      <c r="G9497" s="15">
        <v>26.366666666666667</v>
      </c>
      <c r="H9497" s="3">
        <v>3.9099333333333701E-2</v>
      </c>
    </row>
    <row r="9498" spans="7:8" x14ac:dyDescent="0.3">
      <c r="G9498" s="15">
        <v>26.369444444444444</v>
      </c>
      <c r="H9498" s="3">
        <v>3.909872222222259E-2</v>
      </c>
    </row>
    <row r="9499" spans="7:8" x14ac:dyDescent="0.3">
      <c r="G9499" s="15">
        <v>26.372222222222224</v>
      </c>
      <c r="H9499" s="3">
        <v>3.9098111111111479E-2</v>
      </c>
    </row>
    <row r="9500" spans="7:8" x14ac:dyDescent="0.3">
      <c r="G9500" s="15">
        <v>26.375</v>
      </c>
      <c r="H9500" s="3">
        <v>3.9097500000000368E-2</v>
      </c>
    </row>
    <row r="9501" spans="7:8" x14ac:dyDescent="0.3">
      <c r="G9501" s="15">
        <v>26.377777777777776</v>
      </c>
      <c r="H9501" s="3">
        <v>3.9096888888889257E-2</v>
      </c>
    </row>
    <row r="9502" spans="7:8" x14ac:dyDescent="0.3">
      <c r="G9502" s="15">
        <v>26.380555555555556</v>
      </c>
      <c r="H9502" s="3">
        <v>3.9096277777778146E-2</v>
      </c>
    </row>
    <row r="9503" spans="7:8" x14ac:dyDescent="0.3">
      <c r="G9503" s="15">
        <v>26.383333333333333</v>
      </c>
      <c r="H9503" s="3">
        <v>3.9095666666667035E-2</v>
      </c>
    </row>
    <row r="9504" spans="7:8" x14ac:dyDescent="0.3">
      <c r="G9504" s="15">
        <v>26.386111111111113</v>
      </c>
      <c r="H9504" s="3">
        <v>3.9095055555555924E-2</v>
      </c>
    </row>
    <row r="9505" spans="7:8" x14ac:dyDescent="0.3">
      <c r="G9505" s="15">
        <v>26.388888888888889</v>
      </c>
      <c r="H9505" s="3">
        <v>3.9094444444444813E-2</v>
      </c>
    </row>
    <row r="9506" spans="7:8" x14ac:dyDescent="0.3">
      <c r="G9506" s="15">
        <v>26.391666666666666</v>
      </c>
      <c r="H9506" s="3">
        <v>3.9093833333333702E-2</v>
      </c>
    </row>
    <row r="9507" spans="7:8" x14ac:dyDescent="0.3">
      <c r="G9507" s="15">
        <v>26.394444444444446</v>
      </c>
      <c r="H9507" s="3">
        <v>3.9093222222222591E-2</v>
      </c>
    </row>
    <row r="9508" spans="7:8" x14ac:dyDescent="0.3">
      <c r="G9508" s="15">
        <v>26.397222222222222</v>
      </c>
      <c r="H9508" s="3">
        <v>3.909261111111148E-2</v>
      </c>
    </row>
    <row r="9509" spans="7:8" x14ac:dyDescent="0.3">
      <c r="G9509" s="15">
        <v>26.4</v>
      </c>
      <c r="H9509" s="3">
        <v>3.909200000000037E-2</v>
      </c>
    </row>
    <row r="9510" spans="7:8" x14ac:dyDescent="0.3">
      <c r="G9510" s="15">
        <v>26.402777777777779</v>
      </c>
      <c r="H9510" s="3">
        <v>3.9091388888889259E-2</v>
      </c>
    </row>
    <row r="9511" spans="7:8" x14ac:dyDescent="0.3">
      <c r="G9511" s="15">
        <v>26.405555555555555</v>
      </c>
      <c r="H9511" s="3">
        <v>3.9090777777778148E-2</v>
      </c>
    </row>
    <row r="9512" spans="7:8" x14ac:dyDescent="0.3">
      <c r="G9512" s="15">
        <v>26.408333333333335</v>
      </c>
      <c r="H9512" s="3">
        <v>3.9090166666667037E-2</v>
      </c>
    </row>
    <row r="9513" spans="7:8" x14ac:dyDescent="0.3">
      <c r="G9513" s="15">
        <v>26.411111111111111</v>
      </c>
      <c r="H9513" s="3">
        <v>3.9089555555555926E-2</v>
      </c>
    </row>
    <row r="9514" spans="7:8" x14ac:dyDescent="0.3">
      <c r="G9514" s="15">
        <v>26.413888888888888</v>
      </c>
      <c r="H9514" s="3">
        <v>3.9088944444444815E-2</v>
      </c>
    </row>
    <row r="9515" spans="7:8" x14ac:dyDescent="0.3">
      <c r="G9515" s="15">
        <v>26.416666666666668</v>
      </c>
      <c r="H9515" s="3">
        <v>3.9088333333333704E-2</v>
      </c>
    </row>
    <row r="9516" spans="7:8" x14ac:dyDescent="0.3">
      <c r="G9516" s="15">
        <v>26.419444444444444</v>
      </c>
      <c r="H9516" s="3">
        <v>3.9087722222222593E-2</v>
      </c>
    </row>
    <row r="9517" spans="7:8" x14ac:dyDescent="0.3">
      <c r="G9517" s="15">
        <v>26.422222222222221</v>
      </c>
      <c r="H9517" s="3">
        <v>3.9087111111111482E-2</v>
      </c>
    </row>
    <row r="9518" spans="7:8" x14ac:dyDescent="0.3">
      <c r="G9518" s="15">
        <v>26.425000000000001</v>
      </c>
      <c r="H9518" s="3">
        <v>3.9086500000000371E-2</v>
      </c>
    </row>
    <row r="9519" spans="7:8" x14ac:dyDescent="0.3">
      <c r="G9519" s="15">
        <v>26.427777777777777</v>
      </c>
      <c r="H9519" s="3">
        <v>3.908588888888926E-2</v>
      </c>
    </row>
    <row r="9520" spans="7:8" x14ac:dyDescent="0.3">
      <c r="G9520" s="15">
        <v>26.430555555555557</v>
      </c>
      <c r="H9520" s="3">
        <v>3.9085277777778149E-2</v>
      </c>
    </row>
    <row r="9521" spans="7:8" x14ac:dyDescent="0.3">
      <c r="G9521" s="15">
        <v>26.433333333333334</v>
      </c>
      <c r="H9521" s="3">
        <v>3.9084666666667038E-2</v>
      </c>
    </row>
    <row r="9522" spans="7:8" x14ac:dyDescent="0.3">
      <c r="G9522" s="15">
        <v>26.43611111111111</v>
      </c>
      <c r="H9522" s="3">
        <v>3.9084055555555927E-2</v>
      </c>
    </row>
    <row r="9523" spans="7:8" x14ac:dyDescent="0.3">
      <c r="G9523" s="15">
        <v>26.43888888888889</v>
      </c>
      <c r="H9523" s="3">
        <v>3.9083444444444816E-2</v>
      </c>
    </row>
    <row r="9524" spans="7:8" x14ac:dyDescent="0.3">
      <c r="G9524" s="15">
        <v>26.441666666666666</v>
      </c>
      <c r="H9524" s="3">
        <v>3.9082833333333705E-2</v>
      </c>
    </row>
    <row r="9525" spans="7:8" x14ac:dyDescent="0.3">
      <c r="G9525" s="15">
        <v>26.444444444444443</v>
      </c>
      <c r="H9525" s="3">
        <v>3.9082222222222594E-2</v>
      </c>
    </row>
    <row r="9526" spans="7:8" x14ac:dyDescent="0.3">
      <c r="G9526" s="15">
        <v>26.447222222222223</v>
      </c>
      <c r="H9526" s="3">
        <v>3.9081611111111483E-2</v>
      </c>
    </row>
    <row r="9527" spans="7:8" x14ac:dyDescent="0.3">
      <c r="G9527" s="15">
        <v>26.45</v>
      </c>
      <c r="H9527" s="3">
        <v>3.9081000000000372E-2</v>
      </c>
    </row>
    <row r="9528" spans="7:8" x14ac:dyDescent="0.3">
      <c r="G9528" s="15">
        <v>26.452777777777779</v>
      </c>
      <c r="H9528" s="3">
        <v>3.9080388888889261E-2</v>
      </c>
    </row>
    <row r="9529" spans="7:8" x14ac:dyDescent="0.3">
      <c r="G9529" s="15">
        <v>26.455555555555556</v>
      </c>
      <c r="H9529" s="3">
        <v>3.907977777777815E-2</v>
      </c>
    </row>
    <row r="9530" spans="7:8" x14ac:dyDescent="0.3">
      <c r="G9530" s="15">
        <v>26.458333333333332</v>
      </c>
      <c r="H9530" s="3">
        <v>3.907916666666704E-2</v>
      </c>
    </row>
    <row r="9531" spans="7:8" x14ac:dyDescent="0.3">
      <c r="G9531" s="15">
        <v>26.461111111111112</v>
      </c>
      <c r="H9531" s="3">
        <v>3.9078555555555929E-2</v>
      </c>
    </row>
    <row r="9532" spans="7:8" x14ac:dyDescent="0.3">
      <c r="G9532" s="15">
        <v>26.463888888888889</v>
      </c>
      <c r="H9532" s="3">
        <v>3.9077944444444818E-2</v>
      </c>
    </row>
    <row r="9533" spans="7:8" x14ac:dyDescent="0.3">
      <c r="G9533" s="15">
        <v>26.466666666666665</v>
      </c>
      <c r="H9533" s="3">
        <v>3.9077333333333707E-2</v>
      </c>
    </row>
    <row r="9534" spans="7:8" x14ac:dyDescent="0.3">
      <c r="G9534" s="15">
        <v>26.469444444444445</v>
      </c>
      <c r="H9534" s="3">
        <v>3.9076722222222596E-2</v>
      </c>
    </row>
    <row r="9535" spans="7:8" x14ac:dyDescent="0.3">
      <c r="G9535" s="15">
        <v>26.472222222222221</v>
      </c>
      <c r="H9535" s="3">
        <v>3.9076111111111485E-2</v>
      </c>
    </row>
    <row r="9536" spans="7:8" x14ac:dyDescent="0.3">
      <c r="G9536" s="15">
        <v>26.475000000000001</v>
      </c>
      <c r="H9536" s="3">
        <v>3.9075500000000374E-2</v>
      </c>
    </row>
    <row r="9537" spans="7:8" x14ac:dyDescent="0.3">
      <c r="G9537" s="15">
        <v>26.477777777777778</v>
      </c>
      <c r="H9537" s="3">
        <v>3.9074888888889263E-2</v>
      </c>
    </row>
    <row r="9538" spans="7:8" x14ac:dyDescent="0.3">
      <c r="G9538" s="15">
        <v>26.480555555555554</v>
      </c>
      <c r="H9538" s="3">
        <v>3.9074277777778152E-2</v>
      </c>
    </row>
    <row r="9539" spans="7:8" x14ac:dyDescent="0.3">
      <c r="G9539" s="15">
        <v>26.483333333333334</v>
      </c>
      <c r="H9539" s="3">
        <v>3.9073666666667041E-2</v>
      </c>
    </row>
    <row r="9540" spans="7:8" x14ac:dyDescent="0.3">
      <c r="G9540" s="15">
        <v>26.486111111111111</v>
      </c>
      <c r="H9540" s="3">
        <v>3.907305555555593E-2</v>
      </c>
    </row>
    <row r="9541" spans="7:8" x14ac:dyDescent="0.3">
      <c r="G9541" s="15">
        <v>26.488888888888887</v>
      </c>
      <c r="H9541" s="3">
        <v>3.9072444444444819E-2</v>
      </c>
    </row>
    <row r="9542" spans="7:8" x14ac:dyDescent="0.3">
      <c r="G9542" s="15">
        <v>26.491666666666667</v>
      </c>
      <c r="H9542" s="3">
        <v>3.9071833333333708E-2</v>
      </c>
    </row>
    <row r="9543" spans="7:8" x14ac:dyDescent="0.3">
      <c r="G9543" s="15">
        <v>26.494444444444444</v>
      </c>
      <c r="H9543" s="3">
        <v>3.9071222222222597E-2</v>
      </c>
    </row>
    <row r="9544" spans="7:8" x14ac:dyDescent="0.3">
      <c r="G9544" s="15">
        <v>26.497222222222224</v>
      </c>
      <c r="H9544" s="3">
        <v>3.9070611111111486E-2</v>
      </c>
    </row>
    <row r="9545" spans="7:8" x14ac:dyDescent="0.3">
      <c r="G9545" s="15">
        <v>26.5</v>
      </c>
      <c r="H9545" s="3">
        <v>3.9070000000000375E-2</v>
      </c>
    </row>
    <row r="9546" spans="7:8" x14ac:dyDescent="0.3">
      <c r="G9546" s="15">
        <v>26.502777777777776</v>
      </c>
      <c r="H9546" s="3">
        <v>3.9069388888889264E-2</v>
      </c>
    </row>
    <row r="9547" spans="7:8" x14ac:dyDescent="0.3">
      <c r="G9547" s="15">
        <v>26.505555555555556</v>
      </c>
      <c r="H9547" s="3">
        <v>3.9068777777778153E-2</v>
      </c>
    </row>
    <row r="9548" spans="7:8" x14ac:dyDescent="0.3">
      <c r="G9548" s="15">
        <v>26.508333333333333</v>
      </c>
      <c r="H9548" s="3">
        <v>3.9068166666667042E-2</v>
      </c>
    </row>
    <row r="9549" spans="7:8" x14ac:dyDescent="0.3">
      <c r="G9549" s="15">
        <v>26.511111111111113</v>
      </c>
      <c r="H9549" s="3">
        <v>3.9067555555555931E-2</v>
      </c>
    </row>
    <row r="9550" spans="7:8" x14ac:dyDescent="0.3">
      <c r="G9550" s="15">
        <v>26.513888888888889</v>
      </c>
      <c r="H9550" s="3">
        <v>3.9066944444444821E-2</v>
      </c>
    </row>
    <row r="9551" spans="7:8" x14ac:dyDescent="0.3">
      <c r="G9551" s="15">
        <v>26.516666666666666</v>
      </c>
      <c r="H9551" s="3">
        <v>3.906633333333371E-2</v>
      </c>
    </row>
    <row r="9552" spans="7:8" x14ac:dyDescent="0.3">
      <c r="G9552" s="15">
        <v>26.519444444444446</v>
      </c>
      <c r="H9552" s="3">
        <v>3.9065722222222599E-2</v>
      </c>
    </row>
    <row r="9553" spans="7:8" x14ac:dyDescent="0.3">
      <c r="G9553" s="15">
        <v>26.522222222222222</v>
      </c>
      <c r="H9553" s="3">
        <v>3.9065111111111488E-2</v>
      </c>
    </row>
    <row r="9554" spans="7:8" x14ac:dyDescent="0.3">
      <c r="G9554" s="15">
        <v>26.524999999999999</v>
      </c>
      <c r="H9554" s="3">
        <v>3.9064500000000377E-2</v>
      </c>
    </row>
    <row r="9555" spans="7:8" x14ac:dyDescent="0.3">
      <c r="G9555" s="15">
        <v>26.527777777777779</v>
      </c>
      <c r="H9555" s="3">
        <v>3.9063888888889266E-2</v>
      </c>
    </row>
    <row r="9556" spans="7:8" x14ac:dyDescent="0.3">
      <c r="G9556" s="15">
        <v>26.530555555555555</v>
      </c>
      <c r="H9556" s="3">
        <v>3.9063277777778155E-2</v>
      </c>
    </row>
    <row r="9557" spans="7:8" x14ac:dyDescent="0.3">
      <c r="G9557" s="15">
        <v>26.533333333333335</v>
      </c>
      <c r="H9557" s="3">
        <v>3.9062666666667044E-2</v>
      </c>
    </row>
    <row r="9558" spans="7:8" x14ac:dyDescent="0.3">
      <c r="G9558" s="15">
        <v>26.536111111111111</v>
      </c>
      <c r="H9558" s="3">
        <v>3.9062055555555933E-2</v>
      </c>
    </row>
    <row r="9559" spans="7:8" x14ac:dyDescent="0.3">
      <c r="G9559" s="15">
        <v>26.538888888888888</v>
      </c>
      <c r="H9559" s="3">
        <v>3.9061444444444822E-2</v>
      </c>
    </row>
    <row r="9560" spans="7:8" x14ac:dyDescent="0.3">
      <c r="G9560" s="15">
        <v>26.541666666666668</v>
      </c>
      <c r="H9560" s="3">
        <v>3.9060833333333711E-2</v>
      </c>
    </row>
    <row r="9561" spans="7:8" x14ac:dyDescent="0.3">
      <c r="G9561" s="15">
        <v>26.544444444444444</v>
      </c>
      <c r="H9561" s="3">
        <v>3.90602222222226E-2</v>
      </c>
    </row>
    <row r="9562" spans="7:8" x14ac:dyDescent="0.3">
      <c r="G9562" s="15">
        <v>26.547222222222221</v>
      </c>
      <c r="H9562" s="3">
        <v>3.9059611111111489E-2</v>
      </c>
    </row>
    <row r="9563" spans="7:8" x14ac:dyDescent="0.3">
      <c r="G9563" s="15">
        <v>26.55</v>
      </c>
      <c r="H9563" s="3">
        <v>3.9059000000000378E-2</v>
      </c>
    </row>
    <row r="9564" spans="7:8" x14ac:dyDescent="0.3">
      <c r="G9564" s="15">
        <v>26.552777777777777</v>
      </c>
      <c r="H9564" s="3">
        <v>3.9058388888889267E-2</v>
      </c>
    </row>
    <row r="9565" spans="7:8" x14ac:dyDescent="0.3">
      <c r="G9565" s="15">
        <v>26.555555555555557</v>
      </c>
      <c r="H9565" s="3">
        <v>3.9057777777778156E-2</v>
      </c>
    </row>
    <row r="9566" spans="7:8" x14ac:dyDescent="0.3">
      <c r="G9566" s="15">
        <v>26.558333333333334</v>
      </c>
      <c r="H9566" s="3">
        <v>3.9057166666667045E-2</v>
      </c>
    </row>
    <row r="9567" spans="7:8" x14ac:dyDescent="0.3">
      <c r="G9567" s="15">
        <v>26.56111111111111</v>
      </c>
      <c r="H9567" s="3">
        <v>3.9056555555555934E-2</v>
      </c>
    </row>
    <row r="9568" spans="7:8" x14ac:dyDescent="0.3">
      <c r="G9568" s="15">
        <v>26.56388888888889</v>
      </c>
      <c r="H9568" s="3">
        <v>3.9055944444444823E-2</v>
      </c>
    </row>
    <row r="9569" spans="7:8" x14ac:dyDescent="0.3">
      <c r="G9569" s="15">
        <v>26.566666666666666</v>
      </c>
      <c r="H9569" s="3">
        <v>3.9055333333333712E-2</v>
      </c>
    </row>
    <row r="9570" spans="7:8" x14ac:dyDescent="0.3">
      <c r="G9570" s="15">
        <v>26.569444444444443</v>
      </c>
      <c r="H9570" s="3">
        <v>3.9054722222222601E-2</v>
      </c>
    </row>
    <row r="9571" spans="7:8" x14ac:dyDescent="0.3">
      <c r="G9571" s="15">
        <v>26.572222222222223</v>
      </c>
      <c r="H9571" s="3">
        <v>3.9054111111111491E-2</v>
      </c>
    </row>
    <row r="9572" spans="7:8" x14ac:dyDescent="0.3">
      <c r="G9572" s="15">
        <v>26.574999999999999</v>
      </c>
      <c r="H9572" s="3">
        <v>3.905350000000038E-2</v>
      </c>
    </row>
    <row r="9573" spans="7:8" x14ac:dyDescent="0.3">
      <c r="G9573" s="15">
        <v>26.577777777777779</v>
      </c>
      <c r="H9573" s="3">
        <v>3.9052888888889269E-2</v>
      </c>
    </row>
    <row r="9574" spans="7:8" x14ac:dyDescent="0.3">
      <c r="G9574" s="15">
        <v>26.580555555555556</v>
      </c>
      <c r="H9574" s="3">
        <v>3.9052277777778158E-2</v>
      </c>
    </row>
    <row r="9575" spans="7:8" x14ac:dyDescent="0.3">
      <c r="G9575" s="15">
        <v>26.583333333333332</v>
      </c>
      <c r="H9575" s="3">
        <v>3.9051666666667047E-2</v>
      </c>
    </row>
    <row r="9576" spans="7:8" x14ac:dyDescent="0.3">
      <c r="G9576" s="15">
        <v>26.586111111111112</v>
      </c>
      <c r="H9576" s="3">
        <v>3.9051055555555936E-2</v>
      </c>
    </row>
    <row r="9577" spans="7:8" x14ac:dyDescent="0.3">
      <c r="G9577" s="15">
        <v>26.588888888888889</v>
      </c>
      <c r="H9577" s="3">
        <v>3.9050444444444825E-2</v>
      </c>
    </row>
    <row r="9578" spans="7:8" x14ac:dyDescent="0.3">
      <c r="G9578" s="15">
        <v>26.591666666666665</v>
      </c>
      <c r="H9578" s="3">
        <v>3.9049833333333714E-2</v>
      </c>
    </row>
    <row r="9579" spans="7:8" x14ac:dyDescent="0.3">
      <c r="G9579" s="15">
        <v>26.594444444444445</v>
      </c>
      <c r="H9579" s="3">
        <v>3.9049222222222603E-2</v>
      </c>
    </row>
    <row r="9580" spans="7:8" x14ac:dyDescent="0.3">
      <c r="G9580" s="15">
        <v>26.597222222222221</v>
      </c>
      <c r="H9580" s="3">
        <v>3.9048611111111492E-2</v>
      </c>
    </row>
    <row r="9581" spans="7:8" x14ac:dyDescent="0.3">
      <c r="G9581" s="15">
        <v>26.6</v>
      </c>
      <c r="H9581" s="3">
        <v>3.9048000000000381E-2</v>
      </c>
    </row>
    <row r="9582" spans="7:8" x14ac:dyDescent="0.3">
      <c r="G9582" s="15">
        <v>26.602777777777778</v>
      </c>
      <c r="H9582" s="3">
        <v>3.904738888888927E-2</v>
      </c>
    </row>
    <row r="9583" spans="7:8" x14ac:dyDescent="0.3">
      <c r="G9583" s="15">
        <v>26.605555555555554</v>
      </c>
      <c r="H9583" s="3">
        <v>3.9046777777778159E-2</v>
      </c>
    </row>
    <row r="9584" spans="7:8" x14ac:dyDescent="0.3">
      <c r="G9584" s="15">
        <v>26.608333333333334</v>
      </c>
      <c r="H9584" s="3">
        <v>3.9046166666667048E-2</v>
      </c>
    </row>
    <row r="9585" spans="7:8" x14ac:dyDescent="0.3">
      <c r="G9585" s="15">
        <v>26.611111111111111</v>
      </c>
      <c r="H9585" s="3">
        <v>3.9045555555555937E-2</v>
      </c>
    </row>
    <row r="9586" spans="7:8" x14ac:dyDescent="0.3">
      <c r="G9586" s="15">
        <v>26.613888888888887</v>
      </c>
      <c r="H9586" s="3">
        <v>3.9044944444444826E-2</v>
      </c>
    </row>
    <row r="9587" spans="7:8" x14ac:dyDescent="0.3">
      <c r="G9587" s="15">
        <v>26.616666666666667</v>
      </c>
      <c r="H9587" s="3">
        <v>3.9044333333333715E-2</v>
      </c>
    </row>
    <row r="9588" spans="7:8" x14ac:dyDescent="0.3">
      <c r="G9588" s="15">
        <v>26.619444444444444</v>
      </c>
      <c r="H9588" s="3">
        <v>3.9043722222222604E-2</v>
      </c>
    </row>
    <row r="9589" spans="7:8" x14ac:dyDescent="0.3">
      <c r="G9589" s="15">
        <v>26.622222222222224</v>
      </c>
      <c r="H9589" s="3">
        <v>3.9043111111111493E-2</v>
      </c>
    </row>
    <row r="9590" spans="7:8" x14ac:dyDescent="0.3">
      <c r="G9590" s="15">
        <v>26.625</v>
      </c>
      <c r="H9590" s="3">
        <v>3.9042500000000382E-2</v>
      </c>
    </row>
    <row r="9591" spans="7:8" x14ac:dyDescent="0.3">
      <c r="G9591" s="15">
        <v>26.627777777777776</v>
      </c>
      <c r="H9591" s="3">
        <v>3.9041888888889272E-2</v>
      </c>
    </row>
    <row r="9592" spans="7:8" x14ac:dyDescent="0.3">
      <c r="G9592" s="15">
        <v>26.630555555555556</v>
      </c>
      <c r="H9592" s="3">
        <v>3.9041277777778161E-2</v>
      </c>
    </row>
    <row r="9593" spans="7:8" x14ac:dyDescent="0.3">
      <c r="G9593" s="15">
        <v>26.633333333333333</v>
      </c>
      <c r="H9593" s="3">
        <v>3.904066666666705E-2</v>
      </c>
    </row>
    <row r="9594" spans="7:8" x14ac:dyDescent="0.3">
      <c r="G9594" s="15">
        <v>26.636111111111113</v>
      </c>
      <c r="H9594" s="3">
        <v>3.9040055555555939E-2</v>
      </c>
    </row>
    <row r="9595" spans="7:8" x14ac:dyDescent="0.3">
      <c r="G9595" s="15">
        <v>26.638888888888889</v>
      </c>
      <c r="H9595" s="3">
        <v>3.9039444444444828E-2</v>
      </c>
    </row>
    <row r="9596" spans="7:8" x14ac:dyDescent="0.3">
      <c r="G9596" s="15">
        <v>26.641666666666666</v>
      </c>
      <c r="H9596" s="3">
        <v>3.9038833333333717E-2</v>
      </c>
    </row>
    <row r="9597" spans="7:8" x14ac:dyDescent="0.3">
      <c r="G9597" s="15">
        <v>26.644444444444446</v>
      </c>
      <c r="H9597" s="3">
        <v>3.9038222222222606E-2</v>
      </c>
    </row>
    <row r="9598" spans="7:8" x14ac:dyDescent="0.3">
      <c r="G9598" s="15">
        <v>26.647222222222222</v>
      </c>
      <c r="H9598" s="3">
        <v>3.9037611111111495E-2</v>
      </c>
    </row>
    <row r="9599" spans="7:8" x14ac:dyDescent="0.3">
      <c r="G9599" s="15">
        <v>26.65</v>
      </c>
      <c r="H9599" s="3">
        <v>3.9037000000000384E-2</v>
      </c>
    </row>
    <row r="9600" spans="7:8" x14ac:dyDescent="0.3">
      <c r="G9600" s="15">
        <v>26.652777777777779</v>
      </c>
      <c r="H9600" s="3">
        <v>3.9036388888889273E-2</v>
      </c>
    </row>
    <row r="9601" spans="7:8" x14ac:dyDescent="0.3">
      <c r="G9601" s="15">
        <v>26.655555555555555</v>
      </c>
      <c r="H9601" s="3">
        <v>3.9035777777778162E-2</v>
      </c>
    </row>
    <row r="9602" spans="7:8" x14ac:dyDescent="0.3">
      <c r="G9602" s="15">
        <v>26.658333333333335</v>
      </c>
      <c r="H9602" s="3">
        <v>3.9035166666667051E-2</v>
      </c>
    </row>
    <row r="9603" spans="7:8" x14ac:dyDescent="0.3">
      <c r="G9603" s="15">
        <v>26.661111111111111</v>
      </c>
      <c r="H9603" s="3">
        <v>3.903455555555594E-2</v>
      </c>
    </row>
    <row r="9604" spans="7:8" x14ac:dyDescent="0.3">
      <c r="G9604" s="15">
        <v>26.663888888888888</v>
      </c>
      <c r="H9604" s="3">
        <v>3.9033944444444829E-2</v>
      </c>
    </row>
    <row r="9605" spans="7:8" x14ac:dyDescent="0.3">
      <c r="G9605" s="15">
        <v>26.666666666666668</v>
      </c>
      <c r="H9605" s="3">
        <v>3.9033333333333718E-2</v>
      </c>
    </row>
    <row r="9606" spans="7:8" x14ac:dyDescent="0.3">
      <c r="G9606" s="15">
        <v>26.669444444444444</v>
      </c>
      <c r="H9606" s="3">
        <v>3.9032722222222607E-2</v>
      </c>
    </row>
    <row r="9607" spans="7:8" x14ac:dyDescent="0.3">
      <c r="G9607" s="15">
        <v>26.672222222222221</v>
      </c>
      <c r="H9607" s="3">
        <v>3.9032111111111496E-2</v>
      </c>
    </row>
    <row r="9608" spans="7:8" x14ac:dyDescent="0.3">
      <c r="G9608" s="15">
        <v>26.675000000000001</v>
      </c>
      <c r="H9608" s="3">
        <v>3.9031500000000385E-2</v>
      </c>
    </row>
    <row r="9609" spans="7:8" x14ac:dyDescent="0.3">
      <c r="G9609" s="15">
        <v>26.677777777777777</v>
      </c>
      <c r="H9609" s="3">
        <v>3.9030888888889274E-2</v>
      </c>
    </row>
    <row r="9610" spans="7:8" x14ac:dyDescent="0.3">
      <c r="G9610" s="15">
        <v>26.680555555555557</v>
      </c>
      <c r="H9610" s="3">
        <v>3.9030277777778163E-2</v>
      </c>
    </row>
    <row r="9611" spans="7:8" x14ac:dyDescent="0.3">
      <c r="G9611" s="15">
        <v>26.683333333333334</v>
      </c>
      <c r="H9611" s="3">
        <v>3.9029666666667052E-2</v>
      </c>
    </row>
    <row r="9612" spans="7:8" x14ac:dyDescent="0.3">
      <c r="G9612" s="15">
        <v>26.68611111111111</v>
      </c>
      <c r="H9612" s="3">
        <v>3.9029055555555942E-2</v>
      </c>
    </row>
    <row r="9613" spans="7:8" x14ac:dyDescent="0.3">
      <c r="G9613" s="15">
        <v>26.68888888888889</v>
      </c>
      <c r="H9613" s="3">
        <v>3.9028444444444831E-2</v>
      </c>
    </row>
    <row r="9614" spans="7:8" x14ac:dyDescent="0.3">
      <c r="G9614" s="15">
        <v>26.691666666666666</v>
      </c>
      <c r="H9614" s="3">
        <v>3.902783333333372E-2</v>
      </c>
    </row>
    <row r="9615" spans="7:8" x14ac:dyDescent="0.3">
      <c r="G9615" s="15">
        <v>26.694444444444443</v>
      </c>
      <c r="H9615" s="3">
        <v>3.9027222222222609E-2</v>
      </c>
    </row>
    <row r="9616" spans="7:8" x14ac:dyDescent="0.3">
      <c r="G9616" s="15">
        <v>26.697222222222223</v>
      </c>
      <c r="H9616" s="3">
        <v>3.9026611111111498E-2</v>
      </c>
    </row>
    <row r="9617" spans="7:8" x14ac:dyDescent="0.3">
      <c r="G9617" s="15">
        <v>26.7</v>
      </c>
      <c r="H9617" s="3">
        <v>3.9026000000000387E-2</v>
      </c>
    </row>
    <row r="9618" spans="7:8" x14ac:dyDescent="0.3">
      <c r="G9618" s="15">
        <v>26.702777777777779</v>
      </c>
      <c r="H9618" s="3">
        <v>3.9025388888889276E-2</v>
      </c>
    </row>
    <row r="9619" spans="7:8" x14ac:dyDescent="0.3">
      <c r="G9619" s="15">
        <v>26.705555555555556</v>
      </c>
      <c r="H9619" s="3">
        <v>3.9024777777778165E-2</v>
      </c>
    </row>
    <row r="9620" spans="7:8" x14ac:dyDescent="0.3">
      <c r="G9620" s="15">
        <v>26.708333333333332</v>
      </c>
      <c r="H9620" s="3">
        <v>3.9024166666667054E-2</v>
      </c>
    </row>
    <row r="9621" spans="7:8" x14ac:dyDescent="0.3">
      <c r="G9621" s="15">
        <v>26.711111111111112</v>
      </c>
      <c r="H9621" s="3">
        <v>3.9023555555555943E-2</v>
      </c>
    </row>
    <row r="9622" spans="7:8" x14ac:dyDescent="0.3">
      <c r="G9622" s="15">
        <v>26.713888888888889</v>
      </c>
      <c r="H9622" s="3">
        <v>3.9022944444444832E-2</v>
      </c>
    </row>
    <row r="9623" spans="7:8" x14ac:dyDescent="0.3">
      <c r="G9623" s="15">
        <v>26.716666666666665</v>
      </c>
      <c r="H9623" s="3">
        <v>3.9022333333333721E-2</v>
      </c>
    </row>
    <row r="9624" spans="7:8" x14ac:dyDescent="0.3">
      <c r="G9624" s="15">
        <v>26.719444444444445</v>
      </c>
      <c r="H9624" s="3">
        <v>3.902172222222261E-2</v>
      </c>
    </row>
    <row r="9625" spans="7:8" x14ac:dyDescent="0.3">
      <c r="G9625" s="15">
        <v>26.722222222222221</v>
      </c>
      <c r="H9625" s="3">
        <v>3.9021111111111499E-2</v>
      </c>
    </row>
    <row r="9626" spans="7:8" x14ac:dyDescent="0.3">
      <c r="G9626" s="15">
        <v>26.725000000000001</v>
      </c>
      <c r="H9626" s="3">
        <v>3.9020500000000388E-2</v>
      </c>
    </row>
    <row r="9627" spans="7:8" x14ac:dyDescent="0.3">
      <c r="G9627" s="15">
        <v>26.727777777777778</v>
      </c>
      <c r="H9627" s="3">
        <v>3.9019888888889277E-2</v>
      </c>
    </row>
    <row r="9628" spans="7:8" x14ac:dyDescent="0.3">
      <c r="G9628" s="15">
        <v>26.730555555555554</v>
      </c>
      <c r="H9628" s="3">
        <v>3.9019277777778166E-2</v>
      </c>
    </row>
    <row r="9629" spans="7:8" x14ac:dyDescent="0.3">
      <c r="G9629" s="15">
        <v>26.733333333333334</v>
      </c>
      <c r="H9629" s="3">
        <v>3.9018666666667055E-2</v>
      </c>
    </row>
    <row r="9630" spans="7:8" x14ac:dyDescent="0.3">
      <c r="G9630" s="15">
        <v>26.736111111111111</v>
      </c>
      <c r="H9630" s="3">
        <v>3.9018055555555944E-2</v>
      </c>
    </row>
    <row r="9631" spans="7:8" x14ac:dyDescent="0.3">
      <c r="G9631" s="15">
        <v>26.738888888888887</v>
      </c>
      <c r="H9631" s="3">
        <v>3.9017444444444833E-2</v>
      </c>
    </row>
    <row r="9632" spans="7:8" x14ac:dyDescent="0.3">
      <c r="G9632" s="15">
        <v>26.741666666666667</v>
      </c>
      <c r="H9632" s="3">
        <v>3.9016833333333722E-2</v>
      </c>
    </row>
    <row r="9633" spans="7:8" x14ac:dyDescent="0.3">
      <c r="G9633" s="15">
        <v>26.744444444444444</v>
      </c>
      <c r="H9633" s="3">
        <v>3.9016222222222612E-2</v>
      </c>
    </row>
    <row r="9634" spans="7:8" x14ac:dyDescent="0.3">
      <c r="G9634" s="15">
        <v>26.747222222222224</v>
      </c>
      <c r="H9634" s="3">
        <v>3.9015611111111501E-2</v>
      </c>
    </row>
    <row r="9635" spans="7:8" x14ac:dyDescent="0.3">
      <c r="G9635" s="15">
        <v>26.75</v>
      </c>
      <c r="H9635" s="3">
        <v>3.901500000000039E-2</v>
      </c>
    </row>
    <row r="9636" spans="7:8" x14ac:dyDescent="0.3">
      <c r="G9636" s="15">
        <v>26.752777777777776</v>
      </c>
      <c r="H9636" s="3">
        <v>3.9014388888889279E-2</v>
      </c>
    </row>
    <row r="9637" spans="7:8" x14ac:dyDescent="0.3">
      <c r="G9637" s="15">
        <v>26.755555555555556</v>
      </c>
      <c r="H9637" s="3">
        <v>3.9013777777778168E-2</v>
      </c>
    </row>
    <row r="9638" spans="7:8" x14ac:dyDescent="0.3">
      <c r="G9638" s="15">
        <v>26.758333333333333</v>
      </c>
      <c r="H9638" s="3">
        <v>3.9013166666667057E-2</v>
      </c>
    </row>
    <row r="9639" spans="7:8" x14ac:dyDescent="0.3">
      <c r="G9639" s="15">
        <v>26.761111111111113</v>
      </c>
      <c r="H9639" s="3">
        <v>3.9012555555555946E-2</v>
      </c>
    </row>
    <row r="9640" spans="7:8" x14ac:dyDescent="0.3">
      <c r="G9640" s="15">
        <v>26.763888888888889</v>
      </c>
      <c r="H9640" s="3">
        <v>3.9011944444444835E-2</v>
      </c>
    </row>
    <row r="9641" spans="7:8" x14ac:dyDescent="0.3">
      <c r="G9641" s="15">
        <v>26.766666666666666</v>
      </c>
      <c r="H9641" s="3">
        <v>3.9011333333333724E-2</v>
      </c>
    </row>
    <row r="9642" spans="7:8" x14ac:dyDescent="0.3">
      <c r="G9642" s="15">
        <v>26.769444444444446</v>
      </c>
      <c r="H9642" s="3">
        <v>3.9010722222222613E-2</v>
      </c>
    </row>
    <row r="9643" spans="7:8" x14ac:dyDescent="0.3">
      <c r="G9643" s="15">
        <v>26.772222222222222</v>
      </c>
      <c r="H9643" s="3">
        <v>3.9010111111111502E-2</v>
      </c>
    </row>
    <row r="9644" spans="7:8" x14ac:dyDescent="0.3">
      <c r="G9644" s="15">
        <v>26.774999999999999</v>
      </c>
      <c r="H9644" s="3">
        <v>3.9009500000000391E-2</v>
      </c>
    </row>
    <row r="9645" spans="7:8" x14ac:dyDescent="0.3">
      <c r="G9645" s="15">
        <v>26.777777777777779</v>
      </c>
      <c r="H9645" s="3">
        <v>3.900888888888928E-2</v>
      </c>
    </row>
    <row r="9646" spans="7:8" x14ac:dyDescent="0.3">
      <c r="G9646" s="15">
        <v>26.780555555555555</v>
      </c>
      <c r="H9646" s="3">
        <v>3.9008277777778169E-2</v>
      </c>
    </row>
    <row r="9647" spans="7:8" x14ac:dyDescent="0.3">
      <c r="G9647" s="15">
        <v>26.783333333333335</v>
      </c>
      <c r="H9647" s="3">
        <v>3.9007666666667058E-2</v>
      </c>
    </row>
    <row r="9648" spans="7:8" x14ac:dyDescent="0.3">
      <c r="G9648" s="15">
        <v>26.786111111111111</v>
      </c>
      <c r="H9648" s="3">
        <v>3.9007055555555947E-2</v>
      </c>
    </row>
    <row r="9649" spans="7:8" x14ac:dyDescent="0.3">
      <c r="G9649" s="15">
        <v>26.788888888888888</v>
      </c>
      <c r="H9649" s="3">
        <v>3.9006444444444836E-2</v>
      </c>
    </row>
    <row r="9650" spans="7:8" x14ac:dyDescent="0.3">
      <c r="G9650" s="15">
        <v>26.791666666666668</v>
      </c>
      <c r="H9650" s="3">
        <v>3.9005833333333725E-2</v>
      </c>
    </row>
    <row r="9651" spans="7:8" x14ac:dyDescent="0.3">
      <c r="G9651" s="15">
        <v>26.794444444444444</v>
      </c>
      <c r="H9651" s="3">
        <v>3.9005222222222614E-2</v>
      </c>
    </row>
    <row r="9652" spans="7:8" x14ac:dyDescent="0.3">
      <c r="G9652" s="15">
        <v>26.797222222222221</v>
      </c>
      <c r="H9652" s="3">
        <v>3.9004611111111503E-2</v>
      </c>
    </row>
    <row r="9653" spans="7:8" x14ac:dyDescent="0.3">
      <c r="G9653" s="15">
        <v>26.8</v>
      </c>
      <c r="H9653" s="3">
        <v>3.9004000000000393E-2</v>
      </c>
    </row>
    <row r="9654" spans="7:8" x14ac:dyDescent="0.3">
      <c r="G9654" s="15">
        <v>26.802777777777777</v>
      </c>
      <c r="H9654" s="3">
        <v>3.9003388888889282E-2</v>
      </c>
    </row>
    <row r="9655" spans="7:8" x14ac:dyDescent="0.3">
      <c r="G9655" s="15">
        <v>26.805555555555557</v>
      </c>
      <c r="H9655" s="3">
        <v>3.9002777777778171E-2</v>
      </c>
    </row>
    <row r="9656" spans="7:8" x14ac:dyDescent="0.3">
      <c r="G9656" s="15">
        <v>26.808333333333334</v>
      </c>
      <c r="H9656" s="3">
        <v>3.900216666666706E-2</v>
      </c>
    </row>
    <row r="9657" spans="7:8" x14ac:dyDescent="0.3">
      <c r="G9657" s="15">
        <v>26.81111111111111</v>
      </c>
      <c r="H9657" s="3">
        <v>3.9001555555555949E-2</v>
      </c>
    </row>
    <row r="9658" spans="7:8" x14ac:dyDescent="0.3">
      <c r="G9658" s="15">
        <v>26.81388888888889</v>
      </c>
      <c r="H9658" s="3">
        <v>3.9000944444444838E-2</v>
      </c>
    </row>
    <row r="9659" spans="7:8" x14ac:dyDescent="0.3">
      <c r="G9659" s="15">
        <v>26.816666666666666</v>
      </c>
      <c r="H9659" s="3">
        <v>3.9000333333333727E-2</v>
      </c>
    </row>
    <row r="9660" spans="7:8" x14ac:dyDescent="0.3">
      <c r="G9660" s="15">
        <v>26.819444444444443</v>
      </c>
      <c r="H9660" s="3">
        <v>3.8999722222222616E-2</v>
      </c>
    </row>
    <row r="9661" spans="7:8" x14ac:dyDescent="0.3">
      <c r="G9661" s="15">
        <v>26.822222222222223</v>
      </c>
      <c r="H9661" s="3">
        <v>3.8999111111111505E-2</v>
      </c>
    </row>
    <row r="9662" spans="7:8" x14ac:dyDescent="0.3">
      <c r="G9662" s="15">
        <v>26.824999999999999</v>
      </c>
      <c r="H9662" s="3">
        <v>3.8998500000000394E-2</v>
      </c>
    </row>
    <row r="9663" spans="7:8" x14ac:dyDescent="0.3">
      <c r="G9663" s="15">
        <v>26.827777777777779</v>
      </c>
      <c r="H9663" s="3">
        <v>3.8997888888889283E-2</v>
      </c>
    </row>
    <row r="9664" spans="7:8" x14ac:dyDescent="0.3">
      <c r="G9664" s="15">
        <v>26.830555555555556</v>
      </c>
      <c r="H9664" s="3">
        <v>3.8997277777778172E-2</v>
      </c>
    </row>
    <row r="9665" spans="7:8" x14ac:dyDescent="0.3">
      <c r="G9665" s="15">
        <v>26.833333333333332</v>
      </c>
      <c r="H9665" s="3">
        <v>3.8996666666667061E-2</v>
      </c>
    </row>
    <row r="9666" spans="7:8" x14ac:dyDescent="0.3">
      <c r="G9666" s="15">
        <v>26.836111111111112</v>
      </c>
      <c r="H9666" s="3">
        <v>3.899605555555595E-2</v>
      </c>
    </row>
    <row r="9667" spans="7:8" x14ac:dyDescent="0.3">
      <c r="G9667" s="15">
        <v>26.838888888888889</v>
      </c>
      <c r="H9667" s="3">
        <v>3.8995444444444839E-2</v>
      </c>
    </row>
    <row r="9668" spans="7:8" x14ac:dyDescent="0.3">
      <c r="G9668" s="15">
        <v>26.841666666666665</v>
      </c>
      <c r="H9668" s="3">
        <v>3.8994833333333728E-2</v>
      </c>
    </row>
    <row r="9669" spans="7:8" x14ac:dyDescent="0.3">
      <c r="G9669" s="15">
        <v>26.844444444444445</v>
      </c>
      <c r="H9669" s="3">
        <v>3.8994222222222617E-2</v>
      </c>
    </row>
    <row r="9670" spans="7:8" x14ac:dyDescent="0.3">
      <c r="G9670" s="15">
        <v>26.847222222222221</v>
      </c>
      <c r="H9670" s="3">
        <v>3.8993611111111506E-2</v>
      </c>
    </row>
    <row r="9671" spans="7:8" x14ac:dyDescent="0.3">
      <c r="G9671" s="15">
        <v>26.85</v>
      </c>
      <c r="H9671" s="3">
        <v>3.8993000000000395E-2</v>
      </c>
    </row>
    <row r="9672" spans="7:8" x14ac:dyDescent="0.3">
      <c r="G9672" s="15">
        <v>26.852777777777778</v>
      </c>
      <c r="H9672" s="3">
        <v>3.8992388888889284E-2</v>
      </c>
    </row>
    <row r="9673" spans="7:8" x14ac:dyDescent="0.3">
      <c r="G9673" s="15">
        <v>26.855555555555554</v>
      </c>
      <c r="H9673" s="3">
        <v>3.8991777777778173E-2</v>
      </c>
    </row>
    <row r="9674" spans="7:8" x14ac:dyDescent="0.3">
      <c r="G9674" s="15">
        <v>26.858333333333334</v>
      </c>
      <c r="H9674" s="3">
        <v>3.8991166666667063E-2</v>
      </c>
    </row>
    <row r="9675" spans="7:8" x14ac:dyDescent="0.3">
      <c r="G9675" s="15">
        <v>26.861111111111111</v>
      </c>
      <c r="H9675" s="3">
        <v>3.8990555555555952E-2</v>
      </c>
    </row>
    <row r="9676" spans="7:8" x14ac:dyDescent="0.3">
      <c r="G9676" s="15">
        <v>26.863888888888887</v>
      </c>
      <c r="H9676" s="3">
        <v>3.8989944444444841E-2</v>
      </c>
    </row>
    <row r="9677" spans="7:8" x14ac:dyDescent="0.3">
      <c r="G9677" s="15">
        <v>26.866666666666667</v>
      </c>
      <c r="H9677" s="3">
        <v>3.898933333333373E-2</v>
      </c>
    </row>
    <row r="9678" spans="7:8" x14ac:dyDescent="0.3">
      <c r="G9678" s="15">
        <v>26.869444444444444</v>
      </c>
      <c r="H9678" s="3">
        <v>3.8988722222222619E-2</v>
      </c>
    </row>
    <row r="9679" spans="7:8" x14ac:dyDescent="0.3">
      <c r="G9679" s="15">
        <v>26.872222222222224</v>
      </c>
      <c r="H9679" s="3">
        <v>3.8988111111111508E-2</v>
      </c>
    </row>
    <row r="9680" spans="7:8" x14ac:dyDescent="0.3">
      <c r="G9680" s="15">
        <v>26.875</v>
      </c>
      <c r="H9680" s="3">
        <v>3.8987500000000397E-2</v>
      </c>
    </row>
    <row r="9681" spans="7:8" x14ac:dyDescent="0.3">
      <c r="G9681" s="15">
        <v>26.877777777777776</v>
      </c>
      <c r="H9681" s="3">
        <v>3.8986888888889286E-2</v>
      </c>
    </row>
    <row r="9682" spans="7:8" x14ac:dyDescent="0.3">
      <c r="G9682" s="15">
        <v>26.880555555555556</v>
      </c>
      <c r="H9682" s="3">
        <v>3.8986277777778175E-2</v>
      </c>
    </row>
    <row r="9683" spans="7:8" x14ac:dyDescent="0.3">
      <c r="G9683" s="15">
        <v>26.883333333333333</v>
      </c>
      <c r="H9683" s="3">
        <v>3.8985666666667064E-2</v>
      </c>
    </row>
    <row r="9684" spans="7:8" x14ac:dyDescent="0.3">
      <c r="G9684" s="15">
        <v>26.886111111111113</v>
      </c>
      <c r="H9684" s="3">
        <v>3.8985055555555953E-2</v>
      </c>
    </row>
    <row r="9685" spans="7:8" x14ac:dyDescent="0.3">
      <c r="G9685" s="15">
        <v>26.888888888888889</v>
      </c>
      <c r="H9685" s="3">
        <v>3.8984444444444842E-2</v>
      </c>
    </row>
    <row r="9686" spans="7:8" x14ac:dyDescent="0.3">
      <c r="G9686" s="15">
        <v>26.891666666666666</v>
      </c>
      <c r="H9686" s="3">
        <v>3.8983833333333731E-2</v>
      </c>
    </row>
    <row r="9687" spans="7:8" x14ac:dyDescent="0.3">
      <c r="G9687" s="15">
        <v>26.894444444444446</v>
      </c>
      <c r="H9687" s="3">
        <v>3.898322222222262E-2</v>
      </c>
    </row>
    <row r="9688" spans="7:8" x14ac:dyDescent="0.3">
      <c r="G9688" s="15">
        <v>26.897222222222222</v>
      </c>
      <c r="H9688" s="3">
        <v>3.8982611111111509E-2</v>
      </c>
    </row>
    <row r="9689" spans="7:8" x14ac:dyDescent="0.3">
      <c r="G9689" s="15">
        <v>26.9</v>
      </c>
      <c r="H9689" s="3">
        <v>3.8982000000000398E-2</v>
      </c>
    </row>
    <row r="9690" spans="7:8" x14ac:dyDescent="0.3">
      <c r="G9690" s="15">
        <v>26.902777777777779</v>
      </c>
      <c r="H9690" s="3">
        <v>3.8981388888889287E-2</v>
      </c>
    </row>
    <row r="9691" spans="7:8" x14ac:dyDescent="0.3">
      <c r="G9691" s="15">
        <v>26.905555555555555</v>
      </c>
      <c r="H9691" s="3">
        <v>3.8980777777778176E-2</v>
      </c>
    </row>
    <row r="9692" spans="7:8" x14ac:dyDescent="0.3">
      <c r="G9692" s="15">
        <v>26.908333333333335</v>
      </c>
      <c r="H9692" s="3">
        <v>3.8980166666667065E-2</v>
      </c>
    </row>
    <row r="9693" spans="7:8" x14ac:dyDescent="0.3">
      <c r="G9693" s="15">
        <v>26.911111111111111</v>
      </c>
      <c r="H9693" s="3">
        <v>3.8979555555555954E-2</v>
      </c>
    </row>
    <row r="9694" spans="7:8" x14ac:dyDescent="0.3">
      <c r="G9694" s="15">
        <v>26.913888888888888</v>
      </c>
      <c r="H9694" s="3">
        <v>3.8978944444444844E-2</v>
      </c>
    </row>
    <row r="9695" spans="7:8" x14ac:dyDescent="0.3">
      <c r="G9695" s="15">
        <v>26.916666666666668</v>
      </c>
      <c r="H9695" s="3">
        <v>3.8978333333333733E-2</v>
      </c>
    </row>
    <row r="9696" spans="7:8" x14ac:dyDescent="0.3">
      <c r="G9696" s="15">
        <v>26.919444444444444</v>
      </c>
      <c r="H9696" s="3">
        <v>3.8977722222222622E-2</v>
      </c>
    </row>
    <row r="9697" spans="7:8" x14ac:dyDescent="0.3">
      <c r="G9697" s="15">
        <v>26.922222222222221</v>
      </c>
      <c r="H9697" s="3">
        <v>3.8977111111111511E-2</v>
      </c>
    </row>
    <row r="9698" spans="7:8" x14ac:dyDescent="0.3">
      <c r="G9698" s="15">
        <v>26.925000000000001</v>
      </c>
      <c r="H9698" s="3">
        <v>3.89765000000004E-2</v>
      </c>
    </row>
    <row r="9699" spans="7:8" x14ac:dyDescent="0.3">
      <c r="G9699" s="15">
        <v>26.927777777777777</v>
      </c>
      <c r="H9699" s="3">
        <v>3.8975888888889289E-2</v>
      </c>
    </row>
    <row r="9700" spans="7:8" x14ac:dyDescent="0.3">
      <c r="G9700" s="15">
        <v>26.930555555555557</v>
      </c>
      <c r="H9700" s="3">
        <v>3.8975277777778178E-2</v>
      </c>
    </row>
    <row r="9701" spans="7:8" x14ac:dyDescent="0.3">
      <c r="G9701" s="15">
        <v>26.933333333333334</v>
      </c>
      <c r="H9701" s="3">
        <v>3.8974666666667067E-2</v>
      </c>
    </row>
    <row r="9702" spans="7:8" x14ac:dyDescent="0.3">
      <c r="G9702" s="15">
        <v>26.93611111111111</v>
      </c>
      <c r="H9702" s="3">
        <v>3.8974055555555956E-2</v>
      </c>
    </row>
    <row r="9703" spans="7:8" x14ac:dyDescent="0.3">
      <c r="G9703" s="15">
        <v>26.93888888888889</v>
      </c>
      <c r="H9703" s="3">
        <v>3.8973444444444845E-2</v>
      </c>
    </row>
    <row r="9704" spans="7:8" x14ac:dyDescent="0.3">
      <c r="G9704" s="15">
        <v>26.941666666666666</v>
      </c>
      <c r="H9704" s="3">
        <v>3.8972833333333734E-2</v>
      </c>
    </row>
    <row r="9705" spans="7:8" x14ac:dyDescent="0.3">
      <c r="G9705" s="15">
        <v>26.944444444444443</v>
      </c>
      <c r="H9705" s="3">
        <v>3.8972222222222623E-2</v>
      </c>
    </row>
    <row r="9706" spans="7:8" x14ac:dyDescent="0.3">
      <c r="G9706" s="15">
        <v>26.947222222222223</v>
      </c>
      <c r="H9706" s="3">
        <v>3.8971611111111512E-2</v>
      </c>
    </row>
    <row r="9707" spans="7:8" x14ac:dyDescent="0.3">
      <c r="G9707" s="15">
        <v>26.95</v>
      </c>
      <c r="H9707" s="3">
        <v>3.8971000000000401E-2</v>
      </c>
    </row>
    <row r="9708" spans="7:8" x14ac:dyDescent="0.3">
      <c r="G9708" s="15">
        <v>26.952777777777779</v>
      </c>
      <c r="H9708" s="3">
        <v>3.897038888888929E-2</v>
      </c>
    </row>
    <row r="9709" spans="7:8" x14ac:dyDescent="0.3">
      <c r="G9709" s="15">
        <v>26.955555555555556</v>
      </c>
      <c r="H9709" s="3">
        <v>3.8969777777778179E-2</v>
      </c>
    </row>
    <row r="9710" spans="7:8" x14ac:dyDescent="0.3">
      <c r="G9710" s="15">
        <v>26.958333333333332</v>
      </c>
      <c r="H9710" s="3">
        <v>3.8969166666667068E-2</v>
      </c>
    </row>
    <row r="9711" spans="7:8" x14ac:dyDescent="0.3">
      <c r="G9711" s="15">
        <v>26.961111111111112</v>
      </c>
      <c r="H9711" s="3">
        <v>3.8968555555555957E-2</v>
      </c>
    </row>
    <row r="9712" spans="7:8" x14ac:dyDescent="0.3">
      <c r="G9712" s="15">
        <v>26.963888888888889</v>
      </c>
      <c r="H9712" s="3">
        <v>3.8967944444444846E-2</v>
      </c>
    </row>
    <row r="9713" spans="7:8" x14ac:dyDescent="0.3">
      <c r="G9713" s="15">
        <v>26.966666666666665</v>
      </c>
      <c r="H9713" s="3">
        <v>3.8967333333333735E-2</v>
      </c>
    </row>
    <row r="9714" spans="7:8" x14ac:dyDescent="0.3">
      <c r="G9714" s="15">
        <v>26.969444444444445</v>
      </c>
      <c r="H9714" s="3">
        <v>3.8966722222222624E-2</v>
      </c>
    </row>
    <row r="9715" spans="7:8" x14ac:dyDescent="0.3">
      <c r="G9715" s="15">
        <v>26.972222222222221</v>
      </c>
      <c r="H9715" s="3">
        <v>3.8966111111111514E-2</v>
      </c>
    </row>
    <row r="9716" spans="7:8" x14ac:dyDescent="0.3">
      <c r="G9716" s="15">
        <v>26.975000000000001</v>
      </c>
      <c r="H9716" s="3">
        <v>3.8965500000000403E-2</v>
      </c>
    </row>
    <row r="9717" spans="7:8" x14ac:dyDescent="0.3">
      <c r="G9717" s="15">
        <v>26.977777777777778</v>
      </c>
      <c r="H9717" s="3">
        <v>3.8964888888889292E-2</v>
      </c>
    </row>
    <row r="9718" spans="7:8" x14ac:dyDescent="0.3">
      <c r="G9718" s="15">
        <v>26.980555555555554</v>
      </c>
      <c r="H9718" s="3">
        <v>3.8964277777778181E-2</v>
      </c>
    </row>
    <row r="9719" spans="7:8" x14ac:dyDescent="0.3">
      <c r="G9719" s="15">
        <v>26.983333333333334</v>
      </c>
      <c r="H9719" s="3">
        <v>3.896366666666707E-2</v>
      </c>
    </row>
    <row r="9720" spans="7:8" x14ac:dyDescent="0.3">
      <c r="G9720" s="15">
        <v>26.986111111111111</v>
      </c>
      <c r="H9720" s="3">
        <v>3.8963055555555959E-2</v>
      </c>
    </row>
    <row r="9721" spans="7:8" x14ac:dyDescent="0.3">
      <c r="G9721" s="15">
        <v>26.988888888888887</v>
      </c>
      <c r="H9721" s="3">
        <v>3.8962444444444848E-2</v>
      </c>
    </row>
    <row r="9722" spans="7:8" x14ac:dyDescent="0.3">
      <c r="G9722" s="15">
        <v>26.991666666666667</v>
      </c>
      <c r="H9722" s="3">
        <v>3.8961833333333737E-2</v>
      </c>
    </row>
    <row r="9723" spans="7:8" x14ac:dyDescent="0.3">
      <c r="G9723" s="15">
        <v>26.994444444444444</v>
      </c>
      <c r="H9723" s="3">
        <v>3.8961222222222626E-2</v>
      </c>
    </row>
    <row r="9724" spans="7:8" x14ac:dyDescent="0.3">
      <c r="G9724" s="15">
        <v>26.997222222222224</v>
      </c>
      <c r="H9724" s="3">
        <v>3.8960611111111515E-2</v>
      </c>
    </row>
    <row r="9725" spans="7:8" x14ac:dyDescent="0.3">
      <c r="G9725" s="15">
        <v>27</v>
      </c>
      <c r="H9725" s="3">
        <v>3.8960000000000404E-2</v>
      </c>
    </row>
    <row r="9726" spans="7:8" x14ac:dyDescent="0.3">
      <c r="G9726" s="15">
        <v>27.002777777777776</v>
      </c>
      <c r="H9726" s="3">
        <v>3.8959388888889293E-2</v>
      </c>
    </row>
    <row r="9727" spans="7:8" x14ac:dyDescent="0.3">
      <c r="G9727" s="15">
        <v>27.005555555555556</v>
      </c>
      <c r="H9727" s="3">
        <v>3.8958777777778182E-2</v>
      </c>
    </row>
    <row r="9728" spans="7:8" x14ac:dyDescent="0.3">
      <c r="G9728" s="15">
        <v>27.008333333333333</v>
      </c>
      <c r="H9728" s="3">
        <v>3.8958166666667071E-2</v>
      </c>
    </row>
    <row r="9729" spans="7:8" x14ac:dyDescent="0.3">
      <c r="G9729" s="15">
        <v>27.011111111111113</v>
      </c>
      <c r="H9729" s="3">
        <v>3.895755555555596E-2</v>
      </c>
    </row>
    <row r="9730" spans="7:8" x14ac:dyDescent="0.3">
      <c r="G9730" s="15">
        <v>27.013888888888889</v>
      </c>
      <c r="H9730" s="3">
        <v>3.8956944444444849E-2</v>
      </c>
    </row>
    <row r="9731" spans="7:8" x14ac:dyDescent="0.3">
      <c r="G9731" s="15">
        <v>27.016666666666666</v>
      </c>
      <c r="H9731" s="3">
        <v>3.8956333333333738E-2</v>
      </c>
    </row>
    <row r="9732" spans="7:8" x14ac:dyDescent="0.3">
      <c r="G9732" s="15">
        <v>27.019444444444446</v>
      </c>
      <c r="H9732" s="3">
        <v>3.8955722222222627E-2</v>
      </c>
    </row>
    <row r="9733" spans="7:8" x14ac:dyDescent="0.3">
      <c r="G9733" s="15">
        <v>27.022222222222222</v>
      </c>
      <c r="H9733" s="3">
        <v>3.8955111111111516E-2</v>
      </c>
    </row>
    <row r="9734" spans="7:8" x14ac:dyDescent="0.3">
      <c r="G9734" s="15">
        <v>27.024999999999999</v>
      </c>
      <c r="H9734" s="3">
        <v>3.8954500000000405E-2</v>
      </c>
    </row>
    <row r="9735" spans="7:8" x14ac:dyDescent="0.3">
      <c r="G9735" s="15">
        <v>27.027777777777779</v>
      </c>
      <c r="H9735" s="3">
        <v>3.8953888888889295E-2</v>
      </c>
    </row>
    <row r="9736" spans="7:8" x14ac:dyDescent="0.3">
      <c r="G9736" s="15">
        <v>27.030555555555555</v>
      </c>
      <c r="H9736" s="3">
        <v>3.8953277777778184E-2</v>
      </c>
    </row>
    <row r="9737" spans="7:8" x14ac:dyDescent="0.3">
      <c r="G9737" s="15">
        <v>27.033333333333335</v>
      </c>
      <c r="H9737" s="3">
        <v>3.8952666666667073E-2</v>
      </c>
    </row>
    <row r="9738" spans="7:8" x14ac:dyDescent="0.3">
      <c r="G9738" s="15">
        <v>27.036111111111111</v>
      </c>
      <c r="H9738" s="3">
        <v>3.8952055555555962E-2</v>
      </c>
    </row>
    <row r="9739" spans="7:8" x14ac:dyDescent="0.3">
      <c r="G9739" s="15">
        <v>27.038888888888888</v>
      </c>
      <c r="H9739" s="3">
        <v>3.8951444444444851E-2</v>
      </c>
    </row>
    <row r="9740" spans="7:8" x14ac:dyDescent="0.3">
      <c r="G9740" s="15">
        <v>27.041666666666668</v>
      </c>
      <c r="H9740" s="3">
        <v>3.895083333333374E-2</v>
      </c>
    </row>
    <row r="9741" spans="7:8" x14ac:dyDescent="0.3">
      <c r="G9741" s="15">
        <v>27.044444444444444</v>
      </c>
      <c r="H9741" s="3">
        <v>3.8950222222222629E-2</v>
      </c>
    </row>
    <row r="9742" spans="7:8" x14ac:dyDescent="0.3">
      <c r="G9742" s="15">
        <v>27.047222222222221</v>
      </c>
      <c r="H9742" s="3">
        <v>3.8949611111111518E-2</v>
      </c>
    </row>
    <row r="9743" spans="7:8" x14ac:dyDescent="0.3">
      <c r="G9743" s="15">
        <v>27.05</v>
      </c>
      <c r="H9743" s="3">
        <v>3.8949000000000407E-2</v>
      </c>
    </row>
    <row r="9744" spans="7:8" x14ac:dyDescent="0.3">
      <c r="G9744" s="15">
        <v>27.052777777777777</v>
      </c>
      <c r="H9744" s="3">
        <v>3.8948388888889296E-2</v>
      </c>
    </row>
    <row r="9745" spans="7:8" x14ac:dyDescent="0.3">
      <c r="G9745" s="15">
        <v>27.055555555555557</v>
      </c>
      <c r="H9745" s="3">
        <v>3.8947777777778185E-2</v>
      </c>
    </row>
    <row r="9746" spans="7:8" x14ac:dyDescent="0.3">
      <c r="G9746" s="15">
        <v>27.058333333333334</v>
      </c>
      <c r="H9746" s="3">
        <v>3.8947166666667074E-2</v>
      </c>
    </row>
    <row r="9747" spans="7:8" x14ac:dyDescent="0.3">
      <c r="G9747" s="15">
        <v>27.06111111111111</v>
      </c>
      <c r="H9747" s="3">
        <v>3.8946555555555963E-2</v>
      </c>
    </row>
    <row r="9748" spans="7:8" x14ac:dyDescent="0.3">
      <c r="G9748" s="15">
        <v>27.06388888888889</v>
      </c>
      <c r="H9748" s="3">
        <v>3.8945944444444852E-2</v>
      </c>
    </row>
    <row r="9749" spans="7:8" x14ac:dyDescent="0.3">
      <c r="G9749" s="15">
        <v>27.066666666666666</v>
      </c>
      <c r="H9749" s="3">
        <v>3.8945333333333741E-2</v>
      </c>
    </row>
    <row r="9750" spans="7:8" x14ac:dyDescent="0.3">
      <c r="G9750" s="15">
        <v>27.069444444444443</v>
      </c>
      <c r="H9750" s="3">
        <v>3.894472222222263E-2</v>
      </c>
    </row>
    <row r="9751" spans="7:8" x14ac:dyDescent="0.3">
      <c r="G9751" s="15">
        <v>27.072222222222223</v>
      </c>
      <c r="H9751" s="3">
        <v>3.8944111111111519E-2</v>
      </c>
    </row>
    <row r="9752" spans="7:8" x14ac:dyDescent="0.3">
      <c r="G9752" s="15">
        <v>27.074999999999999</v>
      </c>
      <c r="H9752" s="3">
        <v>3.8943500000000408E-2</v>
      </c>
    </row>
    <row r="9753" spans="7:8" x14ac:dyDescent="0.3">
      <c r="G9753" s="15">
        <v>27.077777777777779</v>
      </c>
      <c r="H9753" s="3">
        <v>3.8942888888889297E-2</v>
      </c>
    </row>
    <row r="9754" spans="7:8" x14ac:dyDescent="0.3">
      <c r="G9754" s="15">
        <v>27.080555555555556</v>
      </c>
      <c r="H9754" s="3">
        <v>3.8942277777778186E-2</v>
      </c>
    </row>
    <row r="9755" spans="7:8" x14ac:dyDescent="0.3">
      <c r="G9755" s="15">
        <v>27.083333333333332</v>
      </c>
      <c r="H9755" s="3">
        <v>3.8941666666667075E-2</v>
      </c>
    </row>
    <row r="9756" spans="7:8" x14ac:dyDescent="0.3">
      <c r="G9756" s="15">
        <v>27.086111111111112</v>
      </c>
      <c r="H9756" s="3">
        <v>3.8941055555555965E-2</v>
      </c>
    </row>
    <row r="9757" spans="7:8" x14ac:dyDescent="0.3">
      <c r="G9757" s="15">
        <v>27.088888888888889</v>
      </c>
      <c r="H9757" s="3">
        <v>3.8940444444444854E-2</v>
      </c>
    </row>
    <row r="9758" spans="7:8" x14ac:dyDescent="0.3">
      <c r="G9758" s="15">
        <v>27.091666666666665</v>
      </c>
      <c r="H9758" s="3">
        <v>3.8939833333333743E-2</v>
      </c>
    </row>
    <row r="9759" spans="7:8" x14ac:dyDescent="0.3">
      <c r="G9759" s="15">
        <v>27.094444444444445</v>
      </c>
      <c r="H9759" s="3">
        <v>3.8939222222222632E-2</v>
      </c>
    </row>
    <row r="9760" spans="7:8" x14ac:dyDescent="0.3">
      <c r="G9760" s="15">
        <v>27.097222222222221</v>
      </c>
      <c r="H9760" s="3">
        <v>3.8938611111111521E-2</v>
      </c>
    </row>
    <row r="9761" spans="7:8" x14ac:dyDescent="0.3">
      <c r="G9761" s="15">
        <v>27.1</v>
      </c>
      <c r="H9761" s="3">
        <v>3.893800000000041E-2</v>
      </c>
    </row>
    <row r="9762" spans="7:8" x14ac:dyDescent="0.3">
      <c r="G9762" s="15">
        <v>27.102777777777778</v>
      </c>
      <c r="H9762" s="3">
        <v>3.8937388888889299E-2</v>
      </c>
    </row>
    <row r="9763" spans="7:8" x14ac:dyDescent="0.3">
      <c r="G9763" s="15">
        <v>27.105555555555554</v>
      </c>
      <c r="H9763" s="3">
        <v>3.8936777777778188E-2</v>
      </c>
    </row>
    <row r="9764" spans="7:8" x14ac:dyDescent="0.3">
      <c r="G9764" s="15">
        <v>27.108333333333334</v>
      </c>
      <c r="H9764" s="3">
        <v>3.8936166666667077E-2</v>
      </c>
    </row>
    <row r="9765" spans="7:8" x14ac:dyDescent="0.3">
      <c r="G9765" s="15">
        <v>27.111111111111111</v>
      </c>
      <c r="H9765" s="3">
        <v>3.8935555555555966E-2</v>
      </c>
    </row>
    <row r="9766" spans="7:8" x14ac:dyDescent="0.3">
      <c r="G9766" s="15">
        <v>27.113888888888887</v>
      </c>
      <c r="H9766" s="3">
        <v>3.8934944444444855E-2</v>
      </c>
    </row>
    <row r="9767" spans="7:8" x14ac:dyDescent="0.3">
      <c r="G9767" s="15">
        <v>27.116666666666667</v>
      </c>
      <c r="H9767" s="3">
        <v>3.8934333333333744E-2</v>
      </c>
    </row>
    <row r="9768" spans="7:8" x14ac:dyDescent="0.3">
      <c r="G9768" s="15">
        <v>27.119444444444444</v>
      </c>
      <c r="H9768" s="3">
        <v>3.8933722222222633E-2</v>
      </c>
    </row>
    <row r="9769" spans="7:8" x14ac:dyDescent="0.3">
      <c r="G9769" s="15">
        <v>27.122222222222224</v>
      </c>
      <c r="H9769" s="3">
        <v>3.8933111111111522E-2</v>
      </c>
    </row>
    <row r="9770" spans="7:8" x14ac:dyDescent="0.3">
      <c r="G9770" s="15">
        <v>27.125</v>
      </c>
      <c r="H9770" s="3">
        <v>3.8932500000000411E-2</v>
      </c>
    </row>
    <row r="9771" spans="7:8" x14ac:dyDescent="0.3">
      <c r="G9771" s="15">
        <v>27.127777777777776</v>
      </c>
      <c r="H9771" s="3">
        <v>3.89318888888893E-2</v>
      </c>
    </row>
    <row r="9772" spans="7:8" x14ac:dyDescent="0.3">
      <c r="G9772" s="15">
        <v>27.130555555555556</v>
      </c>
      <c r="H9772" s="3">
        <v>3.8931277777778189E-2</v>
      </c>
    </row>
    <row r="9773" spans="7:8" x14ac:dyDescent="0.3">
      <c r="G9773" s="15">
        <v>27.133333333333333</v>
      </c>
      <c r="H9773" s="3">
        <v>3.8930666666667078E-2</v>
      </c>
    </row>
    <row r="9774" spans="7:8" x14ac:dyDescent="0.3">
      <c r="G9774" s="15">
        <v>27.136111111111113</v>
      </c>
      <c r="H9774" s="3">
        <v>3.8930055555555967E-2</v>
      </c>
    </row>
    <row r="9775" spans="7:8" x14ac:dyDescent="0.3">
      <c r="G9775" s="15">
        <v>27.138888888888889</v>
      </c>
      <c r="H9775" s="3">
        <v>3.8929444444444856E-2</v>
      </c>
    </row>
    <row r="9776" spans="7:8" x14ac:dyDescent="0.3">
      <c r="G9776" s="15">
        <v>27.141666666666666</v>
      </c>
      <c r="H9776" s="3">
        <v>3.8928833333333746E-2</v>
      </c>
    </row>
    <row r="9777" spans="7:8" x14ac:dyDescent="0.3">
      <c r="G9777" s="15">
        <v>27.144444444444446</v>
      </c>
      <c r="H9777" s="3">
        <v>3.8928222222222635E-2</v>
      </c>
    </row>
    <row r="9778" spans="7:8" x14ac:dyDescent="0.3">
      <c r="G9778" s="15">
        <v>27.147222222222222</v>
      </c>
      <c r="H9778" s="3">
        <v>3.8927611111111524E-2</v>
      </c>
    </row>
    <row r="9779" spans="7:8" x14ac:dyDescent="0.3">
      <c r="G9779" s="15">
        <v>27.15</v>
      </c>
      <c r="H9779" s="3">
        <v>3.8927000000000413E-2</v>
      </c>
    </row>
    <row r="9780" spans="7:8" x14ac:dyDescent="0.3">
      <c r="G9780" s="15">
        <v>27.152777777777779</v>
      </c>
      <c r="H9780" s="3">
        <v>3.8926388888889302E-2</v>
      </c>
    </row>
    <row r="9781" spans="7:8" x14ac:dyDescent="0.3">
      <c r="G9781" s="15">
        <v>27.155555555555555</v>
      </c>
      <c r="H9781" s="3">
        <v>3.8925777777778191E-2</v>
      </c>
    </row>
    <row r="9782" spans="7:8" x14ac:dyDescent="0.3">
      <c r="G9782" s="15">
        <v>27.158333333333335</v>
      </c>
      <c r="H9782" s="3">
        <v>3.892516666666708E-2</v>
      </c>
    </row>
    <row r="9783" spans="7:8" x14ac:dyDescent="0.3">
      <c r="G9783" s="15">
        <v>27.161111111111111</v>
      </c>
      <c r="H9783" s="3">
        <v>3.8924555555555969E-2</v>
      </c>
    </row>
    <row r="9784" spans="7:8" x14ac:dyDescent="0.3">
      <c r="G9784" s="15">
        <v>27.163888888888888</v>
      </c>
      <c r="H9784" s="3">
        <v>3.8923944444444858E-2</v>
      </c>
    </row>
    <row r="9785" spans="7:8" x14ac:dyDescent="0.3">
      <c r="G9785" s="15">
        <v>27.166666666666668</v>
      </c>
      <c r="H9785" s="3">
        <v>3.8923333333333747E-2</v>
      </c>
    </row>
    <row r="9786" spans="7:8" x14ac:dyDescent="0.3">
      <c r="G9786" s="15">
        <v>27.169444444444444</v>
      </c>
      <c r="H9786" s="3">
        <v>3.8922722222222636E-2</v>
      </c>
    </row>
    <row r="9787" spans="7:8" x14ac:dyDescent="0.3">
      <c r="G9787" s="15">
        <v>27.172222222222221</v>
      </c>
      <c r="H9787" s="3">
        <v>3.8922111111111525E-2</v>
      </c>
    </row>
    <row r="9788" spans="7:8" x14ac:dyDescent="0.3">
      <c r="G9788" s="15">
        <v>27.175000000000001</v>
      </c>
      <c r="H9788" s="3">
        <v>3.8921500000000414E-2</v>
      </c>
    </row>
    <row r="9789" spans="7:8" x14ac:dyDescent="0.3">
      <c r="G9789" s="15">
        <v>27.177777777777777</v>
      </c>
      <c r="H9789" s="3">
        <v>3.8920888888889303E-2</v>
      </c>
    </row>
    <row r="9790" spans="7:8" x14ac:dyDescent="0.3">
      <c r="G9790" s="15">
        <v>27.180555555555557</v>
      </c>
      <c r="H9790" s="3">
        <v>3.8920277777778192E-2</v>
      </c>
    </row>
    <row r="9791" spans="7:8" x14ac:dyDescent="0.3">
      <c r="G9791" s="15">
        <v>27.183333333333334</v>
      </c>
      <c r="H9791" s="3">
        <v>3.8919666666667081E-2</v>
      </c>
    </row>
    <row r="9792" spans="7:8" x14ac:dyDescent="0.3">
      <c r="G9792" s="15">
        <v>27.18611111111111</v>
      </c>
      <c r="H9792" s="3">
        <v>3.891905555555597E-2</v>
      </c>
    </row>
    <row r="9793" spans="7:8" x14ac:dyDescent="0.3">
      <c r="G9793" s="15">
        <v>27.18888888888889</v>
      </c>
      <c r="H9793" s="3">
        <v>3.8918444444444859E-2</v>
      </c>
    </row>
    <row r="9794" spans="7:8" x14ac:dyDescent="0.3">
      <c r="G9794" s="15">
        <v>27.191666666666666</v>
      </c>
      <c r="H9794" s="3">
        <v>3.8917833333333748E-2</v>
      </c>
    </row>
    <row r="9795" spans="7:8" x14ac:dyDescent="0.3">
      <c r="G9795" s="15">
        <v>27.194444444444443</v>
      </c>
      <c r="H9795" s="3">
        <v>3.8917222222222637E-2</v>
      </c>
    </row>
    <row r="9796" spans="7:8" x14ac:dyDescent="0.3">
      <c r="G9796" s="15">
        <v>27.197222222222223</v>
      </c>
      <c r="H9796" s="3">
        <v>3.8916611111111526E-2</v>
      </c>
    </row>
    <row r="9797" spans="7:8" x14ac:dyDescent="0.3">
      <c r="G9797" s="15">
        <v>27.2</v>
      </c>
      <c r="H9797" s="3">
        <v>3.8916000000000416E-2</v>
      </c>
    </row>
    <row r="9798" spans="7:8" x14ac:dyDescent="0.3">
      <c r="G9798" s="15">
        <v>27.202777777777779</v>
      </c>
      <c r="H9798" s="3">
        <v>3.8915388888889305E-2</v>
      </c>
    </row>
    <row r="9799" spans="7:8" x14ac:dyDescent="0.3">
      <c r="G9799" s="15">
        <v>27.205555555555556</v>
      </c>
      <c r="H9799" s="3">
        <v>3.8914777777778194E-2</v>
      </c>
    </row>
    <row r="9800" spans="7:8" x14ac:dyDescent="0.3">
      <c r="G9800" s="15">
        <v>27.208333333333332</v>
      </c>
      <c r="H9800" s="3">
        <v>3.8914166666667083E-2</v>
      </c>
    </row>
    <row r="9801" spans="7:8" x14ac:dyDescent="0.3">
      <c r="G9801" s="15">
        <v>27.211111111111112</v>
      </c>
      <c r="H9801" s="3">
        <v>3.8913555555555972E-2</v>
      </c>
    </row>
    <row r="9802" spans="7:8" x14ac:dyDescent="0.3">
      <c r="G9802" s="15">
        <v>27.213888888888889</v>
      </c>
      <c r="H9802" s="3">
        <v>3.8912944444444861E-2</v>
      </c>
    </row>
    <row r="9803" spans="7:8" x14ac:dyDescent="0.3">
      <c r="G9803" s="15">
        <v>27.216666666666665</v>
      </c>
      <c r="H9803" s="3">
        <v>3.891233333333375E-2</v>
      </c>
    </row>
    <row r="9804" spans="7:8" x14ac:dyDescent="0.3">
      <c r="G9804" s="15">
        <v>27.219444444444445</v>
      </c>
      <c r="H9804" s="3">
        <v>3.8911722222222639E-2</v>
      </c>
    </row>
    <row r="9805" spans="7:8" x14ac:dyDescent="0.3">
      <c r="G9805" s="15">
        <v>27.222222222222221</v>
      </c>
      <c r="H9805" s="3">
        <v>3.8911111111111528E-2</v>
      </c>
    </row>
    <row r="9806" spans="7:8" x14ac:dyDescent="0.3">
      <c r="G9806" s="15">
        <v>27.225000000000001</v>
      </c>
      <c r="H9806" s="3">
        <v>3.8910500000000417E-2</v>
      </c>
    </row>
    <row r="9807" spans="7:8" x14ac:dyDescent="0.3">
      <c r="G9807" s="15">
        <v>27.227777777777778</v>
      </c>
      <c r="H9807" s="3">
        <v>3.8909888888889306E-2</v>
      </c>
    </row>
    <row r="9808" spans="7:8" x14ac:dyDescent="0.3">
      <c r="G9808" s="15">
        <v>27.230555555555554</v>
      </c>
      <c r="H9808" s="3">
        <v>3.8909277777778195E-2</v>
      </c>
    </row>
    <row r="9809" spans="7:8" x14ac:dyDescent="0.3">
      <c r="G9809" s="15">
        <v>27.233333333333334</v>
      </c>
      <c r="H9809" s="3">
        <v>3.8908666666667084E-2</v>
      </c>
    </row>
    <row r="9810" spans="7:8" x14ac:dyDescent="0.3">
      <c r="G9810" s="15">
        <v>27.236111111111111</v>
      </c>
      <c r="H9810" s="3">
        <v>3.8908055555555973E-2</v>
      </c>
    </row>
    <row r="9811" spans="7:8" x14ac:dyDescent="0.3">
      <c r="G9811" s="15">
        <v>27.238888888888887</v>
      </c>
      <c r="H9811" s="3">
        <v>3.8907444444444862E-2</v>
      </c>
    </row>
    <row r="9812" spans="7:8" x14ac:dyDescent="0.3">
      <c r="G9812" s="15">
        <v>27.241666666666667</v>
      </c>
      <c r="H9812" s="3">
        <v>3.8906833333333751E-2</v>
      </c>
    </row>
    <row r="9813" spans="7:8" x14ac:dyDescent="0.3">
      <c r="G9813" s="15">
        <v>27.244444444444444</v>
      </c>
      <c r="H9813" s="3">
        <v>3.890622222222264E-2</v>
      </c>
    </row>
    <row r="9814" spans="7:8" x14ac:dyDescent="0.3">
      <c r="G9814" s="15">
        <v>27.247222222222224</v>
      </c>
      <c r="H9814" s="3">
        <v>3.8905611111111529E-2</v>
      </c>
    </row>
    <row r="9815" spans="7:8" x14ac:dyDescent="0.3">
      <c r="G9815" s="15">
        <v>27.25</v>
      </c>
      <c r="H9815" s="3">
        <v>3.8905000000000418E-2</v>
      </c>
    </row>
    <row r="9816" spans="7:8" x14ac:dyDescent="0.3">
      <c r="G9816" s="15">
        <v>27.252777777777776</v>
      </c>
      <c r="H9816" s="3">
        <v>3.8904388888889307E-2</v>
      </c>
    </row>
    <row r="9817" spans="7:8" x14ac:dyDescent="0.3">
      <c r="G9817" s="15">
        <v>27.255555555555556</v>
      </c>
      <c r="H9817" s="3">
        <v>3.8903777777778197E-2</v>
      </c>
    </row>
    <row r="9818" spans="7:8" x14ac:dyDescent="0.3">
      <c r="G9818" s="15">
        <v>27.258333333333333</v>
      </c>
      <c r="H9818" s="3">
        <v>3.8903166666667086E-2</v>
      </c>
    </row>
    <row r="9819" spans="7:8" x14ac:dyDescent="0.3">
      <c r="G9819" s="15">
        <v>27.261111111111113</v>
      </c>
      <c r="H9819" s="3">
        <v>3.8902555555555975E-2</v>
      </c>
    </row>
    <row r="9820" spans="7:8" x14ac:dyDescent="0.3">
      <c r="G9820" s="15">
        <v>27.263888888888889</v>
      </c>
      <c r="H9820" s="3">
        <v>3.8901944444444864E-2</v>
      </c>
    </row>
    <row r="9821" spans="7:8" x14ac:dyDescent="0.3">
      <c r="G9821" s="15">
        <v>27.266666666666666</v>
      </c>
      <c r="H9821" s="3">
        <v>3.8901333333333753E-2</v>
      </c>
    </row>
    <row r="9822" spans="7:8" x14ac:dyDescent="0.3">
      <c r="G9822" s="15">
        <v>27.269444444444446</v>
      </c>
      <c r="H9822" s="3">
        <v>3.8900722222222642E-2</v>
      </c>
    </row>
    <row r="9823" spans="7:8" x14ac:dyDescent="0.3">
      <c r="G9823" s="15">
        <v>27.272222222222222</v>
      </c>
      <c r="H9823" s="3">
        <v>3.8900111111111531E-2</v>
      </c>
    </row>
    <row r="9824" spans="7:8" x14ac:dyDescent="0.3">
      <c r="G9824" s="15">
        <v>27.274999999999999</v>
      </c>
      <c r="H9824" s="3">
        <v>3.889950000000042E-2</v>
      </c>
    </row>
    <row r="9825" spans="7:8" x14ac:dyDescent="0.3">
      <c r="G9825" s="15">
        <v>27.277777777777779</v>
      </c>
      <c r="H9825" s="3">
        <v>3.8898888888889309E-2</v>
      </c>
    </row>
    <row r="9826" spans="7:8" x14ac:dyDescent="0.3">
      <c r="G9826" s="15">
        <v>27.280555555555555</v>
      </c>
      <c r="H9826" s="3">
        <v>3.8898277777778198E-2</v>
      </c>
    </row>
    <row r="9827" spans="7:8" x14ac:dyDescent="0.3">
      <c r="G9827" s="15">
        <v>27.283333333333335</v>
      </c>
      <c r="H9827" s="3">
        <v>3.8897666666667087E-2</v>
      </c>
    </row>
    <row r="9828" spans="7:8" x14ac:dyDescent="0.3">
      <c r="G9828" s="15">
        <v>27.286111111111111</v>
      </c>
      <c r="H9828" s="3">
        <v>3.8897055555555976E-2</v>
      </c>
    </row>
    <row r="9829" spans="7:8" x14ac:dyDescent="0.3">
      <c r="G9829" s="15">
        <v>27.288888888888888</v>
      </c>
      <c r="H9829" s="3">
        <v>3.8896444444444865E-2</v>
      </c>
    </row>
    <row r="9830" spans="7:8" x14ac:dyDescent="0.3">
      <c r="G9830" s="15">
        <v>27.291666666666668</v>
      </c>
      <c r="H9830" s="3">
        <v>3.8895833333333754E-2</v>
      </c>
    </row>
    <row r="9831" spans="7:8" x14ac:dyDescent="0.3">
      <c r="G9831" s="15">
        <v>27.294444444444444</v>
      </c>
      <c r="H9831" s="3">
        <v>3.8895222222222643E-2</v>
      </c>
    </row>
    <row r="9832" spans="7:8" x14ac:dyDescent="0.3">
      <c r="G9832" s="15">
        <v>27.297222222222221</v>
      </c>
      <c r="H9832" s="3">
        <v>3.8894611111111532E-2</v>
      </c>
    </row>
    <row r="9833" spans="7:8" x14ac:dyDescent="0.3">
      <c r="G9833" s="15">
        <v>27.3</v>
      </c>
      <c r="H9833" s="3">
        <v>3.8894000000000421E-2</v>
      </c>
    </row>
    <row r="9834" spans="7:8" x14ac:dyDescent="0.3">
      <c r="G9834" s="15">
        <v>27.302777777777777</v>
      </c>
      <c r="H9834" s="3">
        <v>3.889338888888931E-2</v>
      </c>
    </row>
    <row r="9835" spans="7:8" x14ac:dyDescent="0.3">
      <c r="G9835" s="15">
        <v>27.305555555555557</v>
      </c>
      <c r="H9835" s="3">
        <v>3.8892777777778199E-2</v>
      </c>
    </row>
    <row r="9836" spans="7:8" x14ac:dyDescent="0.3">
      <c r="G9836" s="15">
        <v>27.308333333333334</v>
      </c>
      <c r="H9836" s="3">
        <v>3.8892166666667088E-2</v>
      </c>
    </row>
    <row r="9837" spans="7:8" x14ac:dyDescent="0.3">
      <c r="G9837" s="15">
        <v>27.31111111111111</v>
      </c>
      <c r="H9837" s="3">
        <v>3.8891555555555977E-2</v>
      </c>
    </row>
    <row r="9838" spans="7:8" x14ac:dyDescent="0.3">
      <c r="G9838" s="15">
        <v>27.31388888888889</v>
      </c>
      <c r="H9838" s="3">
        <v>3.8890944444444867E-2</v>
      </c>
    </row>
    <row r="9839" spans="7:8" x14ac:dyDescent="0.3">
      <c r="G9839" s="15">
        <v>27.316666666666666</v>
      </c>
      <c r="H9839" s="3">
        <v>3.8890333333333756E-2</v>
      </c>
    </row>
    <row r="9840" spans="7:8" x14ac:dyDescent="0.3">
      <c r="G9840" s="15">
        <v>27.319444444444443</v>
      </c>
      <c r="H9840" s="3">
        <v>3.8889722222222645E-2</v>
      </c>
    </row>
    <row r="9841" spans="7:8" x14ac:dyDescent="0.3">
      <c r="G9841" s="15">
        <v>27.322222222222223</v>
      </c>
      <c r="H9841" s="3">
        <v>3.8889111111111534E-2</v>
      </c>
    </row>
    <row r="9842" spans="7:8" x14ac:dyDescent="0.3">
      <c r="G9842" s="15">
        <v>27.324999999999999</v>
      </c>
      <c r="H9842" s="3">
        <v>3.8888500000000423E-2</v>
      </c>
    </row>
    <row r="9843" spans="7:8" x14ac:dyDescent="0.3">
      <c r="G9843" s="15">
        <v>27.327777777777779</v>
      </c>
      <c r="H9843" s="3">
        <v>3.8887888888889312E-2</v>
      </c>
    </row>
    <row r="9844" spans="7:8" x14ac:dyDescent="0.3">
      <c r="G9844" s="15">
        <v>27.330555555555556</v>
      </c>
      <c r="H9844" s="3">
        <v>3.8887277777778201E-2</v>
      </c>
    </row>
    <row r="9845" spans="7:8" x14ac:dyDescent="0.3">
      <c r="G9845" s="15">
        <v>27.333333333333332</v>
      </c>
      <c r="H9845" s="3">
        <v>3.888666666666709E-2</v>
      </c>
    </row>
    <row r="9846" spans="7:8" x14ac:dyDescent="0.3">
      <c r="G9846" s="15">
        <v>27.336111111111112</v>
      </c>
      <c r="H9846" s="3">
        <v>3.8886055555555979E-2</v>
      </c>
    </row>
    <row r="9847" spans="7:8" x14ac:dyDescent="0.3">
      <c r="G9847" s="15">
        <v>27.338888888888889</v>
      </c>
      <c r="H9847" s="3">
        <v>3.8885444444444868E-2</v>
      </c>
    </row>
    <row r="9848" spans="7:8" x14ac:dyDescent="0.3">
      <c r="G9848" s="15">
        <v>27.341666666666665</v>
      </c>
      <c r="H9848" s="3">
        <v>3.8884833333333757E-2</v>
      </c>
    </row>
    <row r="9849" spans="7:8" x14ac:dyDescent="0.3">
      <c r="G9849" s="15">
        <v>27.344444444444445</v>
      </c>
      <c r="H9849" s="3">
        <v>3.8884222222222646E-2</v>
      </c>
    </row>
    <row r="9850" spans="7:8" x14ac:dyDescent="0.3">
      <c r="G9850" s="15">
        <v>27.347222222222221</v>
      </c>
      <c r="H9850" s="3">
        <v>3.8883611111111535E-2</v>
      </c>
    </row>
    <row r="9851" spans="7:8" x14ac:dyDescent="0.3">
      <c r="G9851" s="15">
        <v>27.35</v>
      </c>
      <c r="H9851" s="3">
        <v>3.8883000000000424E-2</v>
      </c>
    </row>
    <row r="9852" spans="7:8" x14ac:dyDescent="0.3">
      <c r="G9852" s="15">
        <v>27.352777777777778</v>
      </c>
      <c r="H9852" s="3">
        <v>3.8882388888889313E-2</v>
      </c>
    </row>
    <row r="9853" spans="7:8" x14ac:dyDescent="0.3">
      <c r="G9853" s="15">
        <v>27.355555555555554</v>
      </c>
      <c r="H9853" s="3">
        <v>3.8881777777778202E-2</v>
      </c>
    </row>
    <row r="9854" spans="7:8" x14ac:dyDescent="0.3">
      <c r="G9854" s="15">
        <v>27.358333333333334</v>
      </c>
      <c r="H9854" s="3">
        <v>3.8881166666667091E-2</v>
      </c>
    </row>
    <row r="9855" spans="7:8" x14ac:dyDescent="0.3">
      <c r="G9855" s="15">
        <v>27.361111111111111</v>
      </c>
      <c r="H9855" s="3">
        <v>3.888055555555598E-2</v>
      </c>
    </row>
    <row r="9856" spans="7:8" x14ac:dyDescent="0.3">
      <c r="G9856" s="15">
        <v>27.363888888888887</v>
      </c>
      <c r="H9856" s="3">
        <v>3.8879944444444869E-2</v>
      </c>
    </row>
    <row r="9857" spans="7:8" x14ac:dyDescent="0.3">
      <c r="G9857" s="15">
        <v>27.366666666666667</v>
      </c>
      <c r="H9857" s="3">
        <v>3.8879333333333758E-2</v>
      </c>
    </row>
    <row r="9858" spans="7:8" x14ac:dyDescent="0.3">
      <c r="G9858" s="15">
        <v>27.369444444444444</v>
      </c>
      <c r="H9858" s="3">
        <v>3.8878722222222648E-2</v>
      </c>
    </row>
    <row r="9859" spans="7:8" x14ac:dyDescent="0.3">
      <c r="G9859" s="15">
        <v>27.372222222222224</v>
      </c>
      <c r="H9859" s="3">
        <v>3.8878111111111537E-2</v>
      </c>
    </row>
    <row r="9860" spans="7:8" x14ac:dyDescent="0.3">
      <c r="G9860" s="15">
        <v>27.375</v>
      </c>
      <c r="H9860" s="3">
        <v>3.8877500000000426E-2</v>
      </c>
    </row>
    <row r="9861" spans="7:8" x14ac:dyDescent="0.3">
      <c r="G9861" s="15">
        <v>27.377777777777776</v>
      </c>
      <c r="H9861" s="3">
        <v>3.8876888888889315E-2</v>
      </c>
    </row>
    <row r="9862" spans="7:8" x14ac:dyDescent="0.3">
      <c r="G9862" s="15">
        <v>27.380555555555556</v>
      </c>
      <c r="H9862" s="3">
        <v>3.8876277777778204E-2</v>
      </c>
    </row>
    <row r="9863" spans="7:8" x14ac:dyDescent="0.3">
      <c r="G9863" s="15">
        <v>27.383333333333333</v>
      </c>
      <c r="H9863" s="3">
        <v>3.8875666666667093E-2</v>
      </c>
    </row>
    <row r="9864" spans="7:8" x14ac:dyDescent="0.3">
      <c r="G9864" s="15">
        <v>27.386111111111113</v>
      </c>
      <c r="H9864" s="3">
        <v>3.8875055555555982E-2</v>
      </c>
    </row>
    <row r="9865" spans="7:8" x14ac:dyDescent="0.3">
      <c r="G9865" s="15">
        <v>27.388888888888889</v>
      </c>
      <c r="H9865" s="3">
        <v>3.8874444444444871E-2</v>
      </c>
    </row>
    <row r="9866" spans="7:8" x14ac:dyDescent="0.3">
      <c r="G9866" s="15">
        <v>27.391666666666666</v>
      </c>
      <c r="H9866" s="3">
        <v>3.887383333333376E-2</v>
      </c>
    </row>
    <row r="9867" spans="7:8" x14ac:dyDescent="0.3">
      <c r="G9867" s="15">
        <v>27.394444444444446</v>
      </c>
      <c r="H9867" s="3">
        <v>3.8873222222222649E-2</v>
      </c>
    </row>
    <row r="9868" spans="7:8" x14ac:dyDescent="0.3">
      <c r="G9868" s="15">
        <v>27.397222222222222</v>
      </c>
      <c r="H9868" s="3">
        <v>3.8872611111111538E-2</v>
      </c>
    </row>
    <row r="9869" spans="7:8" x14ac:dyDescent="0.3">
      <c r="G9869" s="15">
        <v>27.4</v>
      </c>
      <c r="H9869" s="3">
        <v>3.8872000000000427E-2</v>
      </c>
    </row>
    <row r="9870" spans="7:8" x14ac:dyDescent="0.3">
      <c r="G9870" s="15">
        <v>27.402777777777779</v>
      </c>
      <c r="H9870" s="3">
        <v>3.8871388888889316E-2</v>
      </c>
    </row>
    <row r="9871" spans="7:8" x14ac:dyDescent="0.3">
      <c r="G9871" s="15">
        <v>27.405555555555555</v>
      </c>
      <c r="H9871" s="3">
        <v>3.8870777777778205E-2</v>
      </c>
    </row>
    <row r="9872" spans="7:8" x14ac:dyDescent="0.3">
      <c r="G9872" s="15">
        <v>27.408333333333335</v>
      </c>
      <c r="H9872" s="3">
        <v>3.8870166666667094E-2</v>
      </c>
    </row>
    <row r="9873" spans="7:8" x14ac:dyDescent="0.3">
      <c r="G9873" s="15">
        <v>27.411111111111111</v>
      </c>
      <c r="H9873" s="3">
        <v>3.8869555555555983E-2</v>
      </c>
    </row>
    <row r="9874" spans="7:8" x14ac:dyDescent="0.3">
      <c r="G9874" s="15">
        <v>27.413888888888888</v>
      </c>
      <c r="H9874" s="3">
        <v>3.8868944444444872E-2</v>
      </c>
    </row>
    <row r="9875" spans="7:8" x14ac:dyDescent="0.3">
      <c r="G9875" s="15">
        <v>27.416666666666668</v>
      </c>
      <c r="H9875" s="3">
        <v>3.8868333333333761E-2</v>
      </c>
    </row>
    <row r="9876" spans="7:8" x14ac:dyDescent="0.3">
      <c r="G9876" s="15">
        <v>27.419444444444444</v>
      </c>
      <c r="H9876" s="3">
        <v>3.886772222222265E-2</v>
      </c>
    </row>
    <row r="9877" spans="7:8" x14ac:dyDescent="0.3">
      <c r="G9877" s="15">
        <v>27.422222222222221</v>
      </c>
      <c r="H9877" s="3">
        <v>3.8867111111111539E-2</v>
      </c>
    </row>
    <row r="9878" spans="7:8" x14ac:dyDescent="0.3">
      <c r="G9878" s="15">
        <v>27.425000000000001</v>
      </c>
      <c r="H9878" s="3">
        <v>3.8866500000000428E-2</v>
      </c>
    </row>
    <row r="9879" spans="7:8" x14ac:dyDescent="0.3">
      <c r="G9879" s="15">
        <v>27.427777777777777</v>
      </c>
      <c r="H9879" s="3">
        <v>3.8865888888889318E-2</v>
      </c>
    </row>
    <row r="9880" spans="7:8" x14ac:dyDescent="0.3">
      <c r="G9880" s="15">
        <v>27.430555555555557</v>
      </c>
      <c r="H9880" s="3">
        <v>3.8865277777778207E-2</v>
      </c>
    </row>
    <row r="9881" spans="7:8" x14ac:dyDescent="0.3">
      <c r="G9881" s="15">
        <v>27.433333333333334</v>
      </c>
      <c r="H9881" s="3">
        <v>3.8864666666667096E-2</v>
      </c>
    </row>
    <row r="9882" spans="7:8" x14ac:dyDescent="0.3">
      <c r="G9882" s="15">
        <v>27.43611111111111</v>
      </c>
      <c r="H9882" s="3">
        <v>3.8864055555555985E-2</v>
      </c>
    </row>
    <row r="9883" spans="7:8" x14ac:dyDescent="0.3">
      <c r="G9883" s="15">
        <v>27.43888888888889</v>
      </c>
      <c r="H9883" s="3">
        <v>3.8863444444444874E-2</v>
      </c>
    </row>
    <row r="9884" spans="7:8" x14ac:dyDescent="0.3">
      <c r="G9884" s="15">
        <v>27.441666666666666</v>
      </c>
      <c r="H9884" s="3">
        <v>3.8862833333333763E-2</v>
      </c>
    </row>
    <row r="9885" spans="7:8" x14ac:dyDescent="0.3">
      <c r="G9885" s="15">
        <v>27.444444444444443</v>
      </c>
      <c r="H9885" s="3">
        <v>3.8862222222222652E-2</v>
      </c>
    </row>
    <row r="9886" spans="7:8" x14ac:dyDescent="0.3">
      <c r="G9886" s="15">
        <v>27.447222222222223</v>
      </c>
      <c r="H9886" s="3">
        <v>3.8861611111111541E-2</v>
      </c>
    </row>
    <row r="9887" spans="7:8" x14ac:dyDescent="0.3">
      <c r="G9887" s="15">
        <v>27.45</v>
      </c>
      <c r="H9887" s="3">
        <v>3.886100000000043E-2</v>
      </c>
    </row>
    <row r="9888" spans="7:8" x14ac:dyDescent="0.3">
      <c r="G9888" s="15">
        <v>27.452777777777779</v>
      </c>
      <c r="H9888" s="3">
        <v>3.8860388888889319E-2</v>
      </c>
    </row>
    <row r="9889" spans="7:8" x14ac:dyDescent="0.3">
      <c r="G9889" s="15">
        <v>27.455555555555556</v>
      </c>
      <c r="H9889" s="3">
        <v>3.8859777777778208E-2</v>
      </c>
    </row>
    <row r="9890" spans="7:8" x14ac:dyDescent="0.3">
      <c r="G9890" s="15">
        <v>27.458333333333332</v>
      </c>
      <c r="H9890" s="3">
        <v>3.8859166666667097E-2</v>
      </c>
    </row>
    <row r="9891" spans="7:8" x14ac:dyDescent="0.3">
      <c r="G9891" s="15">
        <v>27.461111111111112</v>
      </c>
      <c r="H9891" s="3">
        <v>3.8858555555555986E-2</v>
      </c>
    </row>
    <row r="9892" spans="7:8" x14ac:dyDescent="0.3">
      <c r="G9892" s="15">
        <v>27.463888888888889</v>
      </c>
      <c r="H9892" s="3">
        <v>3.8857944444444875E-2</v>
      </c>
    </row>
    <row r="9893" spans="7:8" x14ac:dyDescent="0.3">
      <c r="G9893" s="15">
        <v>27.466666666666665</v>
      </c>
      <c r="H9893" s="3">
        <v>3.8857333333333764E-2</v>
      </c>
    </row>
    <row r="9894" spans="7:8" x14ac:dyDescent="0.3">
      <c r="G9894" s="15">
        <v>27.469444444444445</v>
      </c>
      <c r="H9894" s="3">
        <v>3.8856722222222653E-2</v>
      </c>
    </row>
    <row r="9895" spans="7:8" x14ac:dyDescent="0.3">
      <c r="G9895" s="15">
        <v>27.472222222222221</v>
      </c>
      <c r="H9895" s="3">
        <v>3.8856111111111542E-2</v>
      </c>
    </row>
    <row r="9896" spans="7:8" x14ac:dyDescent="0.3">
      <c r="G9896" s="15">
        <v>27.475000000000001</v>
      </c>
      <c r="H9896" s="3">
        <v>3.8855500000000431E-2</v>
      </c>
    </row>
    <row r="9897" spans="7:8" x14ac:dyDescent="0.3">
      <c r="G9897" s="15">
        <v>27.477777777777778</v>
      </c>
      <c r="H9897" s="3">
        <v>3.885488888888932E-2</v>
      </c>
    </row>
    <row r="9898" spans="7:8" x14ac:dyDescent="0.3">
      <c r="G9898" s="15">
        <v>27.480555555555554</v>
      </c>
      <c r="H9898" s="3">
        <v>3.8854277777778209E-2</v>
      </c>
    </row>
    <row r="9899" spans="7:8" x14ac:dyDescent="0.3">
      <c r="G9899" s="15">
        <v>27.483333333333334</v>
      </c>
      <c r="H9899" s="3">
        <v>3.8853666666667099E-2</v>
      </c>
    </row>
    <row r="9900" spans="7:8" x14ac:dyDescent="0.3">
      <c r="G9900" s="15">
        <v>27.486111111111111</v>
      </c>
      <c r="H9900" s="3">
        <v>3.8853055555555988E-2</v>
      </c>
    </row>
    <row r="9901" spans="7:8" x14ac:dyDescent="0.3">
      <c r="G9901" s="15">
        <v>27.488888888888887</v>
      </c>
      <c r="H9901" s="3">
        <v>3.8852444444444877E-2</v>
      </c>
    </row>
    <row r="9902" spans="7:8" x14ac:dyDescent="0.3">
      <c r="G9902" s="15">
        <v>27.491666666666667</v>
      </c>
      <c r="H9902" s="3">
        <v>3.8851833333333766E-2</v>
      </c>
    </row>
    <row r="9903" spans="7:8" x14ac:dyDescent="0.3">
      <c r="G9903" s="15">
        <v>27.494444444444444</v>
      </c>
      <c r="H9903" s="3">
        <v>3.8851222222222655E-2</v>
      </c>
    </row>
    <row r="9904" spans="7:8" x14ac:dyDescent="0.3">
      <c r="G9904" s="15">
        <v>27.497222222222224</v>
      </c>
      <c r="H9904" s="3">
        <v>3.8850611111111544E-2</v>
      </c>
    </row>
    <row r="9905" spans="7:8" x14ac:dyDescent="0.3">
      <c r="G9905" s="15">
        <v>27.5</v>
      </c>
      <c r="H9905" s="3">
        <v>3.8850000000000433E-2</v>
      </c>
    </row>
    <row r="9906" spans="7:8" x14ac:dyDescent="0.3">
      <c r="G9906" s="15">
        <v>27.502777777777776</v>
      </c>
      <c r="H9906" s="3">
        <v>3.8849388888889322E-2</v>
      </c>
    </row>
    <row r="9907" spans="7:8" x14ac:dyDescent="0.3">
      <c r="G9907" s="15">
        <v>27.505555555555556</v>
      </c>
      <c r="H9907" s="3">
        <v>3.8848777777778211E-2</v>
      </c>
    </row>
    <row r="9908" spans="7:8" x14ac:dyDescent="0.3">
      <c r="G9908" s="15">
        <v>27.508333333333333</v>
      </c>
      <c r="H9908" s="3">
        <v>3.88481666666671E-2</v>
      </c>
    </row>
    <row r="9909" spans="7:8" x14ac:dyDescent="0.3">
      <c r="G9909" s="15">
        <v>27.511111111111113</v>
      </c>
      <c r="H9909" s="3">
        <v>3.8847555555555989E-2</v>
      </c>
    </row>
    <row r="9910" spans="7:8" x14ac:dyDescent="0.3">
      <c r="G9910" s="15">
        <v>27.513888888888889</v>
      </c>
      <c r="H9910" s="3">
        <v>3.8846944444444878E-2</v>
      </c>
    </row>
    <row r="9911" spans="7:8" x14ac:dyDescent="0.3">
      <c r="G9911" s="15">
        <v>27.516666666666666</v>
      </c>
      <c r="H9911" s="3">
        <v>3.8846333333333767E-2</v>
      </c>
    </row>
    <row r="9912" spans="7:8" x14ac:dyDescent="0.3">
      <c r="G9912" s="15">
        <v>27.519444444444446</v>
      </c>
      <c r="H9912" s="3">
        <v>3.8845722222222656E-2</v>
      </c>
    </row>
    <row r="9913" spans="7:8" x14ac:dyDescent="0.3">
      <c r="G9913" s="15">
        <v>27.522222222222222</v>
      </c>
      <c r="H9913" s="3">
        <v>3.8845111111111545E-2</v>
      </c>
    </row>
    <row r="9914" spans="7:8" x14ac:dyDescent="0.3">
      <c r="G9914" s="15">
        <v>27.524999999999999</v>
      </c>
      <c r="H9914" s="3">
        <v>3.8844500000000434E-2</v>
      </c>
    </row>
    <row r="9915" spans="7:8" x14ac:dyDescent="0.3">
      <c r="G9915" s="15">
        <v>27.527777777777779</v>
      </c>
      <c r="H9915" s="3">
        <v>3.8843888888889323E-2</v>
      </c>
    </row>
    <row r="9916" spans="7:8" x14ac:dyDescent="0.3">
      <c r="G9916" s="15">
        <v>27.530555555555555</v>
      </c>
      <c r="H9916" s="3">
        <v>3.8843277777778212E-2</v>
      </c>
    </row>
    <row r="9917" spans="7:8" x14ac:dyDescent="0.3">
      <c r="G9917" s="15">
        <v>27.533333333333335</v>
      </c>
      <c r="H9917" s="3">
        <v>3.8842666666667101E-2</v>
      </c>
    </row>
    <row r="9918" spans="7:8" x14ac:dyDescent="0.3">
      <c r="G9918" s="15">
        <v>27.536111111111111</v>
      </c>
      <c r="H9918" s="3">
        <v>3.884205555555599E-2</v>
      </c>
    </row>
    <row r="9919" spans="7:8" x14ac:dyDescent="0.3">
      <c r="G9919" s="15">
        <v>27.538888888888888</v>
      </c>
      <c r="H9919" s="3">
        <v>3.8841444444444879E-2</v>
      </c>
    </row>
    <row r="9920" spans="7:8" x14ac:dyDescent="0.3">
      <c r="G9920" s="15">
        <v>27.541666666666668</v>
      </c>
      <c r="H9920" s="3">
        <v>3.8840833333333769E-2</v>
      </c>
    </row>
    <row r="9921" spans="7:8" x14ac:dyDescent="0.3">
      <c r="G9921" s="15">
        <v>27.544444444444444</v>
      </c>
      <c r="H9921" s="3">
        <v>3.8840222222222658E-2</v>
      </c>
    </row>
    <row r="9922" spans="7:8" x14ac:dyDescent="0.3">
      <c r="G9922" s="15">
        <v>27.547222222222221</v>
      </c>
      <c r="H9922" s="3">
        <v>3.8839611111111547E-2</v>
      </c>
    </row>
    <row r="9923" spans="7:8" x14ac:dyDescent="0.3">
      <c r="G9923" s="15">
        <v>27.55</v>
      </c>
      <c r="H9923" s="3">
        <v>3.8839000000000436E-2</v>
      </c>
    </row>
    <row r="9924" spans="7:8" x14ac:dyDescent="0.3">
      <c r="G9924" s="15">
        <v>27.552777777777777</v>
      </c>
      <c r="H9924" s="3">
        <v>3.8838388888889325E-2</v>
      </c>
    </row>
    <row r="9925" spans="7:8" x14ac:dyDescent="0.3">
      <c r="G9925" s="15">
        <v>27.555555555555557</v>
      </c>
      <c r="H9925" s="3">
        <v>3.8837777777778214E-2</v>
      </c>
    </row>
    <row r="9926" spans="7:8" x14ac:dyDescent="0.3">
      <c r="G9926" s="15">
        <v>27.558333333333334</v>
      </c>
      <c r="H9926" s="3">
        <v>3.8837166666667103E-2</v>
      </c>
    </row>
    <row r="9927" spans="7:8" x14ac:dyDescent="0.3">
      <c r="G9927" s="15">
        <v>27.56111111111111</v>
      </c>
      <c r="H9927" s="3">
        <v>3.8836555555555992E-2</v>
      </c>
    </row>
    <row r="9928" spans="7:8" x14ac:dyDescent="0.3">
      <c r="G9928" s="15">
        <v>27.56388888888889</v>
      </c>
      <c r="H9928" s="3">
        <v>3.8835944444444881E-2</v>
      </c>
    </row>
    <row r="9929" spans="7:8" x14ac:dyDescent="0.3">
      <c r="G9929" s="15">
        <v>27.566666666666666</v>
      </c>
      <c r="H9929" s="3">
        <v>3.883533333333377E-2</v>
      </c>
    </row>
    <row r="9930" spans="7:8" x14ac:dyDescent="0.3">
      <c r="G9930" s="15">
        <v>27.569444444444443</v>
      </c>
      <c r="H9930" s="3">
        <v>3.8834722222222659E-2</v>
      </c>
    </row>
    <row r="9931" spans="7:8" x14ac:dyDescent="0.3">
      <c r="G9931" s="15">
        <v>27.572222222222223</v>
      </c>
      <c r="H9931" s="3">
        <v>3.8834111111111548E-2</v>
      </c>
    </row>
    <row r="9932" spans="7:8" x14ac:dyDescent="0.3">
      <c r="G9932" s="15">
        <v>27.574999999999999</v>
      </c>
      <c r="H9932" s="3">
        <v>3.8833500000000437E-2</v>
      </c>
    </row>
    <row r="9933" spans="7:8" x14ac:dyDescent="0.3">
      <c r="G9933" s="15">
        <v>27.577777777777779</v>
      </c>
      <c r="H9933" s="3">
        <v>3.8832888888889326E-2</v>
      </c>
    </row>
    <row r="9934" spans="7:8" x14ac:dyDescent="0.3">
      <c r="G9934" s="15">
        <v>27.580555555555556</v>
      </c>
      <c r="H9934" s="3">
        <v>3.8832277777778215E-2</v>
      </c>
    </row>
    <row r="9935" spans="7:8" x14ac:dyDescent="0.3">
      <c r="G9935" s="15">
        <v>27.583333333333332</v>
      </c>
      <c r="H9935" s="3">
        <v>3.8831666666667104E-2</v>
      </c>
    </row>
    <row r="9936" spans="7:8" x14ac:dyDescent="0.3">
      <c r="G9936" s="15">
        <v>27.586111111111112</v>
      </c>
      <c r="H9936" s="3">
        <v>3.8831055555555993E-2</v>
      </c>
    </row>
    <row r="9937" spans="7:8" x14ac:dyDescent="0.3">
      <c r="G9937" s="15">
        <v>27.588888888888889</v>
      </c>
      <c r="H9937" s="3">
        <v>3.8830444444444882E-2</v>
      </c>
    </row>
    <row r="9938" spans="7:8" x14ac:dyDescent="0.3">
      <c r="G9938" s="15">
        <v>27.591666666666665</v>
      </c>
      <c r="H9938" s="3">
        <v>3.8829833333333771E-2</v>
      </c>
    </row>
    <row r="9939" spans="7:8" x14ac:dyDescent="0.3">
      <c r="G9939" s="15">
        <v>27.594444444444445</v>
      </c>
      <c r="H9939" s="3">
        <v>3.882922222222266E-2</v>
      </c>
    </row>
    <row r="9940" spans="7:8" x14ac:dyDescent="0.3">
      <c r="G9940" s="15">
        <v>27.597222222222221</v>
      </c>
      <c r="H9940" s="3">
        <v>3.882861111111155E-2</v>
      </c>
    </row>
    <row r="9941" spans="7:8" x14ac:dyDescent="0.3">
      <c r="G9941" s="15">
        <v>27.6</v>
      </c>
      <c r="H9941" s="3">
        <v>3.8828000000000439E-2</v>
      </c>
    </row>
    <row r="9942" spans="7:8" x14ac:dyDescent="0.3">
      <c r="G9942" s="15">
        <v>27.602777777777778</v>
      </c>
      <c r="H9942" s="3">
        <v>3.8827388888889328E-2</v>
      </c>
    </row>
    <row r="9943" spans="7:8" x14ac:dyDescent="0.3">
      <c r="G9943" s="15">
        <v>27.605555555555554</v>
      </c>
      <c r="H9943" s="3">
        <v>3.8826777777778217E-2</v>
      </c>
    </row>
    <row r="9944" spans="7:8" x14ac:dyDescent="0.3">
      <c r="G9944" s="15">
        <v>27.608333333333334</v>
      </c>
      <c r="H9944" s="3">
        <v>3.8826166666667106E-2</v>
      </c>
    </row>
    <row r="9945" spans="7:8" x14ac:dyDescent="0.3">
      <c r="G9945" s="15">
        <v>27.611111111111111</v>
      </c>
      <c r="H9945" s="3">
        <v>3.8825555555555995E-2</v>
      </c>
    </row>
    <row r="9946" spans="7:8" x14ac:dyDescent="0.3">
      <c r="G9946" s="15">
        <v>27.613888888888887</v>
      </c>
      <c r="H9946" s="3">
        <v>3.8824944444444884E-2</v>
      </c>
    </row>
    <row r="9947" spans="7:8" x14ac:dyDescent="0.3">
      <c r="G9947" s="15">
        <v>27.616666666666667</v>
      </c>
      <c r="H9947" s="3">
        <v>3.8824333333333773E-2</v>
      </c>
    </row>
    <row r="9948" spans="7:8" x14ac:dyDescent="0.3">
      <c r="G9948" s="15">
        <v>27.619444444444444</v>
      </c>
      <c r="H9948" s="3">
        <v>3.8823722222222662E-2</v>
      </c>
    </row>
    <row r="9949" spans="7:8" x14ac:dyDescent="0.3">
      <c r="G9949" s="15">
        <v>27.622222222222224</v>
      </c>
      <c r="H9949" s="3">
        <v>3.8823111111111551E-2</v>
      </c>
    </row>
    <row r="9950" spans="7:8" x14ac:dyDescent="0.3">
      <c r="G9950" s="15">
        <v>27.625</v>
      </c>
      <c r="H9950" s="3">
        <v>3.882250000000044E-2</v>
      </c>
    </row>
    <row r="9951" spans="7:8" x14ac:dyDescent="0.3">
      <c r="G9951" s="15">
        <v>27.627777777777776</v>
      </c>
      <c r="H9951" s="3">
        <v>3.8821888888889329E-2</v>
      </c>
    </row>
    <row r="9952" spans="7:8" x14ac:dyDescent="0.3">
      <c r="G9952" s="15">
        <v>27.630555555555556</v>
      </c>
      <c r="H9952" s="3">
        <v>3.8821277777778218E-2</v>
      </c>
    </row>
    <row r="9953" spans="7:8" x14ac:dyDescent="0.3">
      <c r="G9953" s="15">
        <v>27.633333333333333</v>
      </c>
      <c r="H9953" s="3">
        <v>3.8820666666667107E-2</v>
      </c>
    </row>
    <row r="9954" spans="7:8" x14ac:dyDescent="0.3">
      <c r="G9954" s="15">
        <v>27.636111111111113</v>
      </c>
      <c r="H9954" s="3">
        <v>3.8820055555555996E-2</v>
      </c>
    </row>
    <row r="9955" spans="7:8" x14ac:dyDescent="0.3">
      <c r="G9955" s="15">
        <v>27.638888888888889</v>
      </c>
      <c r="H9955" s="3">
        <v>3.8819444444444885E-2</v>
      </c>
    </row>
    <row r="9956" spans="7:8" x14ac:dyDescent="0.3">
      <c r="G9956" s="15">
        <v>27.641666666666666</v>
      </c>
      <c r="H9956" s="3">
        <v>3.8818833333333774E-2</v>
      </c>
    </row>
    <row r="9957" spans="7:8" x14ac:dyDescent="0.3">
      <c r="G9957" s="15">
        <v>27.644444444444446</v>
      </c>
      <c r="H9957" s="3">
        <v>3.8818222222222663E-2</v>
      </c>
    </row>
    <row r="9958" spans="7:8" x14ac:dyDescent="0.3">
      <c r="G9958" s="15">
        <v>27.647222222222222</v>
      </c>
      <c r="H9958" s="3">
        <v>3.8817611111111552E-2</v>
      </c>
    </row>
    <row r="9959" spans="7:8" x14ac:dyDescent="0.3">
      <c r="G9959" s="15">
        <v>27.65</v>
      </c>
      <c r="H9959" s="3">
        <v>3.8817000000000441E-2</v>
      </c>
    </row>
    <row r="9960" spans="7:8" x14ac:dyDescent="0.3">
      <c r="G9960" s="15">
        <v>27.652777777777779</v>
      </c>
      <c r="H9960" s="3">
        <v>3.881638888888933E-2</v>
      </c>
    </row>
    <row r="9961" spans="7:8" x14ac:dyDescent="0.3">
      <c r="G9961" s="15">
        <v>27.655555555555555</v>
      </c>
      <c r="H9961" s="3">
        <v>3.881577777777822E-2</v>
      </c>
    </row>
    <row r="9962" spans="7:8" x14ac:dyDescent="0.3">
      <c r="G9962" s="15">
        <v>27.658333333333335</v>
      </c>
      <c r="H9962" s="3">
        <v>3.8815166666667109E-2</v>
      </c>
    </row>
    <row r="9963" spans="7:8" x14ac:dyDescent="0.3">
      <c r="G9963" s="15">
        <v>27.661111111111111</v>
      </c>
      <c r="H9963" s="3">
        <v>3.8814555555555998E-2</v>
      </c>
    </row>
    <row r="9964" spans="7:8" x14ac:dyDescent="0.3">
      <c r="G9964" s="15">
        <v>27.663888888888888</v>
      </c>
      <c r="H9964" s="3">
        <v>3.8813944444444887E-2</v>
      </c>
    </row>
    <row r="9965" spans="7:8" x14ac:dyDescent="0.3">
      <c r="G9965" s="15">
        <v>27.666666666666668</v>
      </c>
      <c r="H9965" s="3">
        <v>3.8813333333333776E-2</v>
      </c>
    </row>
    <row r="9966" spans="7:8" x14ac:dyDescent="0.3">
      <c r="G9966" s="15">
        <v>27.669444444444444</v>
      </c>
      <c r="H9966" s="3">
        <v>3.8812722222222665E-2</v>
      </c>
    </row>
    <row r="9967" spans="7:8" x14ac:dyDescent="0.3">
      <c r="G9967" s="15">
        <v>27.672222222222221</v>
      </c>
      <c r="H9967" s="3">
        <v>3.8812111111111554E-2</v>
      </c>
    </row>
    <row r="9968" spans="7:8" x14ac:dyDescent="0.3">
      <c r="G9968" s="15">
        <v>27.675000000000001</v>
      </c>
      <c r="H9968" s="3">
        <v>3.8811500000000443E-2</v>
      </c>
    </row>
    <row r="9969" spans="7:8" x14ac:dyDescent="0.3">
      <c r="G9969" s="15">
        <v>27.677777777777777</v>
      </c>
      <c r="H9969" s="3">
        <v>3.8810888888889332E-2</v>
      </c>
    </row>
    <row r="9970" spans="7:8" x14ac:dyDescent="0.3">
      <c r="G9970" s="15">
        <v>27.680555555555557</v>
      </c>
      <c r="H9970" s="3">
        <v>3.8810277777778221E-2</v>
      </c>
    </row>
    <row r="9971" spans="7:8" x14ac:dyDescent="0.3">
      <c r="G9971" s="15">
        <v>27.683333333333334</v>
      </c>
      <c r="H9971" s="3">
        <v>3.880966666666711E-2</v>
      </c>
    </row>
    <row r="9972" spans="7:8" x14ac:dyDescent="0.3">
      <c r="G9972" s="15">
        <v>27.68611111111111</v>
      </c>
      <c r="H9972" s="3">
        <v>3.8809055555555999E-2</v>
      </c>
    </row>
    <row r="9973" spans="7:8" x14ac:dyDescent="0.3">
      <c r="G9973" s="15">
        <v>27.68888888888889</v>
      </c>
      <c r="H9973" s="3">
        <v>3.8808444444444888E-2</v>
      </c>
    </row>
    <row r="9974" spans="7:8" x14ac:dyDescent="0.3">
      <c r="G9974" s="15">
        <v>27.691666666666666</v>
      </c>
      <c r="H9974" s="3">
        <v>3.8807833333333777E-2</v>
      </c>
    </row>
    <row r="9975" spans="7:8" x14ac:dyDescent="0.3">
      <c r="G9975" s="15">
        <v>27.694444444444443</v>
      </c>
      <c r="H9975" s="3">
        <v>3.8807222222222666E-2</v>
      </c>
    </row>
    <row r="9976" spans="7:8" x14ac:dyDescent="0.3">
      <c r="G9976" s="15">
        <v>27.697222222222223</v>
      </c>
      <c r="H9976" s="3">
        <v>3.8806611111111555E-2</v>
      </c>
    </row>
    <row r="9977" spans="7:8" x14ac:dyDescent="0.3">
      <c r="G9977" s="15">
        <v>27.7</v>
      </c>
      <c r="H9977" s="3">
        <v>3.8806000000000444E-2</v>
      </c>
    </row>
    <row r="9978" spans="7:8" x14ac:dyDescent="0.3">
      <c r="G9978" s="15">
        <v>27.702777777777779</v>
      </c>
      <c r="H9978" s="3">
        <v>3.8805388888889333E-2</v>
      </c>
    </row>
    <row r="9979" spans="7:8" x14ac:dyDescent="0.3">
      <c r="G9979" s="15">
        <v>27.705555555555556</v>
      </c>
      <c r="H9979" s="3">
        <v>3.8804777777778222E-2</v>
      </c>
    </row>
    <row r="9980" spans="7:8" x14ac:dyDescent="0.3">
      <c r="G9980" s="15">
        <v>27.708333333333332</v>
      </c>
      <c r="H9980" s="3">
        <v>3.8804166666667111E-2</v>
      </c>
    </row>
    <row r="9981" spans="7:8" x14ac:dyDescent="0.3">
      <c r="G9981" s="15">
        <v>27.711111111111112</v>
      </c>
      <c r="H9981" s="3">
        <v>3.8803555555556001E-2</v>
      </c>
    </row>
    <row r="9982" spans="7:8" x14ac:dyDescent="0.3">
      <c r="G9982" s="15">
        <v>27.713888888888889</v>
      </c>
      <c r="H9982" s="3">
        <v>3.880294444444489E-2</v>
      </c>
    </row>
    <row r="9983" spans="7:8" x14ac:dyDescent="0.3">
      <c r="G9983" s="15">
        <v>27.716666666666665</v>
      </c>
      <c r="H9983" s="3">
        <v>3.8802333333333779E-2</v>
      </c>
    </row>
    <row r="9984" spans="7:8" x14ac:dyDescent="0.3">
      <c r="G9984" s="15">
        <v>27.719444444444445</v>
      </c>
      <c r="H9984" s="3">
        <v>3.8801722222222668E-2</v>
      </c>
    </row>
    <row r="9985" spans="7:8" x14ac:dyDescent="0.3">
      <c r="G9985" s="15">
        <v>27.722222222222221</v>
      </c>
      <c r="H9985" s="3">
        <v>3.8801111111111557E-2</v>
      </c>
    </row>
    <row r="9986" spans="7:8" x14ac:dyDescent="0.3">
      <c r="G9986" s="15">
        <v>27.725000000000001</v>
      </c>
      <c r="H9986" s="3">
        <v>3.8800500000000446E-2</v>
      </c>
    </row>
    <row r="9987" spans="7:8" x14ac:dyDescent="0.3">
      <c r="G9987" s="15">
        <v>27.727777777777778</v>
      </c>
      <c r="H9987" s="3">
        <v>3.8799888888889335E-2</v>
      </c>
    </row>
    <row r="9988" spans="7:8" x14ac:dyDescent="0.3">
      <c r="G9988" s="15">
        <v>27.730555555555554</v>
      </c>
      <c r="H9988" s="3">
        <v>3.8799277777778224E-2</v>
      </c>
    </row>
    <row r="9989" spans="7:8" x14ac:dyDescent="0.3">
      <c r="G9989" s="15">
        <v>27.733333333333334</v>
      </c>
      <c r="H9989" s="3">
        <v>3.8798666666667113E-2</v>
      </c>
    </row>
    <row r="9990" spans="7:8" x14ac:dyDescent="0.3">
      <c r="G9990" s="15">
        <v>27.736111111111111</v>
      </c>
      <c r="H9990" s="3">
        <v>3.8798055555556002E-2</v>
      </c>
    </row>
    <row r="9991" spans="7:8" x14ac:dyDescent="0.3">
      <c r="G9991" s="15">
        <v>27.738888888888887</v>
      </c>
      <c r="H9991" s="3">
        <v>3.8797444444444891E-2</v>
      </c>
    </row>
    <row r="9992" spans="7:8" x14ac:dyDescent="0.3">
      <c r="G9992" s="15">
        <v>27.741666666666667</v>
      </c>
      <c r="H9992" s="3">
        <v>3.879683333333378E-2</v>
      </c>
    </row>
    <row r="9993" spans="7:8" x14ac:dyDescent="0.3">
      <c r="G9993" s="15">
        <v>27.744444444444444</v>
      </c>
      <c r="H9993" s="3">
        <v>3.8796222222222669E-2</v>
      </c>
    </row>
    <row r="9994" spans="7:8" x14ac:dyDescent="0.3">
      <c r="G9994" s="15">
        <v>27.747222222222224</v>
      </c>
      <c r="H9994" s="3">
        <v>3.8795611111111558E-2</v>
      </c>
    </row>
    <row r="9995" spans="7:8" x14ac:dyDescent="0.3">
      <c r="G9995" s="15">
        <v>27.75</v>
      </c>
      <c r="H9995" s="3">
        <v>3.8795000000000447E-2</v>
      </c>
    </row>
    <row r="9996" spans="7:8" x14ac:dyDescent="0.3">
      <c r="G9996" s="15">
        <v>27.752777777777776</v>
      </c>
      <c r="H9996" s="3">
        <v>3.8794388888889336E-2</v>
      </c>
    </row>
    <row r="9997" spans="7:8" x14ac:dyDescent="0.3">
      <c r="G9997" s="15">
        <v>27.755555555555556</v>
      </c>
      <c r="H9997" s="3">
        <v>3.8793777777778225E-2</v>
      </c>
    </row>
    <row r="9998" spans="7:8" x14ac:dyDescent="0.3">
      <c r="G9998" s="15">
        <v>27.758333333333333</v>
      </c>
      <c r="H9998" s="3">
        <v>3.8793166666667114E-2</v>
      </c>
    </row>
    <row r="9999" spans="7:8" x14ac:dyDescent="0.3">
      <c r="G9999" s="15">
        <v>27.761111111111113</v>
      </c>
      <c r="H9999" s="3">
        <v>3.8792555555556003E-2</v>
      </c>
    </row>
    <row r="10000" spans="7:8" x14ac:dyDescent="0.3">
      <c r="G10000" s="15">
        <v>27.763888888888889</v>
      </c>
      <c r="H10000" s="3">
        <v>3.8791944444444892E-2</v>
      </c>
    </row>
    <row r="10001" spans="7:8" x14ac:dyDescent="0.3">
      <c r="G10001" s="15">
        <v>27.766666666666666</v>
      </c>
      <c r="H10001" s="3">
        <v>3.8791333333333781E-2</v>
      </c>
    </row>
    <row r="10002" spans="7:8" x14ac:dyDescent="0.3">
      <c r="G10002" s="15">
        <v>27.769444444444446</v>
      </c>
      <c r="H10002" s="3">
        <v>3.8790722222222671E-2</v>
      </c>
    </row>
    <row r="10003" spans="7:8" x14ac:dyDescent="0.3">
      <c r="G10003" s="15">
        <v>27.772222222222222</v>
      </c>
      <c r="H10003" s="3">
        <v>3.879011111111156E-2</v>
      </c>
    </row>
    <row r="10004" spans="7:8" x14ac:dyDescent="0.3">
      <c r="G10004" s="15">
        <v>27.774999999999999</v>
      </c>
      <c r="H10004" s="3">
        <v>3.8789500000000449E-2</v>
      </c>
    </row>
    <row r="10005" spans="7:8" x14ac:dyDescent="0.3">
      <c r="G10005" s="15">
        <v>27.777777777777779</v>
      </c>
      <c r="H10005" s="3">
        <v>3.8788888888889338E-2</v>
      </c>
    </row>
    <row r="10006" spans="7:8" x14ac:dyDescent="0.3">
      <c r="G10006" s="15">
        <v>27.780555555555555</v>
      </c>
      <c r="H10006" s="3">
        <v>3.8788277777778227E-2</v>
      </c>
    </row>
    <row r="10007" spans="7:8" x14ac:dyDescent="0.3">
      <c r="G10007" s="15">
        <v>27.783333333333335</v>
      </c>
      <c r="H10007" s="3">
        <v>3.8787666666667116E-2</v>
      </c>
    </row>
    <row r="10008" spans="7:8" x14ac:dyDescent="0.3">
      <c r="G10008" s="15">
        <v>27.786111111111111</v>
      </c>
      <c r="H10008" s="3">
        <v>3.8787055555556005E-2</v>
      </c>
    </row>
    <row r="10009" spans="7:8" x14ac:dyDescent="0.3">
      <c r="G10009" s="15">
        <v>27.788888888888888</v>
      </c>
      <c r="H10009" s="3">
        <v>3.8786444444444894E-2</v>
      </c>
    </row>
    <row r="10010" spans="7:8" x14ac:dyDescent="0.3">
      <c r="G10010" s="15">
        <v>27.791666666666668</v>
      </c>
      <c r="H10010" s="3">
        <v>3.8785833333333783E-2</v>
      </c>
    </row>
    <row r="10011" spans="7:8" x14ac:dyDescent="0.3">
      <c r="G10011" s="15">
        <v>27.794444444444444</v>
      </c>
      <c r="H10011" s="3">
        <v>3.8785222222222672E-2</v>
      </c>
    </row>
    <row r="10012" spans="7:8" x14ac:dyDescent="0.3">
      <c r="G10012" s="15">
        <v>27.797222222222221</v>
      </c>
      <c r="H10012" s="3">
        <v>3.8784611111111561E-2</v>
      </c>
    </row>
    <row r="10013" spans="7:8" x14ac:dyDescent="0.3">
      <c r="G10013" s="15">
        <v>27.8</v>
      </c>
      <c r="H10013" s="3">
        <v>3.878400000000045E-2</v>
      </c>
    </row>
    <row r="10014" spans="7:8" x14ac:dyDescent="0.3">
      <c r="G10014" s="15">
        <v>27.802777777777777</v>
      </c>
      <c r="H10014" s="3">
        <v>3.8783388888889339E-2</v>
      </c>
    </row>
    <row r="10015" spans="7:8" x14ac:dyDescent="0.3">
      <c r="G10015" s="15">
        <v>27.805555555555557</v>
      </c>
      <c r="H10015" s="3">
        <v>3.8782777777778228E-2</v>
      </c>
    </row>
    <row r="10016" spans="7:8" x14ac:dyDescent="0.3">
      <c r="G10016" s="15">
        <v>27.808333333333334</v>
      </c>
      <c r="H10016" s="3">
        <v>3.8782166666667117E-2</v>
      </c>
    </row>
    <row r="10017" spans="7:8" x14ac:dyDescent="0.3">
      <c r="G10017" s="15">
        <v>27.81111111111111</v>
      </c>
      <c r="H10017" s="3">
        <v>3.8781555555556006E-2</v>
      </c>
    </row>
    <row r="10018" spans="7:8" x14ac:dyDescent="0.3">
      <c r="G10018" s="15">
        <v>27.81388888888889</v>
      </c>
      <c r="H10018" s="3">
        <v>3.8780944444444895E-2</v>
      </c>
    </row>
    <row r="10019" spans="7:8" x14ac:dyDescent="0.3">
      <c r="G10019" s="15">
        <v>27.816666666666666</v>
      </c>
      <c r="H10019" s="3">
        <v>3.8780333333333784E-2</v>
      </c>
    </row>
    <row r="10020" spans="7:8" x14ac:dyDescent="0.3">
      <c r="G10020" s="15">
        <v>27.819444444444443</v>
      </c>
      <c r="H10020" s="3">
        <v>3.8779722222222673E-2</v>
      </c>
    </row>
    <row r="10021" spans="7:8" x14ac:dyDescent="0.3">
      <c r="G10021" s="15">
        <v>27.822222222222223</v>
      </c>
      <c r="H10021" s="3">
        <v>3.8779111111111562E-2</v>
      </c>
    </row>
    <row r="10022" spans="7:8" x14ac:dyDescent="0.3">
      <c r="G10022" s="15">
        <v>27.824999999999999</v>
      </c>
      <c r="H10022" s="3">
        <v>3.8778500000000451E-2</v>
      </c>
    </row>
    <row r="10023" spans="7:8" x14ac:dyDescent="0.3">
      <c r="G10023" s="15">
        <v>27.827777777777779</v>
      </c>
      <c r="H10023" s="3">
        <v>3.8777888888889341E-2</v>
      </c>
    </row>
    <row r="10024" spans="7:8" x14ac:dyDescent="0.3">
      <c r="G10024" s="15">
        <v>27.830555555555556</v>
      </c>
      <c r="H10024" s="3">
        <v>3.877727777777823E-2</v>
      </c>
    </row>
    <row r="10025" spans="7:8" x14ac:dyDescent="0.3">
      <c r="G10025" s="15">
        <v>27.833333333333332</v>
      </c>
      <c r="H10025" s="3">
        <v>3.8776666666667119E-2</v>
      </c>
    </row>
    <row r="10026" spans="7:8" x14ac:dyDescent="0.3">
      <c r="G10026" s="15">
        <v>27.836111111111112</v>
      </c>
      <c r="H10026" s="3">
        <v>3.8776055555556008E-2</v>
      </c>
    </row>
    <row r="10027" spans="7:8" x14ac:dyDescent="0.3">
      <c r="G10027" s="15">
        <v>27.838888888888889</v>
      </c>
      <c r="H10027" s="3">
        <v>3.8775444444444897E-2</v>
      </c>
    </row>
    <row r="10028" spans="7:8" x14ac:dyDescent="0.3">
      <c r="G10028" s="15">
        <v>27.841666666666665</v>
      </c>
      <c r="H10028" s="3">
        <v>3.8774833333333786E-2</v>
      </c>
    </row>
    <row r="10029" spans="7:8" x14ac:dyDescent="0.3">
      <c r="G10029" s="15">
        <v>27.844444444444445</v>
      </c>
      <c r="H10029" s="3">
        <v>3.8774222222222675E-2</v>
      </c>
    </row>
    <row r="10030" spans="7:8" x14ac:dyDescent="0.3">
      <c r="G10030" s="15">
        <v>27.847222222222221</v>
      </c>
      <c r="H10030" s="3">
        <v>3.8773611111111564E-2</v>
      </c>
    </row>
    <row r="10031" spans="7:8" x14ac:dyDescent="0.3">
      <c r="G10031" s="15">
        <v>27.85</v>
      </c>
      <c r="H10031" s="3">
        <v>3.8773000000000453E-2</v>
      </c>
    </row>
    <row r="10032" spans="7:8" x14ac:dyDescent="0.3">
      <c r="G10032" s="15">
        <v>27.852777777777778</v>
      </c>
      <c r="H10032" s="3">
        <v>3.8772388888889342E-2</v>
      </c>
    </row>
    <row r="10033" spans="7:8" x14ac:dyDescent="0.3">
      <c r="G10033" s="15">
        <v>27.855555555555554</v>
      </c>
      <c r="H10033" s="3">
        <v>3.8771777777778231E-2</v>
      </c>
    </row>
    <row r="10034" spans="7:8" x14ac:dyDescent="0.3">
      <c r="G10034" s="15">
        <v>27.858333333333334</v>
      </c>
      <c r="H10034" s="3">
        <v>3.877116666666712E-2</v>
      </c>
    </row>
    <row r="10035" spans="7:8" x14ac:dyDescent="0.3">
      <c r="G10035" s="15">
        <v>27.861111111111111</v>
      </c>
      <c r="H10035" s="3">
        <v>3.8770555555556009E-2</v>
      </c>
    </row>
    <row r="10036" spans="7:8" x14ac:dyDescent="0.3">
      <c r="G10036" s="15">
        <v>27.863888888888887</v>
      </c>
      <c r="H10036" s="3">
        <v>3.8769944444444898E-2</v>
      </c>
    </row>
    <row r="10037" spans="7:8" x14ac:dyDescent="0.3">
      <c r="G10037" s="15">
        <v>27.866666666666667</v>
      </c>
      <c r="H10037" s="3">
        <v>3.8769333333333787E-2</v>
      </c>
    </row>
    <row r="10038" spans="7:8" x14ac:dyDescent="0.3">
      <c r="G10038" s="15">
        <v>27.869444444444444</v>
      </c>
      <c r="H10038" s="3">
        <v>3.8768722222222676E-2</v>
      </c>
    </row>
    <row r="10039" spans="7:8" x14ac:dyDescent="0.3">
      <c r="G10039" s="15">
        <v>27.872222222222224</v>
      </c>
      <c r="H10039" s="3">
        <v>3.8768111111111565E-2</v>
      </c>
    </row>
    <row r="10040" spans="7:8" x14ac:dyDescent="0.3">
      <c r="G10040" s="15">
        <v>27.875</v>
      </c>
      <c r="H10040" s="3">
        <v>3.8767500000000454E-2</v>
      </c>
    </row>
    <row r="10041" spans="7:8" x14ac:dyDescent="0.3">
      <c r="G10041" s="15">
        <v>27.877777777777776</v>
      </c>
      <c r="H10041" s="3">
        <v>3.8766888888889343E-2</v>
      </c>
    </row>
    <row r="10042" spans="7:8" x14ac:dyDescent="0.3">
      <c r="G10042" s="15">
        <v>27.880555555555556</v>
      </c>
      <c r="H10042" s="3">
        <v>3.8766277777778232E-2</v>
      </c>
    </row>
    <row r="10043" spans="7:8" x14ac:dyDescent="0.3">
      <c r="G10043" s="15">
        <v>27.883333333333333</v>
      </c>
      <c r="H10043" s="3">
        <v>3.8765666666667122E-2</v>
      </c>
    </row>
    <row r="10044" spans="7:8" x14ac:dyDescent="0.3">
      <c r="G10044" s="15">
        <v>27.886111111111113</v>
      </c>
      <c r="H10044" s="3">
        <v>3.8765055555556011E-2</v>
      </c>
    </row>
    <row r="10045" spans="7:8" x14ac:dyDescent="0.3">
      <c r="G10045" s="15">
        <v>27.888888888888889</v>
      </c>
      <c r="H10045" s="3">
        <v>3.87644444444449E-2</v>
      </c>
    </row>
    <row r="10046" spans="7:8" x14ac:dyDescent="0.3">
      <c r="G10046" s="15">
        <v>27.891666666666666</v>
      </c>
      <c r="H10046" s="3">
        <v>3.8763833333333789E-2</v>
      </c>
    </row>
    <row r="10047" spans="7:8" x14ac:dyDescent="0.3">
      <c r="G10047" s="15">
        <v>27.894444444444446</v>
      </c>
      <c r="H10047" s="3">
        <v>3.8763222222222678E-2</v>
      </c>
    </row>
    <row r="10048" spans="7:8" x14ac:dyDescent="0.3">
      <c r="G10048" s="15">
        <v>27.897222222222222</v>
      </c>
      <c r="H10048" s="3">
        <v>3.8762611111111567E-2</v>
      </c>
    </row>
    <row r="10049" spans="7:8" x14ac:dyDescent="0.3">
      <c r="G10049" s="15">
        <v>27.9</v>
      </c>
      <c r="H10049" s="3">
        <v>3.8762000000000456E-2</v>
      </c>
    </row>
    <row r="10050" spans="7:8" x14ac:dyDescent="0.3">
      <c r="G10050" s="15">
        <v>27.902777777777779</v>
      </c>
      <c r="H10050" s="3">
        <v>3.8761388888889345E-2</v>
      </c>
    </row>
    <row r="10051" spans="7:8" x14ac:dyDescent="0.3">
      <c r="G10051" s="15">
        <v>27.905555555555555</v>
      </c>
      <c r="H10051" s="3">
        <v>3.8760777777778234E-2</v>
      </c>
    </row>
    <row r="10052" spans="7:8" x14ac:dyDescent="0.3">
      <c r="G10052" s="15">
        <v>27.908333333333335</v>
      </c>
      <c r="H10052" s="3">
        <v>3.8760166666667123E-2</v>
      </c>
    </row>
    <row r="10053" spans="7:8" x14ac:dyDescent="0.3">
      <c r="G10053" s="15">
        <v>27.911111111111111</v>
      </c>
      <c r="H10053" s="3">
        <v>3.8759555555556012E-2</v>
      </c>
    </row>
    <row r="10054" spans="7:8" x14ac:dyDescent="0.3">
      <c r="G10054" s="15">
        <v>27.913888888888888</v>
      </c>
      <c r="H10054" s="3">
        <v>3.8758944444444901E-2</v>
      </c>
    </row>
    <row r="10055" spans="7:8" x14ac:dyDescent="0.3">
      <c r="G10055" s="15">
        <v>27.916666666666668</v>
      </c>
      <c r="H10055" s="3">
        <v>3.875833333333379E-2</v>
      </c>
    </row>
    <row r="10056" spans="7:8" x14ac:dyDescent="0.3">
      <c r="G10056" s="15">
        <v>27.919444444444444</v>
      </c>
      <c r="H10056" s="3">
        <v>3.8757722222222679E-2</v>
      </c>
    </row>
    <row r="10057" spans="7:8" x14ac:dyDescent="0.3">
      <c r="G10057" s="15">
        <v>27.922222222222221</v>
      </c>
      <c r="H10057" s="3">
        <v>3.8757111111111568E-2</v>
      </c>
    </row>
    <row r="10058" spans="7:8" x14ac:dyDescent="0.3">
      <c r="G10058" s="15">
        <v>27.925000000000001</v>
      </c>
      <c r="H10058" s="3">
        <v>3.8756500000000457E-2</v>
      </c>
    </row>
    <row r="10059" spans="7:8" x14ac:dyDescent="0.3">
      <c r="G10059" s="15">
        <v>27.927777777777777</v>
      </c>
      <c r="H10059" s="3">
        <v>3.8755888888889346E-2</v>
      </c>
    </row>
    <row r="10060" spans="7:8" x14ac:dyDescent="0.3">
      <c r="G10060" s="15">
        <v>27.930555555555557</v>
      </c>
      <c r="H10060" s="3">
        <v>3.8755277777778235E-2</v>
      </c>
    </row>
    <row r="10061" spans="7:8" x14ac:dyDescent="0.3">
      <c r="G10061" s="15">
        <v>27.933333333333334</v>
      </c>
      <c r="H10061" s="3">
        <v>3.8754666666667124E-2</v>
      </c>
    </row>
    <row r="10062" spans="7:8" x14ac:dyDescent="0.3">
      <c r="G10062" s="15">
        <v>27.93611111111111</v>
      </c>
      <c r="H10062" s="3">
        <v>3.8754055555556013E-2</v>
      </c>
    </row>
    <row r="10063" spans="7:8" x14ac:dyDescent="0.3">
      <c r="G10063" s="15">
        <v>27.93888888888889</v>
      </c>
      <c r="H10063" s="3">
        <v>3.8753444444444902E-2</v>
      </c>
    </row>
    <row r="10064" spans="7:8" x14ac:dyDescent="0.3">
      <c r="G10064" s="15">
        <v>27.941666666666666</v>
      </c>
      <c r="H10064" s="3">
        <v>3.8752833333333792E-2</v>
      </c>
    </row>
    <row r="10065" spans="7:8" x14ac:dyDescent="0.3">
      <c r="G10065" s="15">
        <v>27.944444444444443</v>
      </c>
      <c r="H10065" s="3">
        <v>3.8752222222222681E-2</v>
      </c>
    </row>
    <row r="10066" spans="7:8" x14ac:dyDescent="0.3">
      <c r="G10066" s="15">
        <v>27.947222222222223</v>
      </c>
      <c r="H10066" s="3">
        <v>3.875161111111157E-2</v>
      </c>
    </row>
    <row r="10067" spans="7:8" x14ac:dyDescent="0.3">
      <c r="G10067" s="15">
        <v>27.95</v>
      </c>
      <c r="H10067" s="3">
        <v>3.8751000000000459E-2</v>
      </c>
    </row>
    <row r="10068" spans="7:8" x14ac:dyDescent="0.3">
      <c r="G10068" s="15">
        <v>27.952777777777779</v>
      </c>
      <c r="H10068" s="3">
        <v>3.8750388888889348E-2</v>
      </c>
    </row>
    <row r="10069" spans="7:8" x14ac:dyDescent="0.3">
      <c r="G10069" s="15">
        <v>27.955555555555556</v>
      </c>
      <c r="H10069" s="3">
        <v>3.8749777777778237E-2</v>
      </c>
    </row>
    <row r="10070" spans="7:8" x14ac:dyDescent="0.3">
      <c r="G10070" s="15">
        <v>27.958333333333332</v>
      </c>
      <c r="H10070" s="3">
        <v>3.8749166666667126E-2</v>
      </c>
    </row>
    <row r="10071" spans="7:8" x14ac:dyDescent="0.3">
      <c r="G10071" s="15">
        <v>27.961111111111112</v>
      </c>
      <c r="H10071" s="3">
        <v>3.8748555555556015E-2</v>
      </c>
    </row>
    <row r="10072" spans="7:8" x14ac:dyDescent="0.3">
      <c r="G10072" s="15">
        <v>27.963888888888889</v>
      </c>
      <c r="H10072" s="3">
        <v>3.8747944444444904E-2</v>
      </c>
    </row>
    <row r="10073" spans="7:8" x14ac:dyDescent="0.3">
      <c r="G10073" s="15">
        <v>27.966666666666665</v>
      </c>
      <c r="H10073" s="3">
        <v>3.8747333333333793E-2</v>
      </c>
    </row>
    <row r="10074" spans="7:8" x14ac:dyDescent="0.3">
      <c r="G10074" s="15">
        <v>27.969444444444445</v>
      </c>
      <c r="H10074" s="3">
        <v>3.8746722222222682E-2</v>
      </c>
    </row>
    <row r="10075" spans="7:8" x14ac:dyDescent="0.3">
      <c r="G10075" s="15">
        <v>27.972222222222221</v>
      </c>
      <c r="H10075" s="3">
        <v>3.8746111111111571E-2</v>
      </c>
    </row>
    <row r="10076" spans="7:8" x14ac:dyDescent="0.3">
      <c r="G10076" s="15">
        <v>27.975000000000001</v>
      </c>
      <c r="H10076" s="3">
        <v>3.874550000000046E-2</v>
      </c>
    </row>
    <row r="10077" spans="7:8" x14ac:dyDescent="0.3">
      <c r="G10077" s="15">
        <v>27.977777777777778</v>
      </c>
      <c r="H10077" s="3">
        <v>3.8744888888889349E-2</v>
      </c>
    </row>
    <row r="10078" spans="7:8" x14ac:dyDescent="0.3">
      <c r="G10078" s="15">
        <v>27.980555555555554</v>
      </c>
      <c r="H10078" s="3">
        <v>3.8744277777778238E-2</v>
      </c>
    </row>
    <row r="10079" spans="7:8" x14ac:dyDescent="0.3">
      <c r="G10079" s="15">
        <v>27.983333333333334</v>
      </c>
      <c r="H10079" s="3">
        <v>3.8743666666667127E-2</v>
      </c>
    </row>
    <row r="10080" spans="7:8" x14ac:dyDescent="0.3">
      <c r="G10080" s="15">
        <v>27.986111111111111</v>
      </c>
      <c r="H10080" s="3">
        <v>3.8743055555556016E-2</v>
      </c>
    </row>
    <row r="10081" spans="7:8" x14ac:dyDescent="0.3">
      <c r="G10081" s="15">
        <v>27.988888888888887</v>
      </c>
      <c r="H10081" s="3">
        <v>3.8742444444444905E-2</v>
      </c>
    </row>
    <row r="10082" spans="7:8" x14ac:dyDescent="0.3">
      <c r="G10082" s="15">
        <v>27.991666666666667</v>
      </c>
      <c r="H10082" s="3">
        <v>3.8741833333333794E-2</v>
      </c>
    </row>
    <row r="10083" spans="7:8" x14ac:dyDescent="0.3">
      <c r="G10083" s="15">
        <v>27.994444444444444</v>
      </c>
      <c r="H10083" s="3">
        <v>3.8741222222222683E-2</v>
      </c>
    </row>
    <row r="10084" spans="7:8" x14ac:dyDescent="0.3">
      <c r="G10084" s="15">
        <v>27.997222222222224</v>
      </c>
      <c r="H10084" s="3">
        <v>3.8740611111111573E-2</v>
      </c>
    </row>
    <row r="10085" spans="7:8" x14ac:dyDescent="0.3">
      <c r="G10085" s="15">
        <v>28</v>
      </c>
      <c r="H10085" s="3">
        <v>3.8740000000000462E-2</v>
      </c>
    </row>
    <row r="10086" spans="7:8" x14ac:dyDescent="0.3">
      <c r="G10086" s="15">
        <v>28.002777777777776</v>
      </c>
      <c r="H10086" s="3">
        <v>3.8739388888889351E-2</v>
      </c>
    </row>
    <row r="10087" spans="7:8" x14ac:dyDescent="0.3">
      <c r="G10087" s="15">
        <v>28.005555555555556</v>
      </c>
      <c r="H10087" s="3">
        <v>3.873877777777824E-2</v>
      </c>
    </row>
    <row r="10088" spans="7:8" x14ac:dyDescent="0.3">
      <c r="G10088" s="15">
        <v>28.008333333333333</v>
      </c>
      <c r="H10088" s="3">
        <v>3.8738166666667129E-2</v>
      </c>
    </row>
    <row r="10089" spans="7:8" x14ac:dyDescent="0.3">
      <c r="G10089" s="15">
        <v>28.011111111111113</v>
      </c>
      <c r="H10089" s="3">
        <v>3.8737555555556018E-2</v>
      </c>
    </row>
    <row r="10090" spans="7:8" x14ac:dyDescent="0.3">
      <c r="G10090" s="15">
        <v>28.013888888888889</v>
      </c>
      <c r="H10090" s="3">
        <v>3.8736944444444907E-2</v>
      </c>
    </row>
    <row r="10091" spans="7:8" x14ac:dyDescent="0.3">
      <c r="G10091" s="15">
        <v>28.016666666666666</v>
      </c>
      <c r="H10091" s="3">
        <v>3.8736333333333796E-2</v>
      </c>
    </row>
    <row r="10092" spans="7:8" x14ac:dyDescent="0.3">
      <c r="G10092" s="15">
        <v>28.019444444444446</v>
      </c>
      <c r="H10092" s="3">
        <v>3.8735722222222685E-2</v>
      </c>
    </row>
    <row r="10093" spans="7:8" x14ac:dyDescent="0.3">
      <c r="G10093" s="15">
        <v>28.022222222222222</v>
      </c>
      <c r="H10093" s="3">
        <v>3.8735111111111574E-2</v>
      </c>
    </row>
    <row r="10094" spans="7:8" x14ac:dyDescent="0.3">
      <c r="G10094" s="15">
        <v>28.024999999999999</v>
      </c>
      <c r="H10094" s="3">
        <v>3.8734500000000463E-2</v>
      </c>
    </row>
    <row r="10095" spans="7:8" x14ac:dyDescent="0.3">
      <c r="G10095" s="15">
        <v>28.027777777777779</v>
      </c>
      <c r="H10095" s="3">
        <v>3.8733888888889352E-2</v>
      </c>
    </row>
    <row r="10096" spans="7:8" x14ac:dyDescent="0.3">
      <c r="G10096" s="15">
        <v>28.030555555555555</v>
      </c>
      <c r="H10096" s="3">
        <v>3.8733277777778241E-2</v>
      </c>
    </row>
    <row r="10097" spans="7:8" x14ac:dyDescent="0.3">
      <c r="G10097" s="15">
        <v>28.033333333333335</v>
      </c>
      <c r="H10097" s="3">
        <v>3.873266666666713E-2</v>
      </c>
    </row>
    <row r="10098" spans="7:8" x14ac:dyDescent="0.3">
      <c r="G10098" s="15">
        <v>28.036111111111111</v>
      </c>
      <c r="H10098" s="3">
        <v>3.8732055555556019E-2</v>
      </c>
    </row>
    <row r="10099" spans="7:8" x14ac:dyDescent="0.3">
      <c r="G10099" s="15">
        <v>28.038888888888888</v>
      </c>
      <c r="H10099" s="3">
        <v>3.8731444444444908E-2</v>
      </c>
    </row>
    <row r="10100" spans="7:8" x14ac:dyDescent="0.3">
      <c r="G10100" s="15">
        <v>28.041666666666668</v>
      </c>
      <c r="H10100" s="3">
        <v>3.8730833333333797E-2</v>
      </c>
    </row>
    <row r="10101" spans="7:8" x14ac:dyDescent="0.3">
      <c r="G10101" s="15">
        <v>28.044444444444444</v>
      </c>
      <c r="H10101" s="3">
        <v>3.8730222222222686E-2</v>
      </c>
    </row>
    <row r="10102" spans="7:8" x14ac:dyDescent="0.3">
      <c r="G10102" s="15">
        <v>28.047222222222221</v>
      </c>
      <c r="H10102" s="3">
        <v>3.8729611111111575E-2</v>
      </c>
    </row>
    <row r="10103" spans="7:8" x14ac:dyDescent="0.3">
      <c r="G10103" s="15">
        <v>28.05</v>
      </c>
      <c r="H10103" s="3">
        <v>3.8729000000000464E-2</v>
      </c>
    </row>
    <row r="10104" spans="7:8" x14ac:dyDescent="0.3">
      <c r="G10104" s="15">
        <v>28.052777777777777</v>
      </c>
      <c r="H10104" s="3">
        <v>3.8728388888889353E-2</v>
      </c>
    </row>
    <row r="10105" spans="7:8" x14ac:dyDescent="0.3">
      <c r="G10105" s="15">
        <v>28.055555555555557</v>
      </c>
      <c r="H10105" s="3">
        <v>3.8727777777778243E-2</v>
      </c>
    </row>
    <row r="10106" spans="7:8" x14ac:dyDescent="0.3">
      <c r="G10106" s="15">
        <v>28.058333333333334</v>
      </c>
      <c r="H10106" s="3">
        <v>3.8727166666667132E-2</v>
      </c>
    </row>
    <row r="10107" spans="7:8" x14ac:dyDescent="0.3">
      <c r="G10107" s="15">
        <v>28.06111111111111</v>
      </c>
      <c r="H10107" s="3">
        <v>3.8726555555556021E-2</v>
      </c>
    </row>
    <row r="10108" spans="7:8" x14ac:dyDescent="0.3">
      <c r="G10108" s="15">
        <v>28.06388888888889</v>
      </c>
      <c r="H10108" s="3">
        <v>3.872594444444491E-2</v>
      </c>
    </row>
    <row r="10109" spans="7:8" x14ac:dyDescent="0.3">
      <c r="G10109" s="15">
        <v>28.066666666666666</v>
      </c>
      <c r="H10109" s="3">
        <v>3.8725333333333799E-2</v>
      </c>
    </row>
    <row r="10110" spans="7:8" x14ac:dyDescent="0.3">
      <c r="G10110" s="15">
        <v>28.069444444444443</v>
      </c>
      <c r="H10110" s="3">
        <v>3.8724722222222688E-2</v>
      </c>
    </row>
    <row r="10111" spans="7:8" x14ac:dyDescent="0.3">
      <c r="G10111" s="15">
        <v>28.072222222222223</v>
      </c>
      <c r="H10111" s="3">
        <v>3.8724111111111577E-2</v>
      </c>
    </row>
    <row r="10112" spans="7:8" x14ac:dyDescent="0.3">
      <c r="G10112" s="15">
        <v>28.074999999999999</v>
      </c>
      <c r="H10112" s="3">
        <v>3.8723500000000466E-2</v>
      </c>
    </row>
    <row r="10113" spans="7:8" x14ac:dyDescent="0.3">
      <c r="G10113" s="15">
        <v>28.077777777777779</v>
      </c>
      <c r="H10113" s="3">
        <v>3.8722888888889355E-2</v>
      </c>
    </row>
    <row r="10114" spans="7:8" x14ac:dyDescent="0.3">
      <c r="G10114" s="15">
        <v>28.080555555555556</v>
      </c>
      <c r="H10114" s="3">
        <v>3.8722277777778244E-2</v>
      </c>
    </row>
    <row r="10115" spans="7:8" x14ac:dyDescent="0.3">
      <c r="G10115" s="15">
        <v>28.083333333333332</v>
      </c>
      <c r="H10115" s="3">
        <v>3.8721666666667133E-2</v>
      </c>
    </row>
    <row r="10116" spans="7:8" x14ac:dyDescent="0.3">
      <c r="G10116" s="15">
        <v>28.086111111111112</v>
      </c>
      <c r="H10116" s="3">
        <v>3.8721055555556022E-2</v>
      </c>
    </row>
    <row r="10117" spans="7:8" x14ac:dyDescent="0.3">
      <c r="G10117" s="15">
        <v>28.088888888888889</v>
      </c>
      <c r="H10117" s="3">
        <v>3.8720444444444911E-2</v>
      </c>
    </row>
    <row r="10118" spans="7:8" x14ac:dyDescent="0.3">
      <c r="G10118" s="15">
        <v>28.091666666666665</v>
      </c>
      <c r="H10118" s="3">
        <v>3.87198333333338E-2</v>
      </c>
    </row>
    <row r="10119" spans="7:8" x14ac:dyDescent="0.3">
      <c r="G10119" s="15">
        <v>28.094444444444445</v>
      </c>
      <c r="H10119" s="3">
        <v>3.8719222222222689E-2</v>
      </c>
    </row>
    <row r="10120" spans="7:8" x14ac:dyDescent="0.3">
      <c r="G10120" s="15">
        <v>28.097222222222221</v>
      </c>
      <c r="H10120" s="3">
        <v>3.8718611111111578E-2</v>
      </c>
    </row>
    <row r="10121" spans="7:8" x14ac:dyDescent="0.3">
      <c r="G10121" s="15">
        <v>28.1</v>
      </c>
      <c r="H10121" s="3">
        <v>3.8718000000000467E-2</v>
      </c>
    </row>
    <row r="10122" spans="7:8" x14ac:dyDescent="0.3">
      <c r="G10122" s="15">
        <v>28.102777777777778</v>
      </c>
      <c r="H10122" s="3">
        <v>3.8717388888889356E-2</v>
      </c>
    </row>
    <row r="10123" spans="7:8" x14ac:dyDescent="0.3">
      <c r="G10123" s="15">
        <v>28.105555555555554</v>
      </c>
      <c r="H10123" s="3">
        <v>3.8716777777778245E-2</v>
      </c>
    </row>
    <row r="10124" spans="7:8" x14ac:dyDescent="0.3">
      <c r="G10124" s="15">
        <v>28.108333333333334</v>
      </c>
      <c r="H10124" s="3">
        <v>3.8716166666667134E-2</v>
      </c>
    </row>
    <row r="10125" spans="7:8" x14ac:dyDescent="0.3">
      <c r="G10125" s="15">
        <v>28.111111111111111</v>
      </c>
      <c r="H10125" s="3">
        <v>3.8715555555556024E-2</v>
      </c>
    </row>
    <row r="10126" spans="7:8" x14ac:dyDescent="0.3">
      <c r="G10126" s="15">
        <v>28.113888888888887</v>
      </c>
      <c r="H10126" s="3">
        <v>3.8714944444444913E-2</v>
      </c>
    </row>
    <row r="10127" spans="7:8" x14ac:dyDescent="0.3">
      <c r="G10127" s="15">
        <v>28.116666666666667</v>
      </c>
      <c r="H10127" s="3">
        <v>3.8714333333333802E-2</v>
      </c>
    </row>
    <row r="10128" spans="7:8" x14ac:dyDescent="0.3">
      <c r="G10128" s="15">
        <v>28.119444444444444</v>
      </c>
      <c r="H10128" s="3">
        <v>3.8713722222222691E-2</v>
      </c>
    </row>
    <row r="10129" spans="7:8" x14ac:dyDescent="0.3">
      <c r="G10129" s="15">
        <v>28.122222222222224</v>
      </c>
      <c r="H10129" s="3">
        <v>3.871311111111158E-2</v>
      </c>
    </row>
    <row r="10130" spans="7:8" x14ac:dyDescent="0.3">
      <c r="G10130" s="15">
        <v>28.125</v>
      </c>
      <c r="H10130" s="3">
        <v>3.8712500000000469E-2</v>
      </c>
    </row>
    <row r="10131" spans="7:8" x14ac:dyDescent="0.3">
      <c r="G10131" s="15">
        <v>28.127777777777776</v>
      </c>
      <c r="H10131" s="3">
        <v>3.8711888888889358E-2</v>
      </c>
    </row>
    <row r="10132" spans="7:8" x14ac:dyDescent="0.3">
      <c r="G10132" s="15">
        <v>28.130555555555556</v>
      </c>
      <c r="H10132" s="3">
        <v>3.8711277777778247E-2</v>
      </c>
    </row>
    <row r="10133" spans="7:8" x14ac:dyDescent="0.3">
      <c r="G10133" s="15">
        <v>28.133333333333333</v>
      </c>
      <c r="H10133" s="3">
        <v>3.8710666666667136E-2</v>
      </c>
    </row>
    <row r="10134" spans="7:8" x14ac:dyDescent="0.3">
      <c r="G10134" s="15">
        <v>28.136111111111113</v>
      </c>
      <c r="H10134" s="3">
        <v>3.8710055555556025E-2</v>
      </c>
    </row>
    <row r="10135" spans="7:8" x14ac:dyDescent="0.3">
      <c r="G10135" s="15">
        <v>28.138888888888889</v>
      </c>
      <c r="H10135" s="3">
        <v>3.8709444444444914E-2</v>
      </c>
    </row>
    <row r="10136" spans="7:8" x14ac:dyDescent="0.3">
      <c r="G10136" s="15">
        <v>28.141666666666666</v>
      </c>
      <c r="H10136" s="3">
        <v>3.8708833333333803E-2</v>
      </c>
    </row>
    <row r="10137" spans="7:8" x14ac:dyDescent="0.3">
      <c r="G10137" s="15">
        <v>28.144444444444446</v>
      </c>
      <c r="H10137" s="3">
        <v>3.8708222222222692E-2</v>
      </c>
    </row>
    <row r="10138" spans="7:8" x14ac:dyDescent="0.3">
      <c r="G10138" s="15">
        <v>28.147222222222222</v>
      </c>
      <c r="H10138" s="3">
        <v>3.8707611111111581E-2</v>
      </c>
    </row>
    <row r="10139" spans="7:8" x14ac:dyDescent="0.3">
      <c r="G10139" s="15">
        <v>28.15</v>
      </c>
      <c r="H10139" s="3">
        <v>3.870700000000047E-2</v>
      </c>
    </row>
    <row r="10140" spans="7:8" x14ac:dyDescent="0.3">
      <c r="G10140" s="15">
        <v>28.152777777777779</v>
      </c>
      <c r="H10140" s="3">
        <v>3.8706388888889359E-2</v>
      </c>
    </row>
    <row r="10141" spans="7:8" x14ac:dyDescent="0.3">
      <c r="G10141" s="15">
        <v>28.155555555555555</v>
      </c>
      <c r="H10141" s="3">
        <v>3.8705777777778248E-2</v>
      </c>
    </row>
    <row r="10142" spans="7:8" x14ac:dyDescent="0.3">
      <c r="G10142" s="15">
        <v>28.158333333333335</v>
      </c>
      <c r="H10142" s="3">
        <v>3.8705166666667137E-2</v>
      </c>
    </row>
    <row r="10143" spans="7:8" x14ac:dyDescent="0.3">
      <c r="G10143" s="15">
        <v>28.161111111111111</v>
      </c>
      <c r="H10143" s="3">
        <v>3.8704555555556026E-2</v>
      </c>
    </row>
    <row r="10144" spans="7:8" x14ac:dyDescent="0.3">
      <c r="G10144" s="15">
        <v>28.163888888888888</v>
      </c>
      <c r="H10144" s="3">
        <v>3.8703944444444915E-2</v>
      </c>
    </row>
    <row r="10145" spans="7:8" x14ac:dyDescent="0.3">
      <c r="G10145" s="15">
        <v>28.166666666666668</v>
      </c>
      <c r="H10145" s="3">
        <v>3.8703333333333804E-2</v>
      </c>
    </row>
    <row r="10146" spans="7:8" x14ac:dyDescent="0.3">
      <c r="G10146" s="15">
        <v>28.169444444444444</v>
      </c>
      <c r="H10146" s="3">
        <v>3.8702722222222694E-2</v>
      </c>
    </row>
    <row r="10147" spans="7:8" x14ac:dyDescent="0.3">
      <c r="G10147" s="15">
        <v>28.172222222222221</v>
      </c>
      <c r="H10147" s="3">
        <v>3.8702111111111583E-2</v>
      </c>
    </row>
    <row r="10148" spans="7:8" x14ac:dyDescent="0.3">
      <c r="G10148" s="15">
        <v>28.175000000000001</v>
      </c>
      <c r="H10148" s="3">
        <v>3.8701500000000472E-2</v>
      </c>
    </row>
    <row r="10149" spans="7:8" x14ac:dyDescent="0.3">
      <c r="G10149" s="15">
        <v>28.177777777777777</v>
      </c>
      <c r="H10149" s="3">
        <v>3.8700888888889361E-2</v>
      </c>
    </row>
    <row r="10150" spans="7:8" x14ac:dyDescent="0.3">
      <c r="G10150" s="15">
        <v>28.180555555555557</v>
      </c>
      <c r="H10150" s="3">
        <v>3.870027777777825E-2</v>
      </c>
    </row>
    <row r="10151" spans="7:8" x14ac:dyDescent="0.3">
      <c r="G10151" s="15">
        <v>28.183333333333334</v>
      </c>
      <c r="H10151" s="3">
        <v>3.8699666666667139E-2</v>
      </c>
    </row>
    <row r="10152" spans="7:8" x14ac:dyDescent="0.3">
      <c r="G10152" s="15">
        <v>28.18611111111111</v>
      </c>
      <c r="H10152" s="3">
        <v>3.8699055555556028E-2</v>
      </c>
    </row>
    <row r="10153" spans="7:8" x14ac:dyDescent="0.3">
      <c r="G10153" s="15">
        <v>28.18888888888889</v>
      </c>
      <c r="H10153" s="3">
        <v>3.8698444444444917E-2</v>
      </c>
    </row>
    <row r="10154" spans="7:8" x14ac:dyDescent="0.3">
      <c r="G10154" s="15">
        <v>28.191666666666666</v>
      </c>
      <c r="H10154" s="3">
        <v>3.8697833333333806E-2</v>
      </c>
    </row>
    <row r="10155" spans="7:8" x14ac:dyDescent="0.3">
      <c r="G10155" s="15">
        <v>28.194444444444443</v>
      </c>
      <c r="H10155" s="3">
        <v>3.8697222222222695E-2</v>
      </c>
    </row>
    <row r="10156" spans="7:8" x14ac:dyDescent="0.3">
      <c r="G10156" s="15">
        <v>28.197222222222223</v>
      </c>
      <c r="H10156" s="3">
        <v>3.8696611111111584E-2</v>
      </c>
    </row>
    <row r="10157" spans="7:8" x14ac:dyDescent="0.3">
      <c r="G10157" s="15">
        <v>28.2</v>
      </c>
      <c r="H10157" s="3">
        <v>3.8696000000000473E-2</v>
      </c>
    </row>
    <row r="10158" spans="7:8" x14ac:dyDescent="0.3">
      <c r="G10158" s="15">
        <v>28.202777777777779</v>
      </c>
      <c r="H10158" s="3">
        <v>3.8695388888889362E-2</v>
      </c>
    </row>
    <row r="10159" spans="7:8" x14ac:dyDescent="0.3">
      <c r="G10159" s="15">
        <v>28.205555555555556</v>
      </c>
      <c r="H10159" s="3">
        <v>3.8694777777778251E-2</v>
      </c>
    </row>
    <row r="10160" spans="7:8" x14ac:dyDescent="0.3">
      <c r="G10160" s="15">
        <v>28.208333333333332</v>
      </c>
      <c r="H10160" s="3">
        <v>3.869416666666714E-2</v>
      </c>
    </row>
    <row r="10161" spans="7:8" x14ac:dyDescent="0.3">
      <c r="G10161" s="15">
        <v>28.211111111111112</v>
      </c>
      <c r="H10161" s="3">
        <v>3.8693555555556029E-2</v>
      </c>
    </row>
    <row r="10162" spans="7:8" x14ac:dyDescent="0.3">
      <c r="G10162" s="15">
        <v>28.213888888888889</v>
      </c>
      <c r="H10162" s="3">
        <v>3.8692944444444918E-2</v>
      </c>
    </row>
    <row r="10163" spans="7:8" x14ac:dyDescent="0.3">
      <c r="G10163" s="15">
        <v>28.216666666666665</v>
      </c>
      <c r="H10163" s="3">
        <v>3.8692333333333807E-2</v>
      </c>
    </row>
    <row r="10164" spans="7:8" x14ac:dyDescent="0.3">
      <c r="G10164" s="15">
        <v>28.219444444444445</v>
      </c>
      <c r="H10164" s="3">
        <v>3.8691722222222696E-2</v>
      </c>
    </row>
    <row r="10165" spans="7:8" x14ac:dyDescent="0.3">
      <c r="G10165" s="15">
        <v>28.222222222222221</v>
      </c>
      <c r="H10165" s="3">
        <v>3.8691111111111585E-2</v>
      </c>
    </row>
    <row r="10166" spans="7:8" x14ac:dyDescent="0.3">
      <c r="G10166" s="15">
        <v>28.225000000000001</v>
      </c>
      <c r="H10166" s="3">
        <v>3.8690500000000475E-2</v>
      </c>
    </row>
    <row r="10167" spans="7:8" x14ac:dyDescent="0.3">
      <c r="G10167" s="15">
        <v>28.227777777777778</v>
      </c>
      <c r="H10167" s="3">
        <v>3.8689888888889364E-2</v>
      </c>
    </row>
    <row r="10168" spans="7:8" x14ac:dyDescent="0.3">
      <c r="G10168" s="15">
        <v>28.230555555555554</v>
      </c>
      <c r="H10168" s="3">
        <v>3.8689277777778253E-2</v>
      </c>
    </row>
    <row r="10169" spans="7:8" x14ac:dyDescent="0.3">
      <c r="G10169" s="15">
        <v>28.233333333333334</v>
      </c>
      <c r="H10169" s="3">
        <v>3.8688666666667142E-2</v>
      </c>
    </row>
    <row r="10170" spans="7:8" x14ac:dyDescent="0.3">
      <c r="G10170" s="15">
        <v>28.236111111111111</v>
      </c>
      <c r="H10170" s="3">
        <v>3.8688055555556031E-2</v>
      </c>
    </row>
    <row r="10171" spans="7:8" x14ac:dyDescent="0.3">
      <c r="G10171" s="15">
        <v>28.238888888888887</v>
      </c>
      <c r="H10171" s="3">
        <v>3.868744444444492E-2</v>
      </c>
    </row>
    <row r="10172" spans="7:8" x14ac:dyDescent="0.3">
      <c r="G10172" s="15">
        <v>28.241666666666667</v>
      </c>
      <c r="H10172" s="3">
        <v>3.8686833333333809E-2</v>
      </c>
    </row>
    <row r="10173" spans="7:8" x14ac:dyDescent="0.3">
      <c r="G10173" s="15">
        <v>28.244444444444444</v>
      </c>
      <c r="H10173" s="3">
        <v>3.8686222222222698E-2</v>
      </c>
    </row>
    <row r="10174" spans="7:8" x14ac:dyDescent="0.3">
      <c r="G10174" s="15">
        <v>28.247222222222224</v>
      </c>
      <c r="H10174" s="3">
        <v>3.8685611111111587E-2</v>
      </c>
    </row>
    <row r="10175" spans="7:8" x14ac:dyDescent="0.3">
      <c r="G10175" s="15">
        <v>28.25</v>
      </c>
      <c r="H10175" s="3">
        <v>3.8685000000000476E-2</v>
      </c>
    </row>
    <row r="10176" spans="7:8" x14ac:dyDescent="0.3">
      <c r="G10176" s="15">
        <v>28.252777777777776</v>
      </c>
      <c r="H10176" s="3">
        <v>3.8684388888889365E-2</v>
      </c>
    </row>
    <row r="10177" spans="7:8" x14ac:dyDescent="0.3">
      <c r="G10177" s="15">
        <v>28.255555555555556</v>
      </c>
      <c r="H10177" s="3">
        <v>3.8683777777778254E-2</v>
      </c>
    </row>
    <row r="10178" spans="7:8" x14ac:dyDescent="0.3">
      <c r="G10178" s="15">
        <v>28.258333333333333</v>
      </c>
      <c r="H10178" s="3">
        <v>3.8683166666667143E-2</v>
      </c>
    </row>
    <row r="10179" spans="7:8" x14ac:dyDescent="0.3">
      <c r="G10179" s="15">
        <v>28.261111111111113</v>
      </c>
      <c r="H10179" s="3">
        <v>3.8682555555556032E-2</v>
      </c>
    </row>
    <row r="10180" spans="7:8" x14ac:dyDescent="0.3">
      <c r="G10180" s="15">
        <v>28.263888888888889</v>
      </c>
      <c r="H10180" s="3">
        <v>3.8681944444444921E-2</v>
      </c>
    </row>
    <row r="10181" spans="7:8" x14ac:dyDescent="0.3">
      <c r="G10181" s="15">
        <v>28.266666666666666</v>
      </c>
      <c r="H10181" s="3">
        <v>3.868133333333381E-2</v>
      </c>
    </row>
    <row r="10182" spans="7:8" x14ac:dyDescent="0.3">
      <c r="G10182" s="15">
        <v>28.269444444444446</v>
      </c>
      <c r="H10182" s="3">
        <v>3.8680722222222699E-2</v>
      </c>
    </row>
    <row r="10183" spans="7:8" x14ac:dyDescent="0.3">
      <c r="G10183" s="15">
        <v>28.272222222222222</v>
      </c>
      <c r="H10183" s="3">
        <v>3.8680111111111588E-2</v>
      </c>
    </row>
    <row r="10184" spans="7:8" x14ac:dyDescent="0.3">
      <c r="G10184" s="15">
        <v>28.274999999999999</v>
      </c>
      <c r="H10184" s="3">
        <v>3.8679500000000477E-2</v>
      </c>
    </row>
    <row r="10185" spans="7:8" x14ac:dyDescent="0.3">
      <c r="G10185" s="15">
        <v>28.277777777777779</v>
      </c>
      <c r="H10185" s="3">
        <v>3.8678888888889366E-2</v>
      </c>
    </row>
    <row r="10186" spans="7:8" x14ac:dyDescent="0.3">
      <c r="G10186" s="15">
        <v>28.280555555555555</v>
      </c>
      <c r="H10186" s="3">
        <v>3.8678277777778255E-2</v>
      </c>
    </row>
    <row r="10187" spans="7:8" x14ac:dyDescent="0.3">
      <c r="G10187" s="15">
        <v>28.283333333333335</v>
      </c>
      <c r="H10187" s="3">
        <v>3.8677666666667145E-2</v>
      </c>
    </row>
    <row r="10188" spans="7:8" x14ac:dyDescent="0.3">
      <c r="G10188" s="15">
        <v>28.286111111111111</v>
      </c>
      <c r="H10188" s="3">
        <v>3.8677055555556034E-2</v>
      </c>
    </row>
    <row r="10189" spans="7:8" x14ac:dyDescent="0.3">
      <c r="G10189" s="15">
        <v>28.288888888888888</v>
      </c>
      <c r="H10189" s="3">
        <v>3.8676444444444923E-2</v>
      </c>
    </row>
    <row r="10190" spans="7:8" x14ac:dyDescent="0.3">
      <c r="G10190" s="15">
        <v>28.291666666666668</v>
      </c>
      <c r="H10190" s="3">
        <v>3.8675833333333812E-2</v>
      </c>
    </row>
    <row r="10191" spans="7:8" x14ac:dyDescent="0.3">
      <c r="G10191" s="15">
        <v>28.294444444444444</v>
      </c>
      <c r="H10191" s="3">
        <v>3.8675222222222701E-2</v>
      </c>
    </row>
    <row r="10192" spans="7:8" x14ac:dyDescent="0.3">
      <c r="G10192" s="15">
        <v>28.297222222222221</v>
      </c>
      <c r="H10192" s="3">
        <v>3.867461111111159E-2</v>
      </c>
    </row>
    <row r="10193" spans="7:8" x14ac:dyDescent="0.3">
      <c r="G10193" s="15">
        <v>28.3</v>
      </c>
      <c r="H10193" s="3">
        <v>3.8674000000000479E-2</v>
      </c>
    </row>
    <row r="10194" spans="7:8" x14ac:dyDescent="0.3">
      <c r="G10194" s="15">
        <v>28.302777777777777</v>
      </c>
      <c r="H10194" s="3">
        <v>3.8673388888889368E-2</v>
      </c>
    </row>
    <row r="10195" spans="7:8" x14ac:dyDescent="0.3">
      <c r="G10195" s="15">
        <v>28.305555555555557</v>
      </c>
      <c r="H10195" s="3">
        <v>3.8672777777778257E-2</v>
      </c>
    </row>
    <row r="10196" spans="7:8" x14ac:dyDescent="0.3">
      <c r="G10196" s="15">
        <v>28.308333333333334</v>
      </c>
      <c r="H10196" s="3">
        <v>3.8672166666667146E-2</v>
      </c>
    </row>
    <row r="10197" spans="7:8" x14ac:dyDescent="0.3">
      <c r="G10197" s="15">
        <v>28.31111111111111</v>
      </c>
      <c r="H10197" s="3">
        <v>3.8671555555556035E-2</v>
      </c>
    </row>
    <row r="10198" spans="7:8" x14ac:dyDescent="0.3">
      <c r="G10198" s="15">
        <v>28.31388888888889</v>
      </c>
      <c r="H10198" s="3">
        <v>3.8670944444444924E-2</v>
      </c>
    </row>
    <row r="10199" spans="7:8" x14ac:dyDescent="0.3">
      <c r="G10199" s="15">
        <v>28.316666666666666</v>
      </c>
      <c r="H10199" s="3">
        <v>3.8670333333333813E-2</v>
      </c>
    </row>
    <row r="10200" spans="7:8" x14ac:dyDescent="0.3">
      <c r="G10200" s="15">
        <v>28.319444444444443</v>
      </c>
      <c r="H10200" s="3">
        <v>3.8669722222222702E-2</v>
      </c>
    </row>
    <row r="10201" spans="7:8" x14ac:dyDescent="0.3">
      <c r="G10201" s="15">
        <v>28.322222222222223</v>
      </c>
      <c r="H10201" s="3">
        <v>3.8669111111111591E-2</v>
      </c>
    </row>
    <row r="10202" spans="7:8" x14ac:dyDescent="0.3">
      <c r="G10202" s="15">
        <v>28.324999999999999</v>
      </c>
      <c r="H10202" s="3">
        <v>3.866850000000048E-2</v>
      </c>
    </row>
    <row r="10203" spans="7:8" x14ac:dyDescent="0.3">
      <c r="G10203" s="15">
        <v>28.327777777777779</v>
      </c>
      <c r="H10203" s="3">
        <v>3.8667888888889369E-2</v>
      </c>
    </row>
    <row r="10204" spans="7:8" x14ac:dyDescent="0.3">
      <c r="G10204" s="15">
        <v>28.330555555555556</v>
      </c>
      <c r="H10204" s="3">
        <v>3.8667277777778258E-2</v>
      </c>
    </row>
    <row r="10205" spans="7:8" x14ac:dyDescent="0.3">
      <c r="G10205" s="15">
        <v>28.333333333333332</v>
      </c>
      <c r="H10205" s="3">
        <v>3.8666666666667147E-2</v>
      </c>
    </row>
    <row r="10206" spans="7:8" x14ac:dyDescent="0.3">
      <c r="G10206" s="15">
        <v>28.336111111111112</v>
      </c>
      <c r="H10206" s="3">
        <v>3.8666055555556036E-2</v>
      </c>
    </row>
    <row r="10207" spans="7:8" x14ac:dyDescent="0.3">
      <c r="G10207" s="15">
        <v>28.338888888888889</v>
      </c>
      <c r="H10207" s="3">
        <v>3.8665444444444926E-2</v>
      </c>
    </row>
    <row r="10208" spans="7:8" x14ac:dyDescent="0.3">
      <c r="G10208" s="15">
        <v>28.341666666666665</v>
      </c>
      <c r="H10208" s="3">
        <v>3.8664833333333815E-2</v>
      </c>
    </row>
    <row r="10209" spans="7:8" x14ac:dyDescent="0.3">
      <c r="G10209" s="15">
        <v>28.344444444444445</v>
      </c>
      <c r="H10209" s="3">
        <v>3.8664222222222704E-2</v>
      </c>
    </row>
    <row r="10210" spans="7:8" x14ac:dyDescent="0.3">
      <c r="G10210" s="15">
        <v>28.347222222222221</v>
      </c>
      <c r="H10210" s="3">
        <v>3.8663611111111593E-2</v>
      </c>
    </row>
    <row r="10211" spans="7:8" x14ac:dyDescent="0.3">
      <c r="G10211" s="15">
        <v>28.35</v>
      </c>
      <c r="H10211" s="3">
        <v>3.8663000000000482E-2</v>
      </c>
    </row>
    <row r="10212" spans="7:8" x14ac:dyDescent="0.3">
      <c r="G10212" s="15">
        <v>28.352777777777778</v>
      </c>
      <c r="H10212" s="3">
        <v>3.8662388888889371E-2</v>
      </c>
    </row>
    <row r="10213" spans="7:8" x14ac:dyDescent="0.3">
      <c r="G10213" s="15">
        <v>28.355555555555554</v>
      </c>
      <c r="H10213" s="3">
        <v>3.866177777777826E-2</v>
      </c>
    </row>
    <row r="10214" spans="7:8" x14ac:dyDescent="0.3">
      <c r="G10214" s="15">
        <v>28.358333333333334</v>
      </c>
      <c r="H10214" s="3">
        <v>3.8661166666667149E-2</v>
      </c>
    </row>
    <row r="10215" spans="7:8" x14ac:dyDescent="0.3">
      <c r="G10215" s="15">
        <v>28.361111111111111</v>
      </c>
      <c r="H10215" s="3">
        <v>3.8660555555556038E-2</v>
      </c>
    </row>
    <row r="10216" spans="7:8" x14ac:dyDescent="0.3">
      <c r="G10216" s="15">
        <v>28.363888888888887</v>
      </c>
      <c r="H10216" s="3">
        <v>3.8659944444444927E-2</v>
      </c>
    </row>
    <row r="10217" spans="7:8" x14ac:dyDescent="0.3">
      <c r="G10217" s="15">
        <v>28.366666666666667</v>
      </c>
      <c r="H10217" s="3">
        <v>3.8659333333333816E-2</v>
      </c>
    </row>
    <row r="10218" spans="7:8" x14ac:dyDescent="0.3">
      <c r="G10218" s="15">
        <v>28.369444444444444</v>
      </c>
      <c r="H10218" s="3">
        <v>3.8658722222222705E-2</v>
      </c>
    </row>
    <row r="10219" spans="7:8" x14ac:dyDescent="0.3">
      <c r="G10219" s="15">
        <v>28.372222222222224</v>
      </c>
      <c r="H10219" s="3">
        <v>3.8658111111111594E-2</v>
      </c>
    </row>
    <row r="10220" spans="7:8" x14ac:dyDescent="0.3">
      <c r="G10220" s="15">
        <v>28.375</v>
      </c>
      <c r="H10220" s="3">
        <v>3.8657500000000483E-2</v>
      </c>
    </row>
    <row r="10221" spans="7:8" x14ac:dyDescent="0.3">
      <c r="G10221" s="15">
        <v>28.377777777777776</v>
      </c>
      <c r="H10221" s="3">
        <v>3.8656888888889372E-2</v>
      </c>
    </row>
    <row r="10222" spans="7:8" x14ac:dyDescent="0.3">
      <c r="G10222" s="15">
        <v>28.380555555555556</v>
      </c>
      <c r="H10222" s="3">
        <v>3.8656277777778261E-2</v>
      </c>
    </row>
    <row r="10223" spans="7:8" x14ac:dyDescent="0.3">
      <c r="G10223" s="15">
        <v>28.383333333333333</v>
      </c>
      <c r="H10223" s="3">
        <v>3.865566666666715E-2</v>
      </c>
    </row>
    <row r="10224" spans="7:8" x14ac:dyDescent="0.3">
      <c r="G10224" s="15">
        <v>28.386111111111113</v>
      </c>
      <c r="H10224" s="3">
        <v>3.8655055555556039E-2</v>
      </c>
    </row>
    <row r="10225" spans="7:8" x14ac:dyDescent="0.3">
      <c r="G10225" s="15">
        <v>28.388888888888889</v>
      </c>
      <c r="H10225" s="3">
        <v>3.8654444444444928E-2</v>
      </c>
    </row>
    <row r="10226" spans="7:8" x14ac:dyDescent="0.3">
      <c r="G10226" s="15">
        <v>28.391666666666666</v>
      </c>
      <c r="H10226" s="3">
        <v>3.8653833333333817E-2</v>
      </c>
    </row>
    <row r="10227" spans="7:8" x14ac:dyDescent="0.3">
      <c r="G10227" s="15">
        <v>28.394444444444446</v>
      </c>
      <c r="H10227" s="3">
        <v>3.8653222222222706E-2</v>
      </c>
    </row>
    <row r="10228" spans="7:8" x14ac:dyDescent="0.3">
      <c r="G10228" s="15">
        <v>28.397222222222222</v>
      </c>
      <c r="H10228" s="3">
        <v>3.8652611111111596E-2</v>
      </c>
    </row>
    <row r="10229" spans="7:8" x14ac:dyDescent="0.3">
      <c r="G10229" s="15">
        <v>28.4</v>
      </c>
      <c r="H10229" s="3">
        <v>3.8652000000000485E-2</v>
      </c>
    </row>
    <row r="10230" spans="7:8" x14ac:dyDescent="0.3">
      <c r="G10230" s="15">
        <v>28.402777777777779</v>
      </c>
      <c r="H10230" s="3">
        <v>3.8651388888889374E-2</v>
      </c>
    </row>
    <row r="10231" spans="7:8" x14ac:dyDescent="0.3">
      <c r="G10231" s="15">
        <v>28.405555555555555</v>
      </c>
      <c r="H10231" s="3">
        <v>3.8650777777778263E-2</v>
      </c>
    </row>
    <row r="10232" spans="7:8" x14ac:dyDescent="0.3">
      <c r="G10232" s="15">
        <v>28.408333333333335</v>
      </c>
      <c r="H10232" s="3">
        <v>3.8650166666667152E-2</v>
      </c>
    </row>
    <row r="10233" spans="7:8" x14ac:dyDescent="0.3">
      <c r="G10233" s="15">
        <v>28.411111111111111</v>
      </c>
      <c r="H10233" s="3">
        <v>3.8649555555556041E-2</v>
      </c>
    </row>
    <row r="10234" spans="7:8" x14ac:dyDescent="0.3">
      <c r="G10234" s="15">
        <v>28.413888888888888</v>
      </c>
      <c r="H10234" s="3">
        <v>3.864894444444493E-2</v>
      </c>
    </row>
    <row r="10235" spans="7:8" x14ac:dyDescent="0.3">
      <c r="G10235" s="15">
        <v>28.416666666666668</v>
      </c>
      <c r="H10235" s="3">
        <v>3.8648333333333819E-2</v>
      </c>
    </row>
    <row r="10236" spans="7:8" x14ac:dyDescent="0.3">
      <c r="G10236" s="15">
        <v>28.419444444444444</v>
      </c>
      <c r="H10236" s="3">
        <v>3.8647722222222708E-2</v>
      </c>
    </row>
    <row r="10237" spans="7:8" x14ac:dyDescent="0.3">
      <c r="G10237" s="15">
        <v>28.422222222222221</v>
      </c>
      <c r="H10237" s="3">
        <v>3.8647111111111597E-2</v>
      </c>
    </row>
    <row r="10238" spans="7:8" x14ac:dyDescent="0.3">
      <c r="G10238" s="15">
        <v>28.425000000000001</v>
      </c>
      <c r="H10238" s="3">
        <v>3.8646500000000486E-2</v>
      </c>
    </row>
    <row r="10239" spans="7:8" x14ac:dyDescent="0.3">
      <c r="G10239" s="15">
        <v>28.427777777777777</v>
      </c>
      <c r="H10239" s="3">
        <v>3.8645888888889375E-2</v>
      </c>
    </row>
    <row r="10240" spans="7:8" x14ac:dyDescent="0.3">
      <c r="G10240" s="15">
        <v>28.430555555555557</v>
      </c>
      <c r="H10240" s="3">
        <v>3.8645277777778264E-2</v>
      </c>
    </row>
    <row r="10241" spans="7:8" x14ac:dyDescent="0.3">
      <c r="G10241" s="15">
        <v>28.433333333333334</v>
      </c>
      <c r="H10241" s="3">
        <v>3.8644666666667153E-2</v>
      </c>
    </row>
    <row r="10242" spans="7:8" x14ac:dyDescent="0.3">
      <c r="G10242" s="15">
        <v>28.43611111111111</v>
      </c>
      <c r="H10242" s="3">
        <v>3.8644055555556042E-2</v>
      </c>
    </row>
    <row r="10243" spans="7:8" x14ac:dyDescent="0.3">
      <c r="G10243" s="15">
        <v>28.43888888888889</v>
      </c>
      <c r="H10243" s="3">
        <v>3.8643444444444931E-2</v>
      </c>
    </row>
    <row r="10244" spans="7:8" x14ac:dyDescent="0.3">
      <c r="G10244" s="15">
        <v>28.441666666666666</v>
      </c>
      <c r="H10244" s="3">
        <v>3.864283333333382E-2</v>
      </c>
    </row>
    <row r="10245" spans="7:8" x14ac:dyDescent="0.3">
      <c r="G10245" s="15">
        <v>28.444444444444443</v>
      </c>
      <c r="H10245" s="3">
        <v>3.8642222222222709E-2</v>
      </c>
    </row>
    <row r="10246" spans="7:8" x14ac:dyDescent="0.3">
      <c r="G10246" s="15">
        <v>28.447222222222223</v>
      </c>
      <c r="H10246" s="3">
        <v>3.8641611111111598E-2</v>
      </c>
    </row>
    <row r="10247" spans="7:8" x14ac:dyDescent="0.3">
      <c r="G10247" s="15">
        <v>28.45</v>
      </c>
      <c r="H10247" s="3">
        <v>3.8641000000000487E-2</v>
      </c>
    </row>
    <row r="10248" spans="7:8" x14ac:dyDescent="0.3">
      <c r="G10248" s="15">
        <v>28.452777777777779</v>
      </c>
      <c r="H10248" s="3">
        <v>3.8640388888889377E-2</v>
      </c>
    </row>
    <row r="10249" spans="7:8" x14ac:dyDescent="0.3">
      <c r="G10249" s="15">
        <v>28.455555555555556</v>
      </c>
      <c r="H10249" s="3">
        <v>3.8639777777778266E-2</v>
      </c>
    </row>
    <row r="10250" spans="7:8" x14ac:dyDescent="0.3">
      <c r="G10250" s="15">
        <v>28.458333333333332</v>
      </c>
      <c r="H10250" s="3">
        <v>3.8639166666667155E-2</v>
      </c>
    </row>
    <row r="10251" spans="7:8" x14ac:dyDescent="0.3">
      <c r="G10251" s="15">
        <v>28.461111111111112</v>
      </c>
      <c r="H10251" s="3">
        <v>3.8638555555556044E-2</v>
      </c>
    </row>
    <row r="10252" spans="7:8" x14ac:dyDescent="0.3">
      <c r="G10252" s="15">
        <v>28.463888888888889</v>
      </c>
      <c r="H10252" s="3">
        <v>3.8637944444444933E-2</v>
      </c>
    </row>
    <row r="10253" spans="7:8" x14ac:dyDescent="0.3">
      <c r="G10253" s="15">
        <v>28.466666666666665</v>
      </c>
      <c r="H10253" s="3">
        <v>3.8637333333333822E-2</v>
      </c>
    </row>
    <row r="10254" spans="7:8" x14ac:dyDescent="0.3">
      <c r="G10254" s="15">
        <v>28.469444444444445</v>
      </c>
      <c r="H10254" s="3">
        <v>3.8636722222222711E-2</v>
      </c>
    </row>
    <row r="10255" spans="7:8" x14ac:dyDescent="0.3">
      <c r="G10255" s="15">
        <v>28.472222222222221</v>
      </c>
      <c r="H10255" s="3">
        <v>3.86361111111116E-2</v>
      </c>
    </row>
    <row r="10256" spans="7:8" x14ac:dyDescent="0.3">
      <c r="G10256" s="15">
        <v>28.475000000000001</v>
      </c>
      <c r="H10256" s="3">
        <v>3.8635500000000489E-2</v>
      </c>
    </row>
    <row r="10257" spans="7:8" x14ac:dyDescent="0.3">
      <c r="G10257" s="15">
        <v>28.477777777777778</v>
      </c>
      <c r="H10257" s="3">
        <v>3.8634888888889378E-2</v>
      </c>
    </row>
    <row r="10258" spans="7:8" x14ac:dyDescent="0.3">
      <c r="G10258" s="15">
        <v>28.480555555555554</v>
      </c>
      <c r="H10258" s="3">
        <v>3.8634277777778267E-2</v>
      </c>
    </row>
    <row r="10259" spans="7:8" x14ac:dyDescent="0.3">
      <c r="G10259" s="15">
        <v>28.483333333333334</v>
      </c>
      <c r="H10259" s="3">
        <v>3.8633666666667156E-2</v>
      </c>
    </row>
    <row r="10260" spans="7:8" x14ac:dyDescent="0.3">
      <c r="G10260" s="15">
        <v>28.486111111111111</v>
      </c>
      <c r="H10260" s="3">
        <v>3.8633055555556045E-2</v>
      </c>
    </row>
    <row r="10261" spans="7:8" x14ac:dyDescent="0.3">
      <c r="G10261" s="15">
        <v>28.488888888888887</v>
      </c>
      <c r="H10261" s="3">
        <v>3.8632444444444934E-2</v>
      </c>
    </row>
    <row r="10262" spans="7:8" x14ac:dyDescent="0.3">
      <c r="G10262" s="15">
        <v>28.491666666666667</v>
      </c>
      <c r="H10262" s="3">
        <v>3.8631833333333823E-2</v>
      </c>
    </row>
    <row r="10263" spans="7:8" x14ac:dyDescent="0.3">
      <c r="G10263" s="15">
        <v>28.494444444444444</v>
      </c>
      <c r="H10263" s="3">
        <v>3.8631222222222712E-2</v>
      </c>
    </row>
    <row r="10264" spans="7:8" x14ac:dyDescent="0.3">
      <c r="G10264" s="15">
        <v>28.497222222222224</v>
      </c>
      <c r="H10264" s="3">
        <v>3.8630611111111601E-2</v>
      </c>
    </row>
    <row r="10265" spans="7:8" x14ac:dyDescent="0.3">
      <c r="G10265" s="15">
        <v>28.5</v>
      </c>
      <c r="H10265" s="3">
        <v>3.863000000000049E-2</v>
      </c>
    </row>
    <row r="10266" spans="7:8" x14ac:dyDescent="0.3">
      <c r="G10266" s="15">
        <v>28.502777777777776</v>
      </c>
      <c r="H10266" s="3">
        <v>3.8629388888889379E-2</v>
      </c>
    </row>
    <row r="10267" spans="7:8" x14ac:dyDescent="0.3">
      <c r="G10267" s="15">
        <v>28.505555555555556</v>
      </c>
      <c r="H10267" s="3">
        <v>3.8628777777778268E-2</v>
      </c>
    </row>
    <row r="10268" spans="7:8" x14ac:dyDescent="0.3">
      <c r="G10268" s="15">
        <v>28.508333333333333</v>
      </c>
      <c r="H10268" s="3">
        <v>3.8628166666667157E-2</v>
      </c>
    </row>
    <row r="10269" spans="7:8" x14ac:dyDescent="0.3">
      <c r="G10269" s="15">
        <v>28.511111111111113</v>
      </c>
      <c r="H10269" s="3">
        <v>3.8627555555556047E-2</v>
      </c>
    </row>
    <row r="10270" spans="7:8" x14ac:dyDescent="0.3">
      <c r="G10270" s="15">
        <v>28.513888888888889</v>
      </c>
      <c r="H10270" s="3">
        <v>3.8626944444444936E-2</v>
      </c>
    </row>
    <row r="10271" spans="7:8" x14ac:dyDescent="0.3">
      <c r="G10271" s="15">
        <v>28.516666666666666</v>
      </c>
      <c r="H10271" s="3">
        <v>3.8626333333333825E-2</v>
      </c>
    </row>
    <row r="10272" spans="7:8" x14ac:dyDescent="0.3">
      <c r="G10272" s="15">
        <v>28.519444444444446</v>
      </c>
      <c r="H10272" s="3">
        <v>3.8625722222222714E-2</v>
      </c>
    </row>
    <row r="10273" spans="7:8" x14ac:dyDescent="0.3">
      <c r="G10273" s="15">
        <v>28.522222222222222</v>
      </c>
      <c r="H10273" s="3">
        <v>3.8625111111111603E-2</v>
      </c>
    </row>
    <row r="10274" spans="7:8" x14ac:dyDescent="0.3">
      <c r="G10274" s="15">
        <v>28.524999999999999</v>
      </c>
      <c r="H10274" s="3">
        <v>3.8624500000000492E-2</v>
      </c>
    </row>
    <row r="10275" spans="7:8" x14ac:dyDescent="0.3">
      <c r="G10275" s="15">
        <v>28.527777777777779</v>
      </c>
      <c r="H10275" s="3">
        <v>3.8623888888889381E-2</v>
      </c>
    </row>
    <row r="10276" spans="7:8" x14ac:dyDescent="0.3">
      <c r="G10276" s="15">
        <v>28.530555555555555</v>
      </c>
      <c r="H10276" s="3">
        <v>3.862327777777827E-2</v>
      </c>
    </row>
    <row r="10277" spans="7:8" x14ac:dyDescent="0.3">
      <c r="G10277" s="15">
        <v>28.533333333333335</v>
      </c>
      <c r="H10277" s="3">
        <v>3.8622666666667159E-2</v>
      </c>
    </row>
    <row r="10278" spans="7:8" x14ac:dyDescent="0.3">
      <c r="G10278" s="15">
        <v>28.536111111111111</v>
      </c>
      <c r="H10278" s="3">
        <v>3.8622055555556048E-2</v>
      </c>
    </row>
    <row r="10279" spans="7:8" x14ac:dyDescent="0.3">
      <c r="G10279" s="15">
        <v>28.538888888888888</v>
      </c>
      <c r="H10279" s="3">
        <v>3.8621444444444937E-2</v>
      </c>
    </row>
    <row r="10280" spans="7:8" x14ac:dyDescent="0.3">
      <c r="G10280" s="15">
        <v>28.541666666666668</v>
      </c>
      <c r="H10280" s="3">
        <v>3.8620833333333826E-2</v>
      </c>
    </row>
    <row r="10281" spans="7:8" x14ac:dyDescent="0.3">
      <c r="G10281" s="15">
        <v>28.544444444444444</v>
      </c>
      <c r="H10281" s="3">
        <v>3.8620222222222715E-2</v>
      </c>
    </row>
    <row r="10282" spans="7:8" x14ac:dyDescent="0.3">
      <c r="G10282" s="15">
        <v>28.547222222222221</v>
      </c>
      <c r="H10282" s="3">
        <v>3.8619611111111604E-2</v>
      </c>
    </row>
    <row r="10283" spans="7:8" x14ac:dyDescent="0.3">
      <c r="G10283" s="15">
        <v>28.55</v>
      </c>
      <c r="H10283" s="3">
        <v>3.8619000000000493E-2</v>
      </c>
    </row>
    <row r="10284" spans="7:8" x14ac:dyDescent="0.3">
      <c r="G10284" s="15">
        <v>28.552777777777777</v>
      </c>
      <c r="H10284" s="3">
        <v>3.8618388888889382E-2</v>
      </c>
    </row>
    <row r="10285" spans="7:8" x14ac:dyDescent="0.3">
      <c r="G10285" s="15">
        <v>28.555555555555557</v>
      </c>
      <c r="H10285" s="3">
        <v>3.8617777777778271E-2</v>
      </c>
    </row>
    <row r="10286" spans="7:8" x14ac:dyDescent="0.3">
      <c r="G10286" s="15">
        <v>28.558333333333334</v>
      </c>
      <c r="H10286" s="3">
        <v>3.861716666666716E-2</v>
      </c>
    </row>
    <row r="10287" spans="7:8" x14ac:dyDescent="0.3">
      <c r="G10287" s="15">
        <v>28.56111111111111</v>
      </c>
      <c r="H10287" s="3">
        <v>3.8616555555556049E-2</v>
      </c>
    </row>
    <row r="10288" spans="7:8" x14ac:dyDescent="0.3">
      <c r="G10288" s="15">
        <v>28.56388888888889</v>
      </c>
      <c r="H10288" s="3">
        <v>3.8615944444444938E-2</v>
      </c>
    </row>
    <row r="10289" spans="7:8" x14ac:dyDescent="0.3">
      <c r="G10289" s="15">
        <v>28.566666666666666</v>
      </c>
      <c r="H10289" s="3">
        <v>3.8615333333333828E-2</v>
      </c>
    </row>
    <row r="10290" spans="7:8" x14ac:dyDescent="0.3">
      <c r="G10290" s="15">
        <v>28.569444444444443</v>
      </c>
      <c r="H10290" s="3">
        <v>3.8614722222222717E-2</v>
      </c>
    </row>
    <row r="10291" spans="7:8" x14ac:dyDescent="0.3">
      <c r="G10291" s="15">
        <v>28.572222222222223</v>
      </c>
      <c r="H10291" s="3">
        <v>3.8614111111111606E-2</v>
      </c>
    </row>
    <row r="10292" spans="7:8" x14ac:dyDescent="0.3">
      <c r="G10292" s="15">
        <v>28.574999999999999</v>
      </c>
      <c r="H10292" s="3">
        <v>3.8613500000000495E-2</v>
      </c>
    </row>
    <row r="10293" spans="7:8" x14ac:dyDescent="0.3">
      <c r="G10293" s="15">
        <v>28.577777777777779</v>
      </c>
      <c r="H10293" s="3">
        <v>3.8612888888889384E-2</v>
      </c>
    </row>
    <row r="10294" spans="7:8" x14ac:dyDescent="0.3">
      <c r="G10294" s="15">
        <v>28.580555555555556</v>
      </c>
      <c r="H10294" s="3">
        <v>3.8612277777778273E-2</v>
      </c>
    </row>
    <row r="10295" spans="7:8" x14ac:dyDescent="0.3">
      <c r="G10295" s="15">
        <v>28.583333333333332</v>
      </c>
      <c r="H10295" s="3">
        <v>3.8611666666667162E-2</v>
      </c>
    </row>
    <row r="10296" spans="7:8" x14ac:dyDescent="0.3">
      <c r="G10296" s="15">
        <v>28.586111111111112</v>
      </c>
      <c r="H10296" s="3">
        <v>3.8611055555556051E-2</v>
      </c>
    </row>
    <row r="10297" spans="7:8" x14ac:dyDescent="0.3">
      <c r="G10297" s="15">
        <v>28.588888888888889</v>
      </c>
      <c r="H10297" s="3">
        <v>3.861044444444494E-2</v>
      </c>
    </row>
    <row r="10298" spans="7:8" x14ac:dyDescent="0.3">
      <c r="G10298" s="15">
        <v>28.591666666666665</v>
      </c>
      <c r="H10298" s="3">
        <v>3.8609833333333829E-2</v>
      </c>
    </row>
    <row r="10299" spans="7:8" x14ac:dyDescent="0.3">
      <c r="G10299" s="15">
        <v>28.594444444444445</v>
      </c>
      <c r="H10299" s="3">
        <v>3.8609222222222718E-2</v>
      </c>
    </row>
    <row r="10300" spans="7:8" x14ac:dyDescent="0.3">
      <c r="G10300" s="15">
        <v>28.597222222222221</v>
      </c>
      <c r="H10300" s="3">
        <v>3.8608611111111607E-2</v>
      </c>
    </row>
    <row r="10301" spans="7:8" x14ac:dyDescent="0.3">
      <c r="G10301" s="15">
        <v>28.6</v>
      </c>
      <c r="H10301" s="3">
        <v>3.8608000000000496E-2</v>
      </c>
    </row>
    <row r="10302" spans="7:8" x14ac:dyDescent="0.3">
      <c r="G10302" s="15">
        <v>28.602777777777778</v>
      </c>
      <c r="H10302" s="3">
        <v>3.8607388888889385E-2</v>
      </c>
    </row>
    <row r="10303" spans="7:8" x14ac:dyDescent="0.3">
      <c r="G10303" s="15">
        <v>28.605555555555554</v>
      </c>
      <c r="H10303" s="3">
        <v>3.8606777777778274E-2</v>
      </c>
    </row>
    <row r="10304" spans="7:8" x14ac:dyDescent="0.3">
      <c r="G10304" s="15">
        <v>28.608333333333334</v>
      </c>
      <c r="H10304" s="3">
        <v>3.8606166666667163E-2</v>
      </c>
    </row>
    <row r="10305" spans="7:8" x14ac:dyDescent="0.3">
      <c r="G10305" s="15">
        <v>28.611111111111111</v>
      </c>
      <c r="H10305" s="3">
        <v>3.8605555555556052E-2</v>
      </c>
    </row>
    <row r="10306" spans="7:8" x14ac:dyDescent="0.3">
      <c r="G10306" s="15">
        <v>28.613888888888887</v>
      </c>
      <c r="H10306" s="3">
        <v>3.8604944444444941E-2</v>
      </c>
    </row>
    <row r="10307" spans="7:8" x14ac:dyDescent="0.3">
      <c r="G10307" s="15">
        <v>28.616666666666667</v>
      </c>
      <c r="H10307" s="3">
        <v>3.860433333333383E-2</v>
      </c>
    </row>
    <row r="10308" spans="7:8" x14ac:dyDescent="0.3">
      <c r="G10308" s="15">
        <v>28.619444444444444</v>
      </c>
      <c r="H10308" s="3">
        <v>3.8603722222222719E-2</v>
      </c>
    </row>
    <row r="10309" spans="7:8" x14ac:dyDescent="0.3">
      <c r="G10309" s="15">
        <v>28.622222222222224</v>
      </c>
      <c r="H10309" s="3">
        <v>3.8603111111111608E-2</v>
      </c>
    </row>
    <row r="10310" spans="7:8" x14ac:dyDescent="0.3">
      <c r="G10310" s="15">
        <v>28.625</v>
      </c>
      <c r="H10310" s="3">
        <v>3.8602500000000498E-2</v>
      </c>
    </row>
    <row r="10311" spans="7:8" x14ac:dyDescent="0.3">
      <c r="G10311" s="15">
        <v>28.627777777777776</v>
      </c>
      <c r="H10311" s="3">
        <v>3.8601888888889387E-2</v>
      </c>
    </row>
    <row r="10312" spans="7:8" x14ac:dyDescent="0.3">
      <c r="G10312" s="15">
        <v>28.630555555555556</v>
      </c>
      <c r="H10312" s="3">
        <v>3.8601277777778276E-2</v>
      </c>
    </row>
    <row r="10313" spans="7:8" x14ac:dyDescent="0.3">
      <c r="G10313" s="15">
        <v>28.633333333333333</v>
      </c>
      <c r="H10313" s="3">
        <v>3.8600666666667165E-2</v>
      </c>
    </row>
    <row r="10314" spans="7:8" x14ac:dyDescent="0.3">
      <c r="G10314" s="15">
        <v>28.636111111111113</v>
      </c>
      <c r="H10314" s="3">
        <v>3.8600055555556054E-2</v>
      </c>
    </row>
    <row r="10315" spans="7:8" x14ac:dyDescent="0.3">
      <c r="G10315" s="15">
        <v>28.638888888888889</v>
      </c>
      <c r="H10315" s="3">
        <v>3.8599444444444943E-2</v>
      </c>
    </row>
    <row r="10316" spans="7:8" x14ac:dyDescent="0.3">
      <c r="G10316" s="15">
        <v>28.641666666666666</v>
      </c>
      <c r="H10316" s="3">
        <v>3.8598833333333832E-2</v>
      </c>
    </row>
    <row r="10317" spans="7:8" x14ac:dyDescent="0.3">
      <c r="G10317" s="15">
        <v>28.644444444444446</v>
      </c>
      <c r="H10317" s="3">
        <v>3.8598222222222721E-2</v>
      </c>
    </row>
    <row r="10318" spans="7:8" x14ac:dyDescent="0.3">
      <c r="G10318" s="15">
        <v>28.647222222222222</v>
      </c>
      <c r="H10318" s="3">
        <v>3.859761111111161E-2</v>
      </c>
    </row>
    <row r="10319" spans="7:8" x14ac:dyDescent="0.3">
      <c r="G10319" s="15">
        <v>28.65</v>
      </c>
      <c r="H10319" s="3">
        <v>3.8597000000000499E-2</v>
      </c>
    </row>
    <row r="10320" spans="7:8" x14ac:dyDescent="0.3">
      <c r="G10320" s="15">
        <v>28.652777777777779</v>
      </c>
      <c r="H10320" s="3">
        <v>3.8596388888889388E-2</v>
      </c>
    </row>
    <row r="10321" spans="7:8" x14ac:dyDescent="0.3">
      <c r="G10321" s="15">
        <v>28.655555555555555</v>
      </c>
      <c r="H10321" s="3">
        <v>3.8595777777778277E-2</v>
      </c>
    </row>
    <row r="10322" spans="7:8" x14ac:dyDescent="0.3">
      <c r="G10322" s="15">
        <v>28.658333333333335</v>
      </c>
      <c r="H10322" s="3">
        <v>3.8595166666667166E-2</v>
      </c>
    </row>
    <row r="10323" spans="7:8" x14ac:dyDescent="0.3">
      <c r="G10323" s="15">
        <v>28.661111111111111</v>
      </c>
      <c r="H10323" s="3">
        <v>3.8594555555556055E-2</v>
      </c>
    </row>
    <row r="10324" spans="7:8" x14ac:dyDescent="0.3">
      <c r="G10324" s="15">
        <v>28.663888888888888</v>
      </c>
      <c r="H10324" s="3">
        <v>3.8593944444444944E-2</v>
      </c>
    </row>
    <row r="10325" spans="7:8" x14ac:dyDescent="0.3">
      <c r="G10325" s="15">
        <v>28.666666666666668</v>
      </c>
      <c r="H10325" s="3">
        <v>3.8593333333333833E-2</v>
      </c>
    </row>
    <row r="10326" spans="7:8" x14ac:dyDescent="0.3">
      <c r="G10326" s="15">
        <v>28.669444444444444</v>
      </c>
      <c r="H10326" s="3">
        <v>3.8592722222222722E-2</v>
      </c>
    </row>
    <row r="10327" spans="7:8" x14ac:dyDescent="0.3">
      <c r="G10327" s="15">
        <v>28.672222222222221</v>
      </c>
      <c r="H10327" s="3">
        <v>3.8592111111111611E-2</v>
      </c>
    </row>
    <row r="10328" spans="7:8" x14ac:dyDescent="0.3">
      <c r="G10328" s="15">
        <v>28.675000000000001</v>
      </c>
      <c r="H10328" s="3">
        <v>3.85915000000005E-2</v>
      </c>
    </row>
    <row r="10329" spans="7:8" x14ac:dyDescent="0.3">
      <c r="G10329" s="15">
        <v>28.677777777777777</v>
      </c>
      <c r="H10329" s="3">
        <v>3.8590888888889389E-2</v>
      </c>
    </row>
    <row r="10330" spans="7:8" x14ac:dyDescent="0.3">
      <c r="G10330" s="15">
        <v>28.680555555555557</v>
      </c>
      <c r="H10330" s="3">
        <v>3.8590277777778279E-2</v>
      </c>
    </row>
    <row r="10331" spans="7:8" x14ac:dyDescent="0.3">
      <c r="G10331" s="15">
        <v>28.683333333333334</v>
      </c>
      <c r="H10331" s="3">
        <v>3.8589666666667168E-2</v>
      </c>
    </row>
    <row r="10332" spans="7:8" x14ac:dyDescent="0.3">
      <c r="G10332" s="15">
        <v>28.68611111111111</v>
      </c>
      <c r="H10332" s="3">
        <v>3.8589055555556057E-2</v>
      </c>
    </row>
    <row r="10333" spans="7:8" x14ac:dyDescent="0.3">
      <c r="G10333" s="15">
        <v>28.68888888888889</v>
      </c>
      <c r="H10333" s="3">
        <v>3.8588444444444946E-2</v>
      </c>
    </row>
    <row r="10334" spans="7:8" x14ac:dyDescent="0.3">
      <c r="G10334" s="15">
        <v>28.691666666666666</v>
      </c>
      <c r="H10334" s="3">
        <v>3.8587833333333835E-2</v>
      </c>
    </row>
    <row r="10335" spans="7:8" x14ac:dyDescent="0.3">
      <c r="G10335" s="15">
        <v>28.694444444444443</v>
      </c>
      <c r="H10335" s="3">
        <v>3.8587222222222724E-2</v>
      </c>
    </row>
    <row r="10336" spans="7:8" x14ac:dyDescent="0.3">
      <c r="G10336" s="15">
        <v>28.697222222222223</v>
      </c>
      <c r="H10336" s="3">
        <v>3.8586611111111613E-2</v>
      </c>
    </row>
    <row r="10337" spans="7:8" x14ac:dyDescent="0.3">
      <c r="G10337" s="15">
        <v>28.7</v>
      </c>
      <c r="H10337" s="3">
        <v>3.8586000000000502E-2</v>
      </c>
    </row>
    <row r="10338" spans="7:8" x14ac:dyDescent="0.3">
      <c r="G10338" s="15">
        <v>28.702777777777779</v>
      </c>
      <c r="H10338" s="3">
        <v>3.8585388888889391E-2</v>
      </c>
    </row>
    <row r="10339" spans="7:8" x14ac:dyDescent="0.3">
      <c r="G10339" s="15">
        <v>28.705555555555556</v>
      </c>
      <c r="H10339" s="3">
        <v>3.858477777777828E-2</v>
      </c>
    </row>
    <row r="10340" spans="7:8" x14ac:dyDescent="0.3">
      <c r="G10340" s="15">
        <v>28.708333333333332</v>
      </c>
      <c r="H10340" s="3">
        <v>3.8584166666667169E-2</v>
      </c>
    </row>
    <row r="10341" spans="7:8" x14ac:dyDescent="0.3">
      <c r="G10341" s="15">
        <v>28.711111111111112</v>
      </c>
      <c r="H10341" s="3">
        <v>3.8583555555556058E-2</v>
      </c>
    </row>
    <row r="10342" spans="7:8" x14ac:dyDescent="0.3">
      <c r="G10342" s="15">
        <v>28.713888888888889</v>
      </c>
      <c r="H10342" s="3">
        <v>3.8582944444444947E-2</v>
      </c>
    </row>
    <row r="10343" spans="7:8" x14ac:dyDescent="0.3">
      <c r="G10343" s="15">
        <v>28.716666666666665</v>
      </c>
      <c r="H10343" s="3">
        <v>3.8582333333333836E-2</v>
      </c>
    </row>
    <row r="10344" spans="7:8" x14ac:dyDescent="0.3">
      <c r="G10344" s="15">
        <v>28.719444444444445</v>
      </c>
      <c r="H10344" s="3">
        <v>3.8581722222222725E-2</v>
      </c>
    </row>
    <row r="10345" spans="7:8" x14ac:dyDescent="0.3">
      <c r="G10345" s="15">
        <v>28.722222222222221</v>
      </c>
      <c r="H10345" s="3">
        <v>3.8581111111111614E-2</v>
      </c>
    </row>
    <row r="10346" spans="7:8" x14ac:dyDescent="0.3">
      <c r="G10346" s="15">
        <v>28.725000000000001</v>
      </c>
      <c r="H10346" s="3">
        <v>3.8580500000000503E-2</v>
      </c>
    </row>
    <row r="10347" spans="7:8" x14ac:dyDescent="0.3">
      <c r="G10347" s="15">
        <v>28.727777777777778</v>
      </c>
      <c r="H10347" s="3">
        <v>3.8579888888889392E-2</v>
      </c>
    </row>
    <row r="10348" spans="7:8" x14ac:dyDescent="0.3">
      <c r="G10348" s="15">
        <v>28.730555555555554</v>
      </c>
      <c r="H10348" s="3">
        <v>3.8579277777778281E-2</v>
      </c>
    </row>
    <row r="10349" spans="7:8" x14ac:dyDescent="0.3">
      <c r="G10349" s="15">
        <v>28.733333333333334</v>
      </c>
      <c r="H10349" s="3">
        <v>3.857866666666717E-2</v>
      </c>
    </row>
    <row r="10350" spans="7:8" x14ac:dyDescent="0.3">
      <c r="G10350" s="15">
        <v>28.736111111111111</v>
      </c>
      <c r="H10350" s="3">
        <v>3.8578055555556059E-2</v>
      </c>
    </row>
    <row r="10351" spans="7:8" x14ac:dyDescent="0.3">
      <c r="G10351" s="15">
        <v>28.738888888888887</v>
      </c>
      <c r="H10351" s="3">
        <v>3.8577444444444949E-2</v>
      </c>
    </row>
    <row r="10352" spans="7:8" x14ac:dyDescent="0.3">
      <c r="G10352" s="15">
        <v>28.741666666666667</v>
      </c>
      <c r="H10352" s="3">
        <v>3.8576833333333838E-2</v>
      </c>
    </row>
    <row r="10353" spans="7:8" x14ac:dyDescent="0.3">
      <c r="G10353" s="15">
        <v>28.744444444444444</v>
      </c>
      <c r="H10353" s="3">
        <v>3.8576222222222727E-2</v>
      </c>
    </row>
    <row r="10354" spans="7:8" x14ac:dyDescent="0.3">
      <c r="G10354" s="15">
        <v>28.747222222222224</v>
      </c>
      <c r="H10354" s="3">
        <v>3.8575611111111616E-2</v>
      </c>
    </row>
    <row r="10355" spans="7:8" x14ac:dyDescent="0.3">
      <c r="G10355" s="15">
        <v>28.75</v>
      </c>
      <c r="H10355" s="3">
        <v>3.8575000000000505E-2</v>
      </c>
    </row>
    <row r="10356" spans="7:8" x14ac:dyDescent="0.3">
      <c r="G10356" s="15">
        <v>28.752777777777776</v>
      </c>
      <c r="H10356" s="3">
        <v>3.8574388888889394E-2</v>
      </c>
    </row>
    <row r="10357" spans="7:8" x14ac:dyDescent="0.3">
      <c r="G10357" s="15">
        <v>28.755555555555556</v>
      </c>
      <c r="H10357" s="3">
        <v>3.8573777777778283E-2</v>
      </c>
    </row>
    <row r="10358" spans="7:8" x14ac:dyDescent="0.3">
      <c r="G10358" s="15">
        <v>28.758333333333333</v>
      </c>
      <c r="H10358" s="3">
        <v>3.8573166666667172E-2</v>
      </c>
    </row>
    <row r="10359" spans="7:8" x14ac:dyDescent="0.3">
      <c r="G10359" s="15">
        <v>28.761111111111113</v>
      </c>
      <c r="H10359" s="3">
        <v>3.8572555555556061E-2</v>
      </c>
    </row>
    <row r="10360" spans="7:8" x14ac:dyDescent="0.3">
      <c r="G10360" s="15">
        <v>28.763888888888889</v>
      </c>
      <c r="H10360" s="3">
        <v>3.857194444444495E-2</v>
      </c>
    </row>
    <row r="10361" spans="7:8" x14ac:dyDescent="0.3">
      <c r="G10361" s="15">
        <v>28.766666666666666</v>
      </c>
      <c r="H10361" s="3">
        <v>3.8571333333333839E-2</v>
      </c>
    </row>
    <row r="10362" spans="7:8" x14ac:dyDescent="0.3">
      <c r="G10362" s="15">
        <v>28.769444444444446</v>
      </c>
      <c r="H10362" s="3">
        <v>3.8570722222222728E-2</v>
      </c>
    </row>
    <row r="10363" spans="7:8" x14ac:dyDescent="0.3">
      <c r="G10363" s="15">
        <v>28.772222222222222</v>
      </c>
      <c r="H10363" s="3">
        <v>3.8570111111111617E-2</v>
      </c>
    </row>
    <row r="10364" spans="7:8" x14ac:dyDescent="0.3">
      <c r="G10364" s="15">
        <v>28.774999999999999</v>
      </c>
      <c r="H10364" s="3">
        <v>3.8569500000000506E-2</v>
      </c>
    </row>
    <row r="10365" spans="7:8" x14ac:dyDescent="0.3">
      <c r="G10365" s="15">
        <v>28.777777777777779</v>
      </c>
      <c r="H10365" s="3">
        <v>3.8568888888889395E-2</v>
      </c>
    </row>
    <row r="10366" spans="7:8" x14ac:dyDescent="0.3">
      <c r="G10366" s="15">
        <v>28.780555555555555</v>
      </c>
      <c r="H10366" s="3">
        <v>3.8568277777778284E-2</v>
      </c>
    </row>
    <row r="10367" spans="7:8" x14ac:dyDescent="0.3">
      <c r="G10367" s="15">
        <v>28.783333333333335</v>
      </c>
      <c r="H10367" s="3">
        <v>3.8567666666667173E-2</v>
      </c>
    </row>
    <row r="10368" spans="7:8" x14ac:dyDescent="0.3">
      <c r="G10368" s="15">
        <v>28.786111111111111</v>
      </c>
      <c r="H10368" s="3">
        <v>3.8567055555556062E-2</v>
      </c>
    </row>
    <row r="10369" spans="7:8" x14ac:dyDescent="0.3">
      <c r="G10369" s="15">
        <v>28.788888888888888</v>
      </c>
      <c r="H10369" s="3">
        <v>3.8566444444444951E-2</v>
      </c>
    </row>
    <row r="10370" spans="7:8" x14ac:dyDescent="0.3">
      <c r="G10370" s="15">
        <v>28.791666666666668</v>
      </c>
      <c r="H10370" s="3">
        <v>3.856583333333384E-2</v>
      </c>
    </row>
    <row r="10371" spans="7:8" x14ac:dyDescent="0.3">
      <c r="G10371" s="15">
        <v>28.794444444444444</v>
      </c>
      <c r="H10371" s="3">
        <v>3.8565222222222729E-2</v>
      </c>
    </row>
    <row r="10372" spans="7:8" x14ac:dyDescent="0.3">
      <c r="G10372" s="15">
        <v>28.797222222222221</v>
      </c>
      <c r="H10372" s="3">
        <v>3.8564611111111619E-2</v>
      </c>
    </row>
    <row r="10373" spans="7:8" x14ac:dyDescent="0.3">
      <c r="G10373" s="15">
        <v>28.8</v>
      </c>
      <c r="H10373" s="3">
        <v>3.8564000000000508E-2</v>
      </c>
    </row>
    <row r="10374" spans="7:8" x14ac:dyDescent="0.3">
      <c r="G10374" s="15">
        <v>28.802777777777777</v>
      </c>
      <c r="H10374" s="3">
        <v>3.8563388888889397E-2</v>
      </c>
    </row>
    <row r="10375" spans="7:8" x14ac:dyDescent="0.3">
      <c r="G10375" s="15">
        <v>28.805555555555557</v>
      </c>
      <c r="H10375" s="3">
        <v>3.8562777777778286E-2</v>
      </c>
    </row>
    <row r="10376" spans="7:8" x14ac:dyDescent="0.3">
      <c r="G10376" s="15">
        <v>28.808333333333334</v>
      </c>
      <c r="H10376" s="3">
        <v>3.8562166666667175E-2</v>
      </c>
    </row>
    <row r="10377" spans="7:8" x14ac:dyDescent="0.3">
      <c r="G10377" s="15">
        <v>28.81111111111111</v>
      </c>
      <c r="H10377" s="3">
        <v>3.8561555555556064E-2</v>
      </c>
    </row>
    <row r="10378" spans="7:8" x14ac:dyDescent="0.3">
      <c r="G10378" s="15">
        <v>28.81388888888889</v>
      </c>
      <c r="H10378" s="3">
        <v>3.8560944444444953E-2</v>
      </c>
    </row>
    <row r="10379" spans="7:8" x14ac:dyDescent="0.3">
      <c r="G10379" s="15">
        <v>28.816666666666666</v>
      </c>
      <c r="H10379" s="3">
        <v>3.8560333333333842E-2</v>
      </c>
    </row>
    <row r="10380" spans="7:8" x14ac:dyDescent="0.3">
      <c r="G10380" s="15">
        <v>28.819444444444443</v>
      </c>
      <c r="H10380" s="3">
        <v>3.8559722222222731E-2</v>
      </c>
    </row>
    <row r="10381" spans="7:8" x14ac:dyDescent="0.3">
      <c r="G10381" s="15">
        <v>28.822222222222223</v>
      </c>
      <c r="H10381" s="3">
        <v>3.855911111111162E-2</v>
      </c>
    </row>
    <row r="10382" spans="7:8" x14ac:dyDescent="0.3">
      <c r="G10382" s="15">
        <v>28.824999999999999</v>
      </c>
      <c r="H10382" s="3">
        <v>3.8558500000000509E-2</v>
      </c>
    </row>
    <row r="10383" spans="7:8" x14ac:dyDescent="0.3">
      <c r="G10383" s="15">
        <v>28.827777777777779</v>
      </c>
      <c r="H10383" s="3">
        <v>3.8557888888889398E-2</v>
      </c>
    </row>
    <row r="10384" spans="7:8" x14ac:dyDescent="0.3">
      <c r="G10384" s="15">
        <v>28.830555555555556</v>
      </c>
      <c r="H10384" s="3">
        <v>3.8557277777778287E-2</v>
      </c>
    </row>
    <row r="10385" spans="7:8" x14ac:dyDescent="0.3">
      <c r="G10385" s="15">
        <v>28.833333333333332</v>
      </c>
      <c r="H10385" s="3">
        <v>3.8556666666667176E-2</v>
      </c>
    </row>
    <row r="10386" spans="7:8" x14ac:dyDescent="0.3">
      <c r="G10386" s="15">
        <v>28.836111111111112</v>
      </c>
      <c r="H10386" s="3">
        <v>3.8556055555556065E-2</v>
      </c>
    </row>
    <row r="10387" spans="7:8" x14ac:dyDescent="0.3">
      <c r="G10387" s="15">
        <v>28.838888888888889</v>
      </c>
      <c r="H10387" s="3">
        <v>3.8555444444444954E-2</v>
      </c>
    </row>
    <row r="10388" spans="7:8" x14ac:dyDescent="0.3">
      <c r="G10388" s="15">
        <v>28.841666666666665</v>
      </c>
      <c r="H10388" s="3">
        <v>3.8554833333333843E-2</v>
      </c>
    </row>
    <row r="10389" spans="7:8" x14ac:dyDescent="0.3">
      <c r="G10389" s="15">
        <v>28.844444444444445</v>
      </c>
      <c r="H10389" s="3">
        <v>3.8554222222222732E-2</v>
      </c>
    </row>
    <row r="10390" spans="7:8" x14ac:dyDescent="0.3">
      <c r="G10390" s="15">
        <v>28.847222222222221</v>
      </c>
      <c r="H10390" s="3">
        <v>3.8553611111111621E-2</v>
      </c>
    </row>
    <row r="10391" spans="7:8" x14ac:dyDescent="0.3">
      <c r="G10391" s="15">
        <v>28.85</v>
      </c>
      <c r="H10391" s="3">
        <v>3.855300000000051E-2</v>
      </c>
    </row>
    <row r="10392" spans="7:8" x14ac:dyDescent="0.3">
      <c r="G10392" s="15">
        <v>28.852777777777778</v>
      </c>
      <c r="H10392" s="3">
        <v>3.85523888888894E-2</v>
      </c>
    </row>
    <row r="10393" spans="7:8" x14ac:dyDescent="0.3">
      <c r="G10393" s="15">
        <v>28.855555555555554</v>
      </c>
      <c r="H10393" s="3">
        <v>3.8551777777778289E-2</v>
      </c>
    </row>
    <row r="10394" spans="7:8" x14ac:dyDescent="0.3">
      <c r="G10394" s="15">
        <v>28.858333333333334</v>
      </c>
      <c r="H10394" s="3">
        <v>3.8551166666667178E-2</v>
      </c>
    </row>
    <row r="10395" spans="7:8" x14ac:dyDescent="0.3">
      <c r="G10395" s="15">
        <v>28.861111111111111</v>
      </c>
      <c r="H10395" s="3">
        <v>3.8550555555556067E-2</v>
      </c>
    </row>
    <row r="10396" spans="7:8" x14ac:dyDescent="0.3">
      <c r="G10396" s="15">
        <v>28.863888888888887</v>
      </c>
      <c r="H10396" s="3">
        <v>3.8549944444444956E-2</v>
      </c>
    </row>
    <row r="10397" spans="7:8" x14ac:dyDescent="0.3">
      <c r="G10397" s="15">
        <v>28.866666666666667</v>
      </c>
      <c r="H10397" s="3">
        <v>3.8549333333333845E-2</v>
      </c>
    </row>
    <row r="10398" spans="7:8" x14ac:dyDescent="0.3">
      <c r="G10398" s="15">
        <v>28.869444444444444</v>
      </c>
      <c r="H10398" s="3">
        <v>3.8548722222222734E-2</v>
      </c>
    </row>
    <row r="10399" spans="7:8" x14ac:dyDescent="0.3">
      <c r="G10399" s="15">
        <v>28.872222222222224</v>
      </c>
      <c r="H10399" s="3">
        <v>3.8548111111111623E-2</v>
      </c>
    </row>
    <row r="10400" spans="7:8" x14ac:dyDescent="0.3">
      <c r="G10400" s="15">
        <v>28.875</v>
      </c>
      <c r="H10400" s="3">
        <v>3.8547500000000512E-2</v>
      </c>
    </row>
    <row r="10401" spans="7:8" x14ac:dyDescent="0.3">
      <c r="G10401" s="15">
        <v>28.877777777777776</v>
      </c>
      <c r="H10401" s="3">
        <v>3.8546888888889401E-2</v>
      </c>
    </row>
    <row r="10402" spans="7:8" x14ac:dyDescent="0.3">
      <c r="G10402" s="15">
        <v>28.880555555555556</v>
      </c>
      <c r="H10402" s="3">
        <v>3.854627777777829E-2</v>
      </c>
    </row>
    <row r="10403" spans="7:8" x14ac:dyDescent="0.3">
      <c r="G10403" s="15">
        <v>28.883333333333333</v>
      </c>
      <c r="H10403" s="3">
        <v>3.8545666666667179E-2</v>
      </c>
    </row>
    <row r="10404" spans="7:8" x14ac:dyDescent="0.3">
      <c r="G10404" s="15">
        <v>28.886111111111113</v>
      </c>
      <c r="H10404" s="3">
        <v>3.8545055555556068E-2</v>
      </c>
    </row>
    <row r="10405" spans="7:8" x14ac:dyDescent="0.3">
      <c r="G10405" s="15">
        <v>28.888888888888889</v>
      </c>
      <c r="H10405" s="3">
        <v>3.8544444444444957E-2</v>
      </c>
    </row>
    <row r="10406" spans="7:8" x14ac:dyDescent="0.3">
      <c r="G10406" s="15">
        <v>28.891666666666666</v>
      </c>
      <c r="H10406" s="3">
        <v>3.8543833333333846E-2</v>
      </c>
    </row>
    <row r="10407" spans="7:8" x14ac:dyDescent="0.3">
      <c r="G10407" s="15">
        <v>28.894444444444446</v>
      </c>
      <c r="H10407" s="3">
        <v>3.8543222222222735E-2</v>
      </c>
    </row>
    <row r="10408" spans="7:8" x14ac:dyDescent="0.3">
      <c r="G10408" s="15">
        <v>28.897222222222222</v>
      </c>
      <c r="H10408" s="3">
        <v>3.8542611111111624E-2</v>
      </c>
    </row>
    <row r="10409" spans="7:8" x14ac:dyDescent="0.3">
      <c r="G10409" s="15">
        <v>28.9</v>
      </c>
      <c r="H10409" s="3">
        <v>3.8542000000000513E-2</v>
      </c>
    </row>
    <row r="10410" spans="7:8" x14ac:dyDescent="0.3">
      <c r="G10410" s="15">
        <v>28.902777777777779</v>
      </c>
      <c r="H10410" s="3">
        <v>3.8541388888889402E-2</v>
      </c>
    </row>
    <row r="10411" spans="7:8" x14ac:dyDescent="0.3">
      <c r="G10411" s="15">
        <v>28.905555555555555</v>
      </c>
      <c r="H10411" s="3">
        <v>3.8540777777778291E-2</v>
      </c>
    </row>
    <row r="10412" spans="7:8" x14ac:dyDescent="0.3">
      <c r="G10412" s="15">
        <v>28.908333333333335</v>
      </c>
      <c r="H10412" s="3">
        <v>3.854016666666718E-2</v>
      </c>
    </row>
    <row r="10413" spans="7:8" x14ac:dyDescent="0.3">
      <c r="G10413" s="15">
        <v>28.911111111111111</v>
      </c>
      <c r="H10413" s="3">
        <v>3.853955555555607E-2</v>
      </c>
    </row>
    <row r="10414" spans="7:8" x14ac:dyDescent="0.3">
      <c r="G10414" s="15">
        <v>28.913888888888888</v>
      </c>
      <c r="H10414" s="3">
        <v>3.8538944444444959E-2</v>
      </c>
    </row>
    <row r="10415" spans="7:8" x14ac:dyDescent="0.3">
      <c r="G10415" s="15">
        <v>28.916666666666668</v>
      </c>
      <c r="H10415" s="3">
        <v>3.8538333333333848E-2</v>
      </c>
    </row>
    <row r="10416" spans="7:8" x14ac:dyDescent="0.3">
      <c r="G10416" s="15">
        <v>28.919444444444444</v>
      </c>
      <c r="H10416" s="3">
        <v>3.8537722222222737E-2</v>
      </c>
    </row>
    <row r="10417" spans="7:8" x14ac:dyDescent="0.3">
      <c r="G10417" s="15">
        <v>28.922222222222221</v>
      </c>
      <c r="H10417" s="3">
        <v>3.8537111111111626E-2</v>
      </c>
    </row>
    <row r="10418" spans="7:8" x14ac:dyDescent="0.3">
      <c r="G10418" s="15">
        <v>28.925000000000001</v>
      </c>
      <c r="H10418" s="3">
        <v>3.8536500000000515E-2</v>
      </c>
    </row>
    <row r="10419" spans="7:8" x14ac:dyDescent="0.3">
      <c r="G10419" s="15">
        <v>28.927777777777777</v>
      </c>
      <c r="H10419" s="3">
        <v>3.8535888888889404E-2</v>
      </c>
    </row>
    <row r="10420" spans="7:8" x14ac:dyDescent="0.3">
      <c r="G10420" s="15">
        <v>28.930555555555557</v>
      </c>
      <c r="H10420" s="3">
        <v>3.8535277777778293E-2</v>
      </c>
    </row>
    <row r="10421" spans="7:8" x14ac:dyDescent="0.3">
      <c r="G10421" s="15">
        <v>28.933333333333334</v>
      </c>
      <c r="H10421" s="3">
        <v>3.8534666666667182E-2</v>
      </c>
    </row>
    <row r="10422" spans="7:8" x14ac:dyDescent="0.3">
      <c r="G10422" s="15">
        <v>28.93611111111111</v>
      </c>
      <c r="H10422" s="3">
        <v>3.8534055555556071E-2</v>
      </c>
    </row>
    <row r="10423" spans="7:8" x14ac:dyDescent="0.3">
      <c r="G10423" s="15">
        <v>28.93888888888889</v>
      </c>
      <c r="H10423" s="3">
        <v>3.853344444444496E-2</v>
      </c>
    </row>
    <row r="10424" spans="7:8" x14ac:dyDescent="0.3">
      <c r="G10424" s="15">
        <v>28.941666666666666</v>
      </c>
      <c r="H10424" s="3">
        <v>3.8532833333333849E-2</v>
      </c>
    </row>
    <row r="10425" spans="7:8" x14ac:dyDescent="0.3">
      <c r="G10425" s="15">
        <v>28.944444444444443</v>
      </c>
      <c r="H10425" s="3">
        <v>3.8532222222222738E-2</v>
      </c>
    </row>
    <row r="10426" spans="7:8" x14ac:dyDescent="0.3">
      <c r="G10426" s="15">
        <v>28.947222222222223</v>
      </c>
      <c r="H10426" s="3">
        <v>3.8531611111111627E-2</v>
      </c>
    </row>
    <row r="10427" spans="7:8" x14ac:dyDescent="0.3">
      <c r="G10427" s="15">
        <v>28.95</v>
      </c>
      <c r="H10427" s="3">
        <v>3.8531000000000516E-2</v>
      </c>
    </row>
    <row r="10428" spans="7:8" x14ac:dyDescent="0.3">
      <c r="G10428" s="15">
        <v>28.952777777777779</v>
      </c>
      <c r="H10428" s="3">
        <v>3.8530388888889405E-2</v>
      </c>
    </row>
    <row r="10429" spans="7:8" x14ac:dyDescent="0.3">
      <c r="G10429" s="15">
        <v>28.955555555555556</v>
      </c>
      <c r="H10429" s="3">
        <v>3.8529777777778294E-2</v>
      </c>
    </row>
    <row r="10430" spans="7:8" x14ac:dyDescent="0.3">
      <c r="G10430" s="15">
        <v>28.958333333333332</v>
      </c>
      <c r="H10430" s="3">
        <v>3.8529166666667183E-2</v>
      </c>
    </row>
    <row r="10431" spans="7:8" x14ac:dyDescent="0.3">
      <c r="G10431" s="15">
        <v>28.961111111111112</v>
      </c>
      <c r="H10431" s="3">
        <v>3.8528555555556072E-2</v>
      </c>
    </row>
    <row r="10432" spans="7:8" x14ac:dyDescent="0.3">
      <c r="G10432" s="15">
        <v>28.963888888888889</v>
      </c>
      <c r="H10432" s="3">
        <v>3.8527944444444961E-2</v>
      </c>
    </row>
    <row r="10433" spans="7:8" x14ac:dyDescent="0.3">
      <c r="G10433" s="15">
        <v>28.966666666666665</v>
      </c>
      <c r="H10433" s="3">
        <v>3.8527333333333851E-2</v>
      </c>
    </row>
    <row r="10434" spans="7:8" x14ac:dyDescent="0.3">
      <c r="G10434" s="15">
        <v>28.969444444444445</v>
      </c>
      <c r="H10434" s="3">
        <v>3.852672222222274E-2</v>
      </c>
    </row>
    <row r="10435" spans="7:8" x14ac:dyDescent="0.3">
      <c r="G10435" s="15">
        <v>28.972222222222221</v>
      </c>
      <c r="H10435" s="3">
        <v>3.8526111111111629E-2</v>
      </c>
    </row>
    <row r="10436" spans="7:8" x14ac:dyDescent="0.3">
      <c r="G10436" s="15">
        <v>28.975000000000001</v>
      </c>
      <c r="H10436" s="3">
        <v>3.8525500000000518E-2</v>
      </c>
    </row>
    <row r="10437" spans="7:8" x14ac:dyDescent="0.3">
      <c r="G10437" s="15">
        <v>28.977777777777778</v>
      </c>
      <c r="H10437" s="3">
        <v>3.8524888888889407E-2</v>
      </c>
    </row>
    <row r="10438" spans="7:8" x14ac:dyDescent="0.3">
      <c r="G10438" s="15">
        <v>28.980555555555554</v>
      </c>
      <c r="H10438" s="3">
        <v>3.8524277777778296E-2</v>
      </c>
    </row>
    <row r="10439" spans="7:8" x14ac:dyDescent="0.3">
      <c r="G10439" s="15">
        <v>28.983333333333334</v>
      </c>
      <c r="H10439" s="3">
        <v>3.8523666666667185E-2</v>
      </c>
    </row>
    <row r="10440" spans="7:8" x14ac:dyDescent="0.3">
      <c r="G10440" s="15">
        <v>28.986111111111111</v>
      </c>
      <c r="H10440" s="3">
        <v>3.8523055555556074E-2</v>
      </c>
    </row>
    <row r="10441" spans="7:8" x14ac:dyDescent="0.3">
      <c r="G10441" s="15">
        <v>28.988888888888887</v>
      </c>
      <c r="H10441" s="3">
        <v>3.8522444444444963E-2</v>
      </c>
    </row>
    <row r="10442" spans="7:8" x14ac:dyDescent="0.3">
      <c r="G10442" s="15">
        <v>28.991666666666667</v>
      </c>
      <c r="H10442" s="3">
        <v>3.8521833333333852E-2</v>
      </c>
    </row>
    <row r="10443" spans="7:8" x14ac:dyDescent="0.3">
      <c r="G10443" s="15">
        <v>28.994444444444444</v>
      </c>
      <c r="H10443" s="3">
        <v>3.8521222222222741E-2</v>
      </c>
    </row>
    <row r="10444" spans="7:8" x14ac:dyDescent="0.3">
      <c r="G10444" s="15">
        <v>28.997222222222224</v>
      </c>
      <c r="H10444" s="3">
        <v>3.852061111111163E-2</v>
      </c>
    </row>
    <row r="10445" spans="7:8" x14ac:dyDescent="0.3">
      <c r="G10445" s="15">
        <v>29</v>
      </c>
      <c r="H10445" s="3">
        <v>3.8520000000000519E-2</v>
      </c>
    </row>
    <row r="10446" spans="7:8" x14ac:dyDescent="0.3">
      <c r="G10446" s="15">
        <v>29.002777777777776</v>
      </c>
      <c r="H10446" s="3">
        <v>3.8519388888889408E-2</v>
      </c>
    </row>
    <row r="10447" spans="7:8" x14ac:dyDescent="0.3">
      <c r="G10447" s="15">
        <v>29.005555555555556</v>
      </c>
      <c r="H10447" s="3">
        <v>3.8518777777778297E-2</v>
      </c>
    </row>
    <row r="10448" spans="7:8" x14ac:dyDescent="0.3">
      <c r="G10448" s="15">
        <v>29.008333333333333</v>
      </c>
      <c r="H10448" s="3">
        <v>3.8518166666667186E-2</v>
      </c>
    </row>
    <row r="10449" spans="7:8" x14ac:dyDescent="0.3">
      <c r="G10449" s="15">
        <v>29.011111111111113</v>
      </c>
      <c r="H10449" s="3">
        <v>3.8517555555556075E-2</v>
      </c>
    </row>
    <row r="10450" spans="7:8" x14ac:dyDescent="0.3">
      <c r="G10450" s="15">
        <v>29.013888888888889</v>
      </c>
      <c r="H10450" s="3">
        <v>3.8516944444444964E-2</v>
      </c>
    </row>
    <row r="10451" spans="7:8" x14ac:dyDescent="0.3">
      <c r="G10451" s="15">
        <v>29.016666666666666</v>
      </c>
      <c r="H10451" s="3">
        <v>3.8516333333333853E-2</v>
      </c>
    </row>
    <row r="10452" spans="7:8" x14ac:dyDescent="0.3">
      <c r="G10452" s="15">
        <v>29.019444444444446</v>
      </c>
      <c r="H10452" s="3">
        <v>3.8515722222222742E-2</v>
      </c>
    </row>
    <row r="10453" spans="7:8" x14ac:dyDescent="0.3">
      <c r="G10453" s="15">
        <v>29.022222222222222</v>
      </c>
      <c r="H10453" s="3">
        <v>3.8515111111111631E-2</v>
      </c>
    </row>
    <row r="10454" spans="7:8" x14ac:dyDescent="0.3">
      <c r="G10454" s="15">
        <v>29.024999999999999</v>
      </c>
      <c r="H10454" s="3">
        <v>3.8514500000000521E-2</v>
      </c>
    </row>
    <row r="10455" spans="7:8" x14ac:dyDescent="0.3">
      <c r="G10455" s="15">
        <v>29.027777777777779</v>
      </c>
      <c r="H10455" s="3">
        <v>3.851388888888941E-2</v>
      </c>
    </row>
    <row r="10456" spans="7:8" x14ac:dyDescent="0.3">
      <c r="G10456" s="15">
        <v>29.030555555555555</v>
      </c>
      <c r="H10456" s="3">
        <v>3.8513277777778299E-2</v>
      </c>
    </row>
    <row r="10457" spans="7:8" x14ac:dyDescent="0.3">
      <c r="G10457" s="15">
        <v>29.033333333333335</v>
      </c>
      <c r="H10457" s="3">
        <v>3.8512666666667188E-2</v>
      </c>
    </row>
    <row r="10458" spans="7:8" x14ac:dyDescent="0.3">
      <c r="G10458" s="15">
        <v>29.036111111111111</v>
      </c>
      <c r="H10458" s="3">
        <v>3.8512055555556077E-2</v>
      </c>
    </row>
    <row r="10459" spans="7:8" x14ac:dyDescent="0.3">
      <c r="G10459" s="15">
        <v>29.038888888888888</v>
      </c>
      <c r="H10459" s="3">
        <v>3.8511444444444966E-2</v>
      </c>
    </row>
    <row r="10460" spans="7:8" x14ac:dyDescent="0.3">
      <c r="G10460" s="15">
        <v>29.041666666666668</v>
      </c>
      <c r="H10460" s="3">
        <v>3.8510833333333855E-2</v>
      </c>
    </row>
    <row r="10461" spans="7:8" x14ac:dyDescent="0.3">
      <c r="G10461" s="15">
        <v>29.044444444444444</v>
      </c>
      <c r="H10461" s="3">
        <v>3.8510222222222744E-2</v>
      </c>
    </row>
    <row r="10462" spans="7:8" x14ac:dyDescent="0.3">
      <c r="G10462" s="15">
        <v>29.047222222222221</v>
      </c>
      <c r="H10462" s="3">
        <v>3.8509611111111633E-2</v>
      </c>
    </row>
    <row r="10463" spans="7:8" x14ac:dyDescent="0.3">
      <c r="G10463" s="15">
        <v>29.05</v>
      </c>
      <c r="H10463" s="3">
        <v>3.8509000000000522E-2</v>
      </c>
    </row>
    <row r="10464" spans="7:8" x14ac:dyDescent="0.3">
      <c r="G10464" s="15">
        <v>29.052777777777777</v>
      </c>
      <c r="H10464" s="3">
        <v>3.8508388888889411E-2</v>
      </c>
    </row>
    <row r="10465" spans="7:8" x14ac:dyDescent="0.3">
      <c r="G10465" s="15">
        <v>29.055555555555557</v>
      </c>
      <c r="H10465" s="3">
        <v>3.85077777777783E-2</v>
      </c>
    </row>
    <row r="10466" spans="7:8" x14ac:dyDescent="0.3">
      <c r="G10466" s="15">
        <v>29.058333333333334</v>
      </c>
      <c r="H10466" s="3">
        <v>3.8507166666667189E-2</v>
      </c>
    </row>
    <row r="10467" spans="7:8" x14ac:dyDescent="0.3">
      <c r="G10467" s="15">
        <v>29.06111111111111</v>
      </c>
      <c r="H10467" s="3">
        <v>3.8506555555556078E-2</v>
      </c>
    </row>
    <row r="10468" spans="7:8" x14ac:dyDescent="0.3">
      <c r="G10468" s="15">
        <v>29.06388888888889</v>
      </c>
      <c r="H10468" s="3">
        <v>3.8505944444444967E-2</v>
      </c>
    </row>
    <row r="10469" spans="7:8" x14ac:dyDescent="0.3">
      <c r="G10469" s="15">
        <v>29.066666666666666</v>
      </c>
      <c r="H10469" s="3">
        <v>3.8505333333333856E-2</v>
      </c>
    </row>
    <row r="10470" spans="7:8" x14ac:dyDescent="0.3">
      <c r="G10470" s="15">
        <v>29.069444444444443</v>
      </c>
      <c r="H10470" s="3">
        <v>3.8504722222222745E-2</v>
      </c>
    </row>
    <row r="10471" spans="7:8" x14ac:dyDescent="0.3">
      <c r="G10471" s="15">
        <v>29.072222222222223</v>
      </c>
      <c r="H10471" s="3">
        <v>3.8504111111111634E-2</v>
      </c>
    </row>
    <row r="10472" spans="7:8" x14ac:dyDescent="0.3">
      <c r="G10472" s="15">
        <v>29.074999999999999</v>
      </c>
      <c r="H10472" s="3">
        <v>3.8503500000000523E-2</v>
      </c>
    </row>
    <row r="10473" spans="7:8" x14ac:dyDescent="0.3">
      <c r="G10473" s="15">
        <v>29.077777777777779</v>
      </c>
      <c r="H10473" s="3">
        <v>3.8502888888889412E-2</v>
      </c>
    </row>
    <row r="10474" spans="7:8" x14ac:dyDescent="0.3">
      <c r="G10474" s="15">
        <v>29.080555555555556</v>
      </c>
      <c r="H10474" s="3">
        <v>3.8502277777778302E-2</v>
      </c>
    </row>
    <row r="10475" spans="7:8" x14ac:dyDescent="0.3">
      <c r="G10475" s="15">
        <v>29.083333333333332</v>
      </c>
      <c r="H10475" s="3">
        <v>3.8501666666667191E-2</v>
      </c>
    </row>
    <row r="10476" spans="7:8" x14ac:dyDescent="0.3">
      <c r="G10476" s="15">
        <v>29.086111111111112</v>
      </c>
      <c r="H10476" s="3">
        <v>3.850105555555608E-2</v>
      </c>
    </row>
    <row r="10477" spans="7:8" x14ac:dyDescent="0.3">
      <c r="G10477" s="15">
        <v>29.088888888888889</v>
      </c>
      <c r="H10477" s="3">
        <v>3.8500444444444969E-2</v>
      </c>
    </row>
    <row r="10478" spans="7:8" x14ac:dyDescent="0.3">
      <c r="G10478" s="15">
        <v>29.091666666666665</v>
      </c>
      <c r="H10478" s="3">
        <v>3.8499833333333858E-2</v>
      </c>
    </row>
    <row r="10479" spans="7:8" x14ac:dyDescent="0.3">
      <c r="G10479" s="15">
        <v>29.094444444444445</v>
      </c>
      <c r="H10479" s="3">
        <v>3.8499222222222747E-2</v>
      </c>
    </row>
    <row r="10480" spans="7:8" x14ac:dyDescent="0.3">
      <c r="G10480" s="15">
        <v>29.097222222222221</v>
      </c>
      <c r="H10480" s="3">
        <v>3.8498611111111636E-2</v>
      </c>
    </row>
    <row r="10481" spans="7:8" x14ac:dyDescent="0.3">
      <c r="G10481" s="15">
        <v>29.1</v>
      </c>
      <c r="H10481" s="3">
        <v>3.8498000000000525E-2</v>
      </c>
    </row>
    <row r="10482" spans="7:8" x14ac:dyDescent="0.3">
      <c r="G10482" s="15">
        <v>29.102777777777778</v>
      </c>
      <c r="H10482" s="3">
        <v>3.8497388888889414E-2</v>
      </c>
    </row>
    <row r="10483" spans="7:8" x14ac:dyDescent="0.3">
      <c r="G10483" s="15">
        <v>29.105555555555554</v>
      </c>
      <c r="H10483" s="3">
        <v>3.8496777777778303E-2</v>
      </c>
    </row>
    <row r="10484" spans="7:8" x14ac:dyDescent="0.3">
      <c r="G10484" s="15">
        <v>29.108333333333334</v>
      </c>
      <c r="H10484" s="3">
        <v>3.8496166666667192E-2</v>
      </c>
    </row>
    <row r="10485" spans="7:8" x14ac:dyDescent="0.3">
      <c r="G10485" s="15">
        <v>29.111111111111111</v>
      </c>
      <c r="H10485" s="3">
        <v>3.8495555555556081E-2</v>
      </c>
    </row>
    <row r="10486" spans="7:8" x14ac:dyDescent="0.3">
      <c r="G10486" s="15">
        <v>29.113888888888887</v>
      </c>
      <c r="H10486" s="3">
        <v>3.849494444444497E-2</v>
      </c>
    </row>
    <row r="10487" spans="7:8" x14ac:dyDescent="0.3">
      <c r="G10487" s="15">
        <v>29.116666666666667</v>
      </c>
      <c r="H10487" s="3">
        <v>3.8494333333333859E-2</v>
      </c>
    </row>
    <row r="10488" spans="7:8" x14ac:dyDescent="0.3">
      <c r="G10488" s="15">
        <v>29.119444444444444</v>
      </c>
      <c r="H10488" s="3">
        <v>3.8493722222222748E-2</v>
      </c>
    </row>
    <row r="10489" spans="7:8" x14ac:dyDescent="0.3">
      <c r="G10489" s="15">
        <v>29.122222222222224</v>
      </c>
      <c r="H10489" s="3">
        <v>3.8493111111111637E-2</v>
      </c>
    </row>
    <row r="10490" spans="7:8" x14ac:dyDescent="0.3">
      <c r="G10490" s="15">
        <v>29.125</v>
      </c>
      <c r="H10490" s="3">
        <v>3.8492500000000526E-2</v>
      </c>
    </row>
    <row r="10491" spans="7:8" x14ac:dyDescent="0.3">
      <c r="G10491" s="15">
        <v>29.127777777777776</v>
      </c>
      <c r="H10491" s="3">
        <v>3.8491888888889415E-2</v>
      </c>
    </row>
    <row r="10492" spans="7:8" x14ac:dyDescent="0.3">
      <c r="G10492" s="15">
        <v>29.130555555555556</v>
      </c>
      <c r="H10492" s="3">
        <v>3.8491277777778304E-2</v>
      </c>
    </row>
    <row r="10493" spans="7:8" x14ac:dyDescent="0.3">
      <c r="G10493" s="15">
        <v>29.133333333333333</v>
      </c>
      <c r="H10493" s="3">
        <v>3.8490666666667193E-2</v>
      </c>
    </row>
    <row r="10494" spans="7:8" x14ac:dyDescent="0.3">
      <c r="G10494" s="15">
        <v>29.136111111111113</v>
      </c>
      <c r="H10494" s="3">
        <v>3.8490055555556082E-2</v>
      </c>
    </row>
    <row r="10495" spans="7:8" x14ac:dyDescent="0.3">
      <c r="G10495" s="15">
        <v>29.138888888888889</v>
      </c>
      <c r="H10495" s="3">
        <v>3.8489444444444972E-2</v>
      </c>
    </row>
    <row r="10496" spans="7:8" x14ac:dyDescent="0.3">
      <c r="G10496" s="15">
        <v>29.141666666666666</v>
      </c>
      <c r="H10496" s="3">
        <v>3.8488833333333861E-2</v>
      </c>
    </row>
    <row r="10497" spans="7:8" x14ac:dyDescent="0.3">
      <c r="G10497" s="15">
        <v>29.144444444444446</v>
      </c>
      <c r="H10497" s="3">
        <v>3.848822222222275E-2</v>
      </c>
    </row>
    <row r="10498" spans="7:8" x14ac:dyDescent="0.3">
      <c r="G10498" s="15">
        <v>29.147222222222222</v>
      </c>
      <c r="H10498" s="3">
        <v>3.8487611111111639E-2</v>
      </c>
    </row>
    <row r="10499" spans="7:8" x14ac:dyDescent="0.3">
      <c r="G10499" s="15">
        <v>29.15</v>
      </c>
      <c r="H10499" s="3">
        <v>3.8487000000000528E-2</v>
      </c>
    </row>
    <row r="10500" spans="7:8" x14ac:dyDescent="0.3">
      <c r="G10500" s="15">
        <v>29.152777777777779</v>
      </c>
      <c r="H10500" s="3">
        <v>3.8486388888889417E-2</v>
      </c>
    </row>
    <row r="10501" spans="7:8" x14ac:dyDescent="0.3">
      <c r="G10501" s="15">
        <v>29.155555555555555</v>
      </c>
      <c r="H10501" s="3">
        <v>3.8485777777778306E-2</v>
      </c>
    </row>
    <row r="10502" spans="7:8" x14ac:dyDescent="0.3">
      <c r="G10502" s="15">
        <v>29.158333333333335</v>
      </c>
      <c r="H10502" s="3">
        <v>3.8485166666667195E-2</v>
      </c>
    </row>
    <row r="10503" spans="7:8" x14ac:dyDescent="0.3">
      <c r="G10503" s="15">
        <v>29.161111111111111</v>
      </c>
      <c r="H10503" s="3">
        <v>3.8484555555556084E-2</v>
      </c>
    </row>
    <row r="10504" spans="7:8" x14ac:dyDescent="0.3">
      <c r="G10504" s="15">
        <v>29.163888888888888</v>
      </c>
      <c r="H10504" s="3">
        <v>3.8483944444444973E-2</v>
      </c>
    </row>
    <row r="10505" spans="7:8" x14ac:dyDescent="0.3">
      <c r="G10505" s="15">
        <v>29.166666666666668</v>
      </c>
      <c r="H10505" s="3">
        <v>3.8483333333333862E-2</v>
      </c>
    </row>
    <row r="10506" spans="7:8" x14ac:dyDescent="0.3">
      <c r="G10506" s="15">
        <v>29.169444444444444</v>
      </c>
      <c r="H10506" s="3">
        <v>3.8482722222222751E-2</v>
      </c>
    </row>
    <row r="10507" spans="7:8" x14ac:dyDescent="0.3">
      <c r="G10507" s="15">
        <v>29.172222222222221</v>
      </c>
      <c r="H10507" s="3">
        <v>3.848211111111164E-2</v>
      </c>
    </row>
    <row r="10508" spans="7:8" x14ac:dyDescent="0.3">
      <c r="G10508" s="15">
        <v>29.175000000000001</v>
      </c>
      <c r="H10508" s="3">
        <v>3.8481500000000529E-2</v>
      </c>
    </row>
    <row r="10509" spans="7:8" x14ac:dyDescent="0.3">
      <c r="G10509" s="15">
        <v>29.177777777777777</v>
      </c>
      <c r="H10509" s="3">
        <v>3.8480888888889418E-2</v>
      </c>
    </row>
    <row r="10510" spans="7:8" x14ac:dyDescent="0.3">
      <c r="G10510" s="15">
        <v>29.180555555555557</v>
      </c>
      <c r="H10510" s="3">
        <v>3.8480277777778307E-2</v>
      </c>
    </row>
    <row r="10511" spans="7:8" x14ac:dyDescent="0.3">
      <c r="G10511" s="15">
        <v>29.183333333333334</v>
      </c>
      <c r="H10511" s="3">
        <v>3.8479666666667196E-2</v>
      </c>
    </row>
    <row r="10512" spans="7:8" x14ac:dyDescent="0.3">
      <c r="G10512" s="15">
        <v>29.18611111111111</v>
      </c>
      <c r="H10512" s="3">
        <v>3.8479055555556085E-2</v>
      </c>
    </row>
    <row r="10513" spans="7:8" x14ac:dyDescent="0.3">
      <c r="G10513" s="15">
        <v>29.18888888888889</v>
      </c>
      <c r="H10513" s="3">
        <v>3.8478444444444974E-2</v>
      </c>
    </row>
    <row r="10514" spans="7:8" x14ac:dyDescent="0.3">
      <c r="G10514" s="15">
        <v>29.191666666666666</v>
      </c>
      <c r="H10514" s="3">
        <v>3.8477833333333863E-2</v>
      </c>
    </row>
    <row r="10515" spans="7:8" x14ac:dyDescent="0.3">
      <c r="G10515" s="15">
        <v>29.194444444444443</v>
      </c>
      <c r="H10515" s="3">
        <v>3.8477222222222753E-2</v>
      </c>
    </row>
    <row r="10516" spans="7:8" x14ac:dyDescent="0.3">
      <c r="G10516" s="15">
        <v>29.197222222222223</v>
      </c>
      <c r="H10516" s="3">
        <v>3.8476611111111642E-2</v>
      </c>
    </row>
    <row r="10517" spans="7:8" x14ac:dyDescent="0.3">
      <c r="G10517" s="15">
        <v>29.2</v>
      </c>
      <c r="H10517" s="3">
        <v>3.8476000000000531E-2</v>
      </c>
    </row>
    <row r="10518" spans="7:8" x14ac:dyDescent="0.3">
      <c r="G10518" s="15">
        <v>29.202777777777779</v>
      </c>
      <c r="H10518" s="3">
        <v>3.847538888888942E-2</v>
      </c>
    </row>
    <row r="10519" spans="7:8" x14ac:dyDescent="0.3">
      <c r="G10519" s="15">
        <v>29.205555555555556</v>
      </c>
      <c r="H10519" s="3">
        <v>3.8474777777778309E-2</v>
      </c>
    </row>
    <row r="10520" spans="7:8" x14ac:dyDescent="0.3">
      <c r="G10520" s="15">
        <v>29.208333333333332</v>
      </c>
      <c r="H10520" s="3">
        <v>3.8474166666667198E-2</v>
      </c>
    </row>
    <row r="10521" spans="7:8" x14ac:dyDescent="0.3">
      <c r="G10521" s="15">
        <v>29.211111111111112</v>
      </c>
      <c r="H10521" s="3">
        <v>3.8473555555556087E-2</v>
      </c>
    </row>
    <row r="10522" spans="7:8" x14ac:dyDescent="0.3">
      <c r="G10522" s="15">
        <v>29.213888888888889</v>
      </c>
      <c r="H10522" s="3">
        <v>3.8472944444444976E-2</v>
      </c>
    </row>
    <row r="10523" spans="7:8" x14ac:dyDescent="0.3">
      <c r="G10523" s="15">
        <v>29.216666666666665</v>
      </c>
      <c r="H10523" s="3">
        <v>3.8472333333333865E-2</v>
      </c>
    </row>
    <row r="10524" spans="7:8" x14ac:dyDescent="0.3">
      <c r="G10524" s="15">
        <v>29.219444444444445</v>
      </c>
      <c r="H10524" s="3">
        <v>3.8471722222222754E-2</v>
      </c>
    </row>
    <row r="10525" spans="7:8" x14ac:dyDescent="0.3">
      <c r="G10525" s="15">
        <v>29.222222222222221</v>
      </c>
      <c r="H10525" s="3">
        <v>3.8471111111111643E-2</v>
      </c>
    </row>
    <row r="10526" spans="7:8" x14ac:dyDescent="0.3">
      <c r="G10526" s="15">
        <v>29.225000000000001</v>
      </c>
      <c r="H10526" s="3">
        <v>3.8470500000000532E-2</v>
      </c>
    </row>
    <row r="10527" spans="7:8" x14ac:dyDescent="0.3">
      <c r="G10527" s="15">
        <v>29.227777777777778</v>
      </c>
      <c r="H10527" s="3">
        <v>3.8469888888889421E-2</v>
      </c>
    </row>
    <row r="10528" spans="7:8" x14ac:dyDescent="0.3">
      <c r="G10528" s="15">
        <v>29.230555555555554</v>
      </c>
      <c r="H10528" s="3">
        <v>3.846927777777831E-2</v>
      </c>
    </row>
    <row r="10529" spans="7:8" x14ac:dyDescent="0.3">
      <c r="G10529" s="15">
        <v>29.233333333333334</v>
      </c>
      <c r="H10529" s="3">
        <v>3.8468666666667199E-2</v>
      </c>
    </row>
    <row r="10530" spans="7:8" x14ac:dyDescent="0.3">
      <c r="G10530" s="15">
        <v>29.236111111111111</v>
      </c>
      <c r="H10530" s="3">
        <v>3.8468055555556088E-2</v>
      </c>
    </row>
    <row r="10531" spans="7:8" x14ac:dyDescent="0.3">
      <c r="G10531" s="15">
        <v>29.238888888888887</v>
      </c>
      <c r="H10531" s="3">
        <v>3.8467444444444977E-2</v>
      </c>
    </row>
    <row r="10532" spans="7:8" x14ac:dyDescent="0.3">
      <c r="G10532" s="15">
        <v>29.241666666666667</v>
      </c>
      <c r="H10532" s="3">
        <v>3.8466833333333866E-2</v>
      </c>
    </row>
    <row r="10533" spans="7:8" x14ac:dyDescent="0.3">
      <c r="G10533" s="15">
        <v>29.244444444444444</v>
      </c>
      <c r="H10533" s="3">
        <v>3.8466222222222755E-2</v>
      </c>
    </row>
    <row r="10534" spans="7:8" x14ac:dyDescent="0.3">
      <c r="G10534" s="15">
        <v>29.247222222222224</v>
      </c>
      <c r="H10534" s="3">
        <v>3.8465611111111644E-2</v>
      </c>
    </row>
    <row r="10535" spans="7:8" x14ac:dyDescent="0.3">
      <c r="G10535" s="15">
        <v>29.25</v>
      </c>
      <c r="H10535" s="3">
        <v>3.8465000000000533E-2</v>
      </c>
    </row>
    <row r="10536" spans="7:8" x14ac:dyDescent="0.3">
      <c r="G10536" s="15">
        <v>29.252777777777776</v>
      </c>
      <c r="H10536" s="3">
        <v>3.8464388888889423E-2</v>
      </c>
    </row>
    <row r="10537" spans="7:8" x14ac:dyDescent="0.3">
      <c r="G10537" s="15">
        <v>29.255555555555556</v>
      </c>
      <c r="H10537" s="3">
        <v>3.8463777777778312E-2</v>
      </c>
    </row>
    <row r="10538" spans="7:8" x14ac:dyDescent="0.3">
      <c r="G10538" s="15">
        <v>29.258333333333333</v>
      </c>
      <c r="H10538" s="3">
        <v>3.8463166666667201E-2</v>
      </c>
    </row>
    <row r="10539" spans="7:8" x14ac:dyDescent="0.3">
      <c r="G10539" s="15">
        <v>29.261111111111113</v>
      </c>
      <c r="H10539" s="3">
        <v>3.846255555555609E-2</v>
      </c>
    </row>
    <row r="10540" spans="7:8" x14ac:dyDescent="0.3">
      <c r="G10540" s="15">
        <v>29.263888888888889</v>
      </c>
      <c r="H10540" s="3">
        <v>3.8461944444444979E-2</v>
      </c>
    </row>
    <row r="10541" spans="7:8" x14ac:dyDescent="0.3">
      <c r="G10541" s="15">
        <v>29.266666666666666</v>
      </c>
      <c r="H10541" s="3">
        <v>3.8461333333333868E-2</v>
      </c>
    </row>
    <row r="10542" spans="7:8" x14ac:dyDescent="0.3">
      <c r="G10542" s="15">
        <v>29.269444444444446</v>
      </c>
      <c r="H10542" s="3">
        <v>3.8460722222222757E-2</v>
      </c>
    </row>
    <row r="10543" spans="7:8" x14ac:dyDescent="0.3">
      <c r="G10543" s="15">
        <v>29.272222222222222</v>
      </c>
      <c r="H10543" s="3">
        <v>3.8460111111111646E-2</v>
      </c>
    </row>
    <row r="10544" spans="7:8" x14ac:dyDescent="0.3">
      <c r="G10544" s="15">
        <v>29.274999999999999</v>
      </c>
      <c r="H10544" s="3">
        <v>3.8459500000000535E-2</v>
      </c>
    </row>
    <row r="10545" spans="7:8" x14ac:dyDescent="0.3">
      <c r="G10545" s="15">
        <v>29.277777777777779</v>
      </c>
      <c r="H10545" s="3">
        <v>3.8458888888889424E-2</v>
      </c>
    </row>
    <row r="10546" spans="7:8" x14ac:dyDescent="0.3">
      <c r="G10546" s="15">
        <v>29.280555555555555</v>
      </c>
      <c r="H10546" s="3">
        <v>3.8458277777778313E-2</v>
      </c>
    </row>
    <row r="10547" spans="7:8" x14ac:dyDescent="0.3">
      <c r="G10547" s="15">
        <v>29.283333333333335</v>
      </c>
      <c r="H10547" s="3">
        <v>3.8457666666667202E-2</v>
      </c>
    </row>
    <row r="10548" spans="7:8" x14ac:dyDescent="0.3">
      <c r="G10548" s="15">
        <v>29.286111111111111</v>
      </c>
      <c r="H10548" s="3">
        <v>3.8457055555556091E-2</v>
      </c>
    </row>
    <row r="10549" spans="7:8" x14ac:dyDescent="0.3">
      <c r="G10549" s="15">
        <v>29.288888888888888</v>
      </c>
      <c r="H10549" s="3">
        <v>3.845644444444498E-2</v>
      </c>
    </row>
    <row r="10550" spans="7:8" x14ac:dyDescent="0.3">
      <c r="G10550" s="15">
        <v>29.291666666666668</v>
      </c>
      <c r="H10550" s="3">
        <v>3.8455833333333869E-2</v>
      </c>
    </row>
    <row r="10551" spans="7:8" x14ac:dyDescent="0.3">
      <c r="G10551" s="15">
        <v>29.294444444444444</v>
      </c>
      <c r="H10551" s="3">
        <v>3.8455222222222758E-2</v>
      </c>
    </row>
    <row r="10552" spans="7:8" x14ac:dyDescent="0.3">
      <c r="G10552" s="15">
        <v>29.297222222222221</v>
      </c>
      <c r="H10552" s="3">
        <v>3.8454611111111647E-2</v>
      </c>
    </row>
    <row r="10553" spans="7:8" x14ac:dyDescent="0.3">
      <c r="G10553" s="15">
        <v>29.3</v>
      </c>
      <c r="H10553" s="3">
        <v>3.8454000000000536E-2</v>
      </c>
    </row>
    <row r="10554" spans="7:8" x14ac:dyDescent="0.3">
      <c r="G10554" s="15">
        <v>29.302777777777777</v>
      </c>
      <c r="H10554" s="3">
        <v>3.8453388888889425E-2</v>
      </c>
    </row>
    <row r="10555" spans="7:8" x14ac:dyDescent="0.3">
      <c r="G10555" s="15">
        <v>29.305555555555557</v>
      </c>
      <c r="H10555" s="3">
        <v>3.8452777777778314E-2</v>
      </c>
    </row>
    <row r="10556" spans="7:8" x14ac:dyDescent="0.3">
      <c r="G10556" s="15">
        <v>29.308333333333334</v>
      </c>
      <c r="H10556" s="3">
        <v>3.8452166666667204E-2</v>
      </c>
    </row>
    <row r="10557" spans="7:8" x14ac:dyDescent="0.3">
      <c r="G10557" s="15">
        <v>29.31111111111111</v>
      </c>
      <c r="H10557" s="3">
        <v>3.8451555555556093E-2</v>
      </c>
    </row>
    <row r="10558" spans="7:8" x14ac:dyDescent="0.3">
      <c r="G10558" s="15">
        <v>29.31388888888889</v>
      </c>
      <c r="H10558" s="3">
        <v>3.8450944444444982E-2</v>
      </c>
    </row>
    <row r="10559" spans="7:8" x14ac:dyDescent="0.3">
      <c r="G10559" s="15">
        <v>29.316666666666666</v>
      </c>
      <c r="H10559" s="3">
        <v>3.8450333333333871E-2</v>
      </c>
    </row>
    <row r="10560" spans="7:8" x14ac:dyDescent="0.3">
      <c r="G10560" s="15">
        <v>29.319444444444443</v>
      </c>
      <c r="H10560" s="3">
        <v>3.844972222222276E-2</v>
      </c>
    </row>
    <row r="10561" spans="7:8" x14ac:dyDescent="0.3">
      <c r="G10561" s="15">
        <v>29.322222222222223</v>
      </c>
      <c r="H10561" s="3">
        <v>3.8449111111111649E-2</v>
      </c>
    </row>
    <row r="10562" spans="7:8" x14ac:dyDescent="0.3">
      <c r="G10562" s="15">
        <v>29.324999999999999</v>
      </c>
      <c r="H10562" s="3">
        <v>3.8448500000000538E-2</v>
      </c>
    </row>
    <row r="10563" spans="7:8" x14ac:dyDescent="0.3">
      <c r="G10563" s="15">
        <v>29.327777777777779</v>
      </c>
      <c r="H10563" s="3">
        <v>3.8447888888889427E-2</v>
      </c>
    </row>
    <row r="10564" spans="7:8" x14ac:dyDescent="0.3">
      <c r="G10564" s="15">
        <v>29.330555555555556</v>
      </c>
      <c r="H10564" s="3">
        <v>3.8447277777778316E-2</v>
      </c>
    </row>
    <row r="10565" spans="7:8" x14ac:dyDescent="0.3">
      <c r="G10565" s="15">
        <v>29.333333333333332</v>
      </c>
      <c r="H10565" s="3">
        <v>3.8446666666667205E-2</v>
      </c>
    </row>
    <row r="10566" spans="7:8" x14ac:dyDescent="0.3">
      <c r="G10566" s="15">
        <v>29.336111111111112</v>
      </c>
      <c r="H10566" s="3">
        <v>3.8446055555556094E-2</v>
      </c>
    </row>
    <row r="10567" spans="7:8" x14ac:dyDescent="0.3">
      <c r="G10567" s="15">
        <v>29.338888888888889</v>
      </c>
      <c r="H10567" s="3">
        <v>3.8445444444444983E-2</v>
      </c>
    </row>
    <row r="10568" spans="7:8" x14ac:dyDescent="0.3">
      <c r="G10568" s="15">
        <v>29.341666666666665</v>
      </c>
      <c r="H10568" s="3">
        <v>3.8444833333333872E-2</v>
      </c>
    </row>
    <row r="10569" spans="7:8" x14ac:dyDescent="0.3">
      <c r="G10569" s="15">
        <v>29.344444444444445</v>
      </c>
      <c r="H10569" s="3">
        <v>3.8444222222222761E-2</v>
      </c>
    </row>
    <row r="10570" spans="7:8" x14ac:dyDescent="0.3">
      <c r="G10570" s="15">
        <v>29.347222222222221</v>
      </c>
      <c r="H10570" s="3">
        <v>3.844361111111165E-2</v>
      </c>
    </row>
    <row r="10571" spans="7:8" x14ac:dyDescent="0.3">
      <c r="G10571" s="15">
        <v>29.35</v>
      </c>
      <c r="H10571" s="3">
        <v>3.8443000000000539E-2</v>
      </c>
    </row>
    <row r="10572" spans="7:8" x14ac:dyDescent="0.3">
      <c r="G10572" s="15">
        <v>29.352777777777778</v>
      </c>
      <c r="H10572" s="3">
        <v>3.8442388888889428E-2</v>
      </c>
    </row>
    <row r="10573" spans="7:8" x14ac:dyDescent="0.3">
      <c r="G10573" s="15">
        <v>29.355555555555554</v>
      </c>
      <c r="H10573" s="3">
        <v>3.8441777777778317E-2</v>
      </c>
    </row>
    <row r="10574" spans="7:8" x14ac:dyDescent="0.3">
      <c r="G10574" s="15">
        <v>29.358333333333334</v>
      </c>
      <c r="H10574" s="3">
        <v>3.8441166666667206E-2</v>
      </c>
    </row>
    <row r="10575" spans="7:8" x14ac:dyDescent="0.3">
      <c r="G10575" s="15">
        <v>29.361111111111111</v>
      </c>
      <c r="H10575" s="3">
        <v>3.8440555555556095E-2</v>
      </c>
    </row>
    <row r="10576" spans="7:8" x14ac:dyDescent="0.3">
      <c r="G10576" s="15">
        <v>29.363888888888887</v>
      </c>
      <c r="H10576" s="3">
        <v>3.8439944444444984E-2</v>
      </c>
    </row>
    <row r="10577" spans="7:8" x14ac:dyDescent="0.3">
      <c r="G10577" s="15">
        <v>29.366666666666667</v>
      </c>
      <c r="H10577" s="3">
        <v>3.8439333333333874E-2</v>
      </c>
    </row>
    <row r="10578" spans="7:8" x14ac:dyDescent="0.3">
      <c r="G10578" s="15">
        <v>29.369444444444444</v>
      </c>
      <c r="H10578" s="3">
        <v>3.8438722222222763E-2</v>
      </c>
    </row>
    <row r="10579" spans="7:8" x14ac:dyDescent="0.3">
      <c r="G10579" s="15">
        <v>29.372222222222224</v>
      </c>
      <c r="H10579" s="3">
        <v>3.8438111111111652E-2</v>
      </c>
    </row>
    <row r="10580" spans="7:8" x14ac:dyDescent="0.3">
      <c r="G10580" s="15">
        <v>29.375</v>
      </c>
      <c r="H10580" s="3">
        <v>3.8437500000000541E-2</v>
      </c>
    </row>
    <row r="10581" spans="7:8" x14ac:dyDescent="0.3">
      <c r="G10581" s="15">
        <v>29.377777777777776</v>
      </c>
      <c r="H10581" s="3">
        <v>3.843688888888943E-2</v>
      </c>
    </row>
    <row r="10582" spans="7:8" x14ac:dyDescent="0.3">
      <c r="G10582" s="15">
        <v>29.380555555555556</v>
      </c>
      <c r="H10582" s="3">
        <v>3.8436277777778319E-2</v>
      </c>
    </row>
    <row r="10583" spans="7:8" x14ac:dyDescent="0.3">
      <c r="G10583" s="15">
        <v>29.383333333333333</v>
      </c>
      <c r="H10583" s="3">
        <v>3.8435666666667208E-2</v>
      </c>
    </row>
    <row r="10584" spans="7:8" x14ac:dyDescent="0.3">
      <c r="G10584" s="15">
        <v>29.386111111111113</v>
      </c>
      <c r="H10584" s="3">
        <v>3.8435055555556097E-2</v>
      </c>
    </row>
    <row r="10585" spans="7:8" x14ac:dyDescent="0.3">
      <c r="G10585" s="15">
        <v>29.388888888888889</v>
      </c>
      <c r="H10585" s="3">
        <v>3.8434444444444986E-2</v>
      </c>
    </row>
    <row r="10586" spans="7:8" x14ac:dyDescent="0.3">
      <c r="G10586" s="15">
        <v>29.391666666666666</v>
      </c>
      <c r="H10586" s="3">
        <v>3.8433833333333875E-2</v>
      </c>
    </row>
    <row r="10587" spans="7:8" x14ac:dyDescent="0.3">
      <c r="G10587" s="15">
        <v>29.394444444444446</v>
      </c>
      <c r="H10587" s="3">
        <v>3.8433222222222764E-2</v>
      </c>
    </row>
    <row r="10588" spans="7:8" x14ac:dyDescent="0.3">
      <c r="G10588" s="15">
        <v>29.397222222222222</v>
      </c>
      <c r="H10588" s="3">
        <v>3.8432611111111653E-2</v>
      </c>
    </row>
    <row r="10589" spans="7:8" x14ac:dyDescent="0.3">
      <c r="G10589" s="15">
        <v>29.4</v>
      </c>
      <c r="H10589" s="3">
        <v>3.8432000000000542E-2</v>
      </c>
    </row>
    <row r="10590" spans="7:8" x14ac:dyDescent="0.3">
      <c r="G10590" s="15">
        <v>29.402777777777779</v>
      </c>
      <c r="H10590" s="3">
        <v>3.8431388888889431E-2</v>
      </c>
    </row>
    <row r="10591" spans="7:8" x14ac:dyDescent="0.3">
      <c r="G10591" s="15">
        <v>29.405555555555555</v>
      </c>
      <c r="H10591" s="3">
        <v>3.843077777777832E-2</v>
      </c>
    </row>
    <row r="10592" spans="7:8" x14ac:dyDescent="0.3">
      <c r="G10592" s="15">
        <v>29.408333333333335</v>
      </c>
      <c r="H10592" s="3">
        <v>3.8430166666667209E-2</v>
      </c>
    </row>
    <row r="10593" spans="7:8" x14ac:dyDescent="0.3">
      <c r="G10593" s="15">
        <v>29.411111111111111</v>
      </c>
      <c r="H10593" s="3">
        <v>3.8429555555556098E-2</v>
      </c>
    </row>
    <row r="10594" spans="7:8" x14ac:dyDescent="0.3">
      <c r="G10594" s="15">
        <v>29.413888888888888</v>
      </c>
      <c r="H10594" s="3">
        <v>3.8428944444444987E-2</v>
      </c>
    </row>
    <row r="10595" spans="7:8" x14ac:dyDescent="0.3">
      <c r="G10595" s="15">
        <v>29.416666666666668</v>
      </c>
      <c r="H10595" s="3">
        <v>3.8428333333333876E-2</v>
      </c>
    </row>
    <row r="10596" spans="7:8" x14ac:dyDescent="0.3">
      <c r="G10596" s="15">
        <v>29.419444444444444</v>
      </c>
      <c r="H10596" s="3">
        <v>3.8427722222222765E-2</v>
      </c>
    </row>
    <row r="10597" spans="7:8" x14ac:dyDescent="0.3">
      <c r="G10597" s="15">
        <v>29.422222222222221</v>
      </c>
      <c r="H10597" s="3">
        <v>3.8427111111111655E-2</v>
      </c>
    </row>
    <row r="10598" spans="7:8" x14ac:dyDescent="0.3">
      <c r="G10598" s="15">
        <v>29.425000000000001</v>
      </c>
      <c r="H10598" s="3">
        <v>3.8426500000000544E-2</v>
      </c>
    </row>
    <row r="10599" spans="7:8" x14ac:dyDescent="0.3">
      <c r="G10599" s="15">
        <v>29.427777777777777</v>
      </c>
      <c r="H10599" s="3">
        <v>3.8425888888889433E-2</v>
      </c>
    </row>
    <row r="10600" spans="7:8" x14ac:dyDescent="0.3">
      <c r="G10600" s="15">
        <v>29.430555555555557</v>
      </c>
      <c r="H10600" s="3">
        <v>3.8425277777778322E-2</v>
      </c>
    </row>
    <row r="10601" spans="7:8" x14ac:dyDescent="0.3">
      <c r="G10601" s="15">
        <v>29.433333333333334</v>
      </c>
      <c r="H10601" s="3">
        <v>3.8424666666667211E-2</v>
      </c>
    </row>
    <row r="10602" spans="7:8" x14ac:dyDescent="0.3">
      <c r="G10602" s="15">
        <v>29.43611111111111</v>
      </c>
      <c r="H10602" s="3">
        <v>3.84240555555561E-2</v>
      </c>
    </row>
    <row r="10603" spans="7:8" x14ac:dyDescent="0.3">
      <c r="G10603" s="15">
        <v>29.43888888888889</v>
      </c>
      <c r="H10603" s="3">
        <v>3.8423444444444989E-2</v>
      </c>
    </row>
    <row r="10604" spans="7:8" x14ac:dyDescent="0.3">
      <c r="G10604" s="15">
        <v>29.441666666666666</v>
      </c>
      <c r="H10604" s="3">
        <v>3.8422833333333878E-2</v>
      </c>
    </row>
    <row r="10605" spans="7:8" x14ac:dyDescent="0.3">
      <c r="G10605" s="15">
        <v>29.444444444444443</v>
      </c>
      <c r="H10605" s="3">
        <v>3.8422222222222767E-2</v>
      </c>
    </row>
    <row r="10606" spans="7:8" x14ac:dyDescent="0.3">
      <c r="G10606" s="15">
        <v>29.447222222222223</v>
      </c>
      <c r="H10606" s="3">
        <v>3.8421611111111656E-2</v>
      </c>
    </row>
    <row r="10607" spans="7:8" x14ac:dyDescent="0.3">
      <c r="G10607" s="15">
        <v>29.45</v>
      </c>
      <c r="H10607" s="3">
        <v>3.8421000000000545E-2</v>
      </c>
    </row>
    <row r="10608" spans="7:8" x14ac:dyDescent="0.3">
      <c r="G10608" s="15">
        <v>29.452777777777779</v>
      </c>
      <c r="H10608" s="3">
        <v>3.8420388888889434E-2</v>
      </c>
    </row>
    <row r="10609" spans="7:8" x14ac:dyDescent="0.3">
      <c r="G10609" s="15">
        <v>29.455555555555556</v>
      </c>
      <c r="H10609" s="3">
        <v>3.8419777777778323E-2</v>
      </c>
    </row>
    <row r="10610" spans="7:8" x14ac:dyDescent="0.3">
      <c r="G10610" s="15">
        <v>29.458333333333332</v>
      </c>
      <c r="H10610" s="3">
        <v>3.8419166666667212E-2</v>
      </c>
    </row>
    <row r="10611" spans="7:8" x14ac:dyDescent="0.3">
      <c r="G10611" s="15">
        <v>29.461111111111112</v>
      </c>
      <c r="H10611" s="3">
        <v>3.8418555555556101E-2</v>
      </c>
    </row>
    <row r="10612" spans="7:8" x14ac:dyDescent="0.3">
      <c r="G10612" s="15">
        <v>29.463888888888889</v>
      </c>
      <c r="H10612" s="3">
        <v>3.841794444444499E-2</v>
      </c>
    </row>
    <row r="10613" spans="7:8" x14ac:dyDescent="0.3">
      <c r="G10613" s="15">
        <v>29.466666666666665</v>
      </c>
      <c r="H10613" s="3">
        <v>3.8417333333333879E-2</v>
      </c>
    </row>
    <row r="10614" spans="7:8" x14ac:dyDescent="0.3">
      <c r="G10614" s="15">
        <v>29.469444444444445</v>
      </c>
      <c r="H10614" s="3">
        <v>3.8416722222222768E-2</v>
      </c>
    </row>
    <row r="10615" spans="7:8" x14ac:dyDescent="0.3">
      <c r="G10615" s="15">
        <v>29.472222222222221</v>
      </c>
      <c r="H10615" s="3">
        <v>3.8416111111111657E-2</v>
      </c>
    </row>
    <row r="10616" spans="7:8" x14ac:dyDescent="0.3">
      <c r="G10616" s="15">
        <v>29.475000000000001</v>
      </c>
      <c r="H10616" s="3">
        <v>3.8415500000000546E-2</v>
      </c>
    </row>
    <row r="10617" spans="7:8" x14ac:dyDescent="0.3">
      <c r="G10617" s="15">
        <v>29.477777777777778</v>
      </c>
      <c r="H10617" s="3">
        <v>3.8414888888889435E-2</v>
      </c>
    </row>
    <row r="10618" spans="7:8" x14ac:dyDescent="0.3">
      <c r="G10618" s="15">
        <v>29.480555555555554</v>
      </c>
      <c r="H10618" s="3">
        <v>3.8414277777778325E-2</v>
      </c>
    </row>
    <row r="10619" spans="7:8" x14ac:dyDescent="0.3">
      <c r="G10619" s="15">
        <v>29.483333333333334</v>
      </c>
      <c r="H10619" s="3">
        <v>3.8413666666667214E-2</v>
      </c>
    </row>
    <row r="10620" spans="7:8" x14ac:dyDescent="0.3">
      <c r="G10620" s="15">
        <v>29.486111111111111</v>
      </c>
      <c r="H10620" s="3">
        <v>3.8413055555556103E-2</v>
      </c>
    </row>
    <row r="10621" spans="7:8" x14ac:dyDescent="0.3">
      <c r="G10621" s="15">
        <v>29.488888888888887</v>
      </c>
      <c r="H10621" s="3">
        <v>3.8412444444444992E-2</v>
      </c>
    </row>
    <row r="10622" spans="7:8" x14ac:dyDescent="0.3">
      <c r="G10622" s="15">
        <v>29.491666666666667</v>
      </c>
      <c r="H10622" s="3">
        <v>3.8411833333333881E-2</v>
      </c>
    </row>
    <row r="10623" spans="7:8" x14ac:dyDescent="0.3">
      <c r="G10623" s="15">
        <v>29.494444444444444</v>
      </c>
      <c r="H10623" s="3">
        <v>3.841122222222277E-2</v>
      </c>
    </row>
    <row r="10624" spans="7:8" x14ac:dyDescent="0.3">
      <c r="G10624" s="15">
        <v>29.497222222222224</v>
      </c>
      <c r="H10624" s="3">
        <v>3.8410611111111659E-2</v>
      </c>
    </row>
    <row r="10625" spans="7:8" x14ac:dyDescent="0.3">
      <c r="G10625" s="15">
        <v>29.5</v>
      </c>
      <c r="H10625" s="3">
        <v>3.8410000000000548E-2</v>
      </c>
    </row>
    <row r="10626" spans="7:8" x14ac:dyDescent="0.3">
      <c r="G10626" s="15">
        <v>29.502777777777776</v>
      </c>
      <c r="H10626" s="3">
        <v>3.8409388888889437E-2</v>
      </c>
    </row>
    <row r="10627" spans="7:8" x14ac:dyDescent="0.3">
      <c r="G10627" s="15">
        <v>29.505555555555556</v>
      </c>
      <c r="H10627" s="3">
        <v>3.8408777777778326E-2</v>
      </c>
    </row>
    <row r="10628" spans="7:8" x14ac:dyDescent="0.3">
      <c r="G10628" s="15">
        <v>29.508333333333333</v>
      </c>
      <c r="H10628" s="3">
        <v>3.8408166666667215E-2</v>
      </c>
    </row>
    <row r="10629" spans="7:8" x14ac:dyDescent="0.3">
      <c r="G10629" s="15">
        <v>29.511111111111113</v>
      </c>
      <c r="H10629" s="3">
        <v>3.8407555555556104E-2</v>
      </c>
    </row>
    <row r="10630" spans="7:8" x14ac:dyDescent="0.3">
      <c r="G10630" s="15">
        <v>29.513888888888889</v>
      </c>
      <c r="H10630" s="3">
        <v>3.8406944444444993E-2</v>
      </c>
    </row>
    <row r="10631" spans="7:8" x14ac:dyDescent="0.3">
      <c r="G10631" s="15">
        <v>29.516666666666666</v>
      </c>
      <c r="H10631" s="3">
        <v>3.8406333333333882E-2</v>
      </c>
    </row>
    <row r="10632" spans="7:8" x14ac:dyDescent="0.3">
      <c r="G10632" s="15">
        <v>29.519444444444446</v>
      </c>
      <c r="H10632" s="3">
        <v>3.8405722222222771E-2</v>
      </c>
    </row>
    <row r="10633" spans="7:8" x14ac:dyDescent="0.3">
      <c r="G10633" s="15">
        <v>29.522222222222222</v>
      </c>
      <c r="H10633" s="3">
        <v>3.840511111111166E-2</v>
      </c>
    </row>
    <row r="10634" spans="7:8" x14ac:dyDescent="0.3">
      <c r="G10634" s="15">
        <v>29.524999999999999</v>
      </c>
      <c r="H10634" s="3">
        <v>3.8404500000000549E-2</v>
      </c>
    </row>
    <row r="10635" spans="7:8" x14ac:dyDescent="0.3">
      <c r="G10635" s="15">
        <v>29.527777777777779</v>
      </c>
      <c r="H10635" s="3">
        <v>3.8403888888889438E-2</v>
      </c>
    </row>
    <row r="10636" spans="7:8" x14ac:dyDescent="0.3">
      <c r="G10636" s="15">
        <v>29.530555555555555</v>
      </c>
      <c r="H10636" s="3">
        <v>3.8403277777778327E-2</v>
      </c>
    </row>
    <row r="10637" spans="7:8" x14ac:dyDescent="0.3">
      <c r="G10637" s="15">
        <v>29.533333333333335</v>
      </c>
      <c r="H10637" s="3">
        <v>3.8402666666667216E-2</v>
      </c>
    </row>
    <row r="10638" spans="7:8" x14ac:dyDescent="0.3">
      <c r="G10638" s="15">
        <v>29.536111111111111</v>
      </c>
      <c r="H10638" s="3">
        <v>3.8402055555556106E-2</v>
      </c>
    </row>
    <row r="10639" spans="7:8" x14ac:dyDescent="0.3">
      <c r="G10639" s="15">
        <v>29.538888888888888</v>
      </c>
      <c r="H10639" s="3">
        <v>3.8401444444444995E-2</v>
      </c>
    </row>
    <row r="10640" spans="7:8" x14ac:dyDescent="0.3">
      <c r="G10640" s="15">
        <v>29.541666666666668</v>
      </c>
      <c r="H10640" s="3">
        <v>3.8400833333333884E-2</v>
      </c>
    </row>
    <row r="10641" spans="7:8" x14ac:dyDescent="0.3">
      <c r="G10641" s="15">
        <v>29.544444444444444</v>
      </c>
      <c r="H10641" s="3">
        <v>3.8400222222222766E-2</v>
      </c>
    </row>
    <row r="10642" spans="7:8" x14ac:dyDescent="0.3">
      <c r="G10642" s="15">
        <v>29.547222222222221</v>
      </c>
      <c r="H10642" s="3">
        <v>3.8399611111111648E-2</v>
      </c>
    </row>
    <row r="10643" spans="7:8" x14ac:dyDescent="0.3">
      <c r="G10643" s="15">
        <v>29.55</v>
      </c>
      <c r="H10643" s="3">
        <v>3.8399000000000537E-2</v>
      </c>
    </row>
    <row r="10644" spans="7:8" x14ac:dyDescent="0.3">
      <c r="G10644" s="15">
        <v>29.552777777777777</v>
      </c>
      <c r="H10644" s="3">
        <v>3.8398388888889426E-2</v>
      </c>
    </row>
    <row r="10645" spans="7:8" x14ac:dyDescent="0.3">
      <c r="G10645" s="15">
        <v>29.555555555555557</v>
      </c>
      <c r="H10645" s="3">
        <v>3.8397777777778308E-2</v>
      </c>
    </row>
    <row r="10646" spans="7:8" x14ac:dyDescent="0.3">
      <c r="G10646" s="15">
        <v>29.558333333333334</v>
      </c>
      <c r="H10646" s="3">
        <v>3.839716666666719E-2</v>
      </c>
    </row>
    <row r="10647" spans="7:8" x14ac:dyDescent="0.3">
      <c r="G10647" s="15">
        <v>29.56111111111111</v>
      </c>
      <c r="H10647" s="3">
        <v>3.8396555555556079E-2</v>
      </c>
    </row>
    <row r="10648" spans="7:8" x14ac:dyDescent="0.3">
      <c r="G10648" s="15">
        <v>29.56388888888889</v>
      </c>
      <c r="H10648" s="3">
        <v>3.8395944444444968E-2</v>
      </c>
    </row>
    <row r="10649" spans="7:8" x14ac:dyDescent="0.3">
      <c r="G10649" s="15">
        <v>29.566666666666666</v>
      </c>
      <c r="H10649" s="3">
        <v>3.839533333333385E-2</v>
      </c>
    </row>
    <row r="10650" spans="7:8" x14ac:dyDescent="0.3">
      <c r="G10650" s="15">
        <v>29.569444444444443</v>
      </c>
      <c r="H10650" s="3">
        <v>3.8394722222222732E-2</v>
      </c>
    </row>
    <row r="10651" spans="7:8" x14ac:dyDescent="0.3">
      <c r="G10651" s="15">
        <v>29.572222222222223</v>
      </c>
      <c r="H10651" s="3">
        <v>3.8394111111111622E-2</v>
      </c>
    </row>
    <row r="10652" spans="7:8" x14ac:dyDescent="0.3">
      <c r="G10652" s="15">
        <v>29.574999999999999</v>
      </c>
      <c r="H10652" s="3">
        <v>3.8393500000000511E-2</v>
      </c>
    </row>
    <row r="10653" spans="7:8" x14ac:dyDescent="0.3">
      <c r="G10653" s="15">
        <v>29.577777777777779</v>
      </c>
      <c r="H10653" s="3">
        <v>3.8392888888889393E-2</v>
      </c>
    </row>
    <row r="10654" spans="7:8" x14ac:dyDescent="0.3">
      <c r="G10654" s="15">
        <v>29.580555555555556</v>
      </c>
      <c r="H10654" s="3">
        <v>3.8392277777778275E-2</v>
      </c>
    </row>
    <row r="10655" spans="7:8" x14ac:dyDescent="0.3">
      <c r="G10655" s="15">
        <v>29.583333333333332</v>
      </c>
      <c r="H10655" s="3">
        <v>3.8391666666667164E-2</v>
      </c>
    </row>
    <row r="10656" spans="7:8" x14ac:dyDescent="0.3">
      <c r="G10656" s="15">
        <v>29.586111111111112</v>
      </c>
      <c r="H10656" s="3">
        <v>3.8391055555556053E-2</v>
      </c>
    </row>
    <row r="10657" spans="7:8" x14ac:dyDescent="0.3">
      <c r="G10657" s="15">
        <v>29.588888888888889</v>
      </c>
      <c r="H10657" s="3">
        <v>3.8390444444444935E-2</v>
      </c>
    </row>
    <row r="10658" spans="7:8" x14ac:dyDescent="0.3">
      <c r="G10658" s="15">
        <v>29.591666666666665</v>
      </c>
      <c r="H10658" s="3">
        <v>3.8389833333333817E-2</v>
      </c>
    </row>
    <row r="10659" spans="7:8" x14ac:dyDescent="0.3">
      <c r="G10659" s="15">
        <v>29.594444444444445</v>
      </c>
      <c r="H10659" s="3">
        <v>3.8389222222222706E-2</v>
      </c>
    </row>
    <row r="10660" spans="7:8" x14ac:dyDescent="0.3">
      <c r="G10660" s="15">
        <v>29.597222222222221</v>
      </c>
      <c r="H10660" s="3">
        <v>3.8388611111111595E-2</v>
      </c>
    </row>
    <row r="10661" spans="7:8" x14ac:dyDescent="0.3">
      <c r="G10661" s="15">
        <v>29.6</v>
      </c>
      <c r="H10661" s="3">
        <v>3.8388000000000477E-2</v>
      </c>
    </row>
    <row r="10662" spans="7:8" x14ac:dyDescent="0.3">
      <c r="G10662" s="15">
        <v>29.602777777777778</v>
      </c>
      <c r="H10662" s="3">
        <v>3.8387388888889359E-2</v>
      </c>
    </row>
    <row r="10663" spans="7:8" x14ac:dyDescent="0.3">
      <c r="G10663" s="15">
        <v>29.605555555555554</v>
      </c>
      <c r="H10663" s="3">
        <v>3.8386777777778248E-2</v>
      </c>
    </row>
    <row r="10664" spans="7:8" x14ac:dyDescent="0.3">
      <c r="G10664" s="15">
        <v>29.608333333333334</v>
      </c>
      <c r="H10664" s="3">
        <v>3.8386166666667138E-2</v>
      </c>
    </row>
    <row r="10665" spans="7:8" x14ac:dyDescent="0.3">
      <c r="G10665" s="15">
        <v>29.611111111111111</v>
      </c>
      <c r="H10665" s="3">
        <v>3.838555555555602E-2</v>
      </c>
    </row>
    <row r="10666" spans="7:8" x14ac:dyDescent="0.3">
      <c r="G10666" s="15">
        <v>29.613888888888887</v>
      </c>
      <c r="H10666" s="3">
        <v>3.8384944444444902E-2</v>
      </c>
    </row>
    <row r="10667" spans="7:8" x14ac:dyDescent="0.3">
      <c r="G10667" s="15">
        <v>29.616666666666667</v>
      </c>
      <c r="H10667" s="3">
        <v>3.8384333333333791E-2</v>
      </c>
    </row>
    <row r="10668" spans="7:8" x14ac:dyDescent="0.3">
      <c r="G10668" s="15">
        <v>29.619444444444444</v>
      </c>
      <c r="H10668" s="3">
        <v>3.838372222222268E-2</v>
      </c>
    </row>
    <row r="10669" spans="7:8" x14ac:dyDescent="0.3">
      <c r="G10669" s="15">
        <v>29.622222222222224</v>
      </c>
      <c r="H10669" s="3">
        <v>3.8383111111111562E-2</v>
      </c>
    </row>
    <row r="10670" spans="7:8" x14ac:dyDescent="0.3">
      <c r="G10670" s="15">
        <v>29.625</v>
      </c>
      <c r="H10670" s="3">
        <v>3.8382500000000444E-2</v>
      </c>
    </row>
    <row r="10671" spans="7:8" x14ac:dyDescent="0.3">
      <c r="G10671" s="15">
        <v>29.627777777777776</v>
      </c>
      <c r="H10671" s="3">
        <v>3.8381888888889333E-2</v>
      </c>
    </row>
    <row r="10672" spans="7:8" x14ac:dyDescent="0.3">
      <c r="G10672" s="15">
        <v>29.630555555555556</v>
      </c>
      <c r="H10672" s="3">
        <v>3.8381277777778222E-2</v>
      </c>
    </row>
    <row r="10673" spans="7:8" x14ac:dyDescent="0.3">
      <c r="G10673" s="15">
        <v>29.633333333333333</v>
      </c>
      <c r="H10673" s="3">
        <v>3.8380666666667104E-2</v>
      </c>
    </row>
    <row r="10674" spans="7:8" x14ac:dyDescent="0.3">
      <c r="G10674" s="15">
        <v>29.636111111111113</v>
      </c>
      <c r="H10674" s="3">
        <v>3.8380055555555986E-2</v>
      </c>
    </row>
    <row r="10675" spans="7:8" x14ac:dyDescent="0.3">
      <c r="G10675" s="15">
        <v>29.638888888888889</v>
      </c>
      <c r="H10675" s="3">
        <v>3.8379444444444875E-2</v>
      </c>
    </row>
    <row r="10676" spans="7:8" x14ac:dyDescent="0.3">
      <c r="G10676" s="15">
        <v>29.641666666666666</v>
      </c>
      <c r="H10676" s="3">
        <v>3.8378833333333764E-2</v>
      </c>
    </row>
    <row r="10677" spans="7:8" x14ac:dyDescent="0.3">
      <c r="G10677" s="15">
        <v>29.644444444444446</v>
      </c>
      <c r="H10677" s="3">
        <v>3.8378222222222647E-2</v>
      </c>
    </row>
    <row r="10678" spans="7:8" x14ac:dyDescent="0.3">
      <c r="G10678" s="15">
        <v>29.647222222222222</v>
      </c>
      <c r="H10678" s="3">
        <v>3.8377611111111529E-2</v>
      </c>
    </row>
    <row r="10679" spans="7:8" x14ac:dyDescent="0.3">
      <c r="G10679" s="15">
        <v>29.65</v>
      </c>
      <c r="H10679" s="3">
        <v>3.8377000000000418E-2</v>
      </c>
    </row>
    <row r="10680" spans="7:8" x14ac:dyDescent="0.3">
      <c r="G10680" s="15">
        <v>29.652777777777779</v>
      </c>
      <c r="H10680" s="3">
        <v>3.8376388888889307E-2</v>
      </c>
    </row>
    <row r="10681" spans="7:8" x14ac:dyDescent="0.3">
      <c r="G10681" s="15">
        <v>29.655555555555555</v>
      </c>
      <c r="H10681" s="3">
        <v>3.8375777777778189E-2</v>
      </c>
    </row>
    <row r="10682" spans="7:8" x14ac:dyDescent="0.3">
      <c r="G10682" s="15">
        <v>29.658333333333335</v>
      </c>
      <c r="H10682" s="3">
        <v>3.8375166666667071E-2</v>
      </c>
    </row>
    <row r="10683" spans="7:8" x14ac:dyDescent="0.3">
      <c r="G10683" s="15">
        <v>29.661111111111111</v>
      </c>
      <c r="H10683" s="3">
        <v>3.837455555555596E-2</v>
      </c>
    </row>
    <row r="10684" spans="7:8" x14ac:dyDescent="0.3">
      <c r="G10684" s="15">
        <v>29.663888888888888</v>
      </c>
      <c r="H10684" s="3">
        <v>3.8373944444444849E-2</v>
      </c>
    </row>
    <row r="10685" spans="7:8" x14ac:dyDescent="0.3">
      <c r="G10685" s="15">
        <v>29.666666666666668</v>
      </c>
      <c r="H10685" s="3">
        <v>3.8373333333333731E-2</v>
      </c>
    </row>
    <row r="10686" spans="7:8" x14ac:dyDescent="0.3">
      <c r="G10686" s="15">
        <v>29.669444444444444</v>
      </c>
      <c r="H10686" s="3">
        <v>3.8372722222222613E-2</v>
      </c>
    </row>
    <row r="10687" spans="7:8" x14ac:dyDescent="0.3">
      <c r="G10687" s="15">
        <v>29.672222222222221</v>
      </c>
      <c r="H10687" s="3">
        <v>3.8372111111111502E-2</v>
      </c>
    </row>
    <row r="10688" spans="7:8" x14ac:dyDescent="0.3">
      <c r="G10688" s="15">
        <v>29.675000000000001</v>
      </c>
      <c r="H10688" s="3">
        <v>3.8371500000000391E-2</v>
      </c>
    </row>
    <row r="10689" spans="7:8" x14ac:dyDescent="0.3">
      <c r="G10689" s="15">
        <v>29.677777777777777</v>
      </c>
      <c r="H10689" s="3">
        <v>3.8370888888889274E-2</v>
      </c>
    </row>
    <row r="10690" spans="7:8" x14ac:dyDescent="0.3">
      <c r="G10690" s="15">
        <v>29.680555555555557</v>
      </c>
      <c r="H10690" s="3">
        <v>3.8370277777778156E-2</v>
      </c>
    </row>
    <row r="10691" spans="7:8" x14ac:dyDescent="0.3">
      <c r="G10691" s="15">
        <v>29.683333333333334</v>
      </c>
      <c r="H10691" s="3">
        <v>3.8369666666667045E-2</v>
      </c>
    </row>
    <row r="10692" spans="7:8" x14ac:dyDescent="0.3">
      <c r="G10692" s="15">
        <v>29.68611111111111</v>
      </c>
      <c r="H10692" s="3">
        <v>3.8369055555555934E-2</v>
      </c>
    </row>
    <row r="10693" spans="7:8" x14ac:dyDescent="0.3">
      <c r="G10693" s="15">
        <v>29.68888888888889</v>
      </c>
      <c r="H10693" s="3">
        <v>3.8368444444444816E-2</v>
      </c>
    </row>
    <row r="10694" spans="7:8" x14ac:dyDescent="0.3">
      <c r="G10694" s="15">
        <v>29.691666666666666</v>
      </c>
      <c r="H10694" s="3">
        <v>3.8367833333333698E-2</v>
      </c>
    </row>
    <row r="10695" spans="7:8" x14ac:dyDescent="0.3">
      <c r="G10695" s="15">
        <v>29.694444444444443</v>
      </c>
      <c r="H10695" s="3">
        <v>3.8367222222222587E-2</v>
      </c>
    </row>
    <row r="10696" spans="7:8" x14ac:dyDescent="0.3">
      <c r="G10696" s="15">
        <v>29.697222222222223</v>
      </c>
      <c r="H10696" s="3">
        <v>3.8366611111111476E-2</v>
      </c>
    </row>
    <row r="10697" spans="7:8" x14ac:dyDescent="0.3">
      <c r="G10697" s="15">
        <v>29.7</v>
      </c>
      <c r="H10697" s="3">
        <v>3.8366000000000358E-2</v>
      </c>
    </row>
    <row r="10698" spans="7:8" x14ac:dyDescent="0.3">
      <c r="G10698" s="15">
        <v>29.702777777777779</v>
      </c>
      <c r="H10698" s="3">
        <v>3.836538888888924E-2</v>
      </c>
    </row>
    <row r="10699" spans="7:8" x14ac:dyDescent="0.3">
      <c r="G10699" s="15">
        <v>29.705555555555556</v>
      </c>
      <c r="H10699" s="3">
        <v>3.8364777777778129E-2</v>
      </c>
    </row>
    <row r="10700" spans="7:8" x14ac:dyDescent="0.3">
      <c r="G10700" s="15">
        <v>29.708333333333332</v>
      </c>
      <c r="H10700" s="3">
        <v>3.8364166666667018E-2</v>
      </c>
    </row>
    <row r="10701" spans="7:8" x14ac:dyDescent="0.3">
      <c r="G10701" s="15">
        <v>29.711111111111112</v>
      </c>
      <c r="H10701" s="3">
        <v>3.83635555555559E-2</v>
      </c>
    </row>
    <row r="10702" spans="7:8" x14ac:dyDescent="0.3">
      <c r="G10702" s="15">
        <v>29.713888888888889</v>
      </c>
      <c r="H10702" s="3">
        <v>3.8362944444444783E-2</v>
      </c>
    </row>
    <row r="10703" spans="7:8" x14ac:dyDescent="0.3">
      <c r="G10703" s="15">
        <v>29.716666666666665</v>
      </c>
      <c r="H10703" s="3">
        <v>3.8362333333333672E-2</v>
      </c>
    </row>
    <row r="10704" spans="7:8" x14ac:dyDescent="0.3">
      <c r="G10704" s="15">
        <v>29.719444444444445</v>
      </c>
      <c r="H10704" s="3">
        <v>3.8361722222222561E-2</v>
      </c>
    </row>
    <row r="10705" spans="7:8" x14ac:dyDescent="0.3">
      <c r="G10705" s="15">
        <v>29.722222222222221</v>
      </c>
      <c r="H10705" s="3">
        <v>3.8361111111111443E-2</v>
      </c>
    </row>
    <row r="10706" spans="7:8" x14ac:dyDescent="0.3">
      <c r="G10706" s="15">
        <v>29.725000000000001</v>
      </c>
      <c r="H10706" s="3">
        <v>3.8360500000000325E-2</v>
      </c>
    </row>
    <row r="10707" spans="7:8" x14ac:dyDescent="0.3">
      <c r="G10707" s="15">
        <v>29.727777777777778</v>
      </c>
      <c r="H10707" s="3">
        <v>3.8359888888889214E-2</v>
      </c>
    </row>
    <row r="10708" spans="7:8" x14ac:dyDescent="0.3">
      <c r="G10708" s="15">
        <v>29.730555555555554</v>
      </c>
      <c r="H10708" s="3">
        <v>3.8359277777778103E-2</v>
      </c>
    </row>
    <row r="10709" spans="7:8" x14ac:dyDescent="0.3">
      <c r="G10709" s="15">
        <v>29.733333333333334</v>
      </c>
      <c r="H10709" s="3">
        <v>3.8358666666666985E-2</v>
      </c>
    </row>
    <row r="10710" spans="7:8" x14ac:dyDescent="0.3">
      <c r="G10710" s="15">
        <v>29.736111111111111</v>
      </c>
      <c r="H10710" s="3">
        <v>3.8358055555555867E-2</v>
      </c>
    </row>
    <row r="10711" spans="7:8" x14ac:dyDescent="0.3">
      <c r="G10711" s="15">
        <v>29.738888888888887</v>
      </c>
      <c r="H10711" s="3">
        <v>3.8357444444444756E-2</v>
      </c>
    </row>
    <row r="10712" spans="7:8" x14ac:dyDescent="0.3">
      <c r="G10712" s="15">
        <v>29.741666666666667</v>
      </c>
      <c r="H10712" s="3">
        <v>3.8356833333333645E-2</v>
      </c>
    </row>
    <row r="10713" spans="7:8" x14ac:dyDescent="0.3">
      <c r="G10713" s="15">
        <v>29.744444444444444</v>
      </c>
      <c r="H10713" s="3">
        <v>3.8356222222222527E-2</v>
      </c>
    </row>
    <row r="10714" spans="7:8" x14ac:dyDescent="0.3">
      <c r="G10714" s="15">
        <v>29.747222222222224</v>
      </c>
      <c r="H10714" s="3">
        <v>3.835561111111141E-2</v>
      </c>
    </row>
    <row r="10715" spans="7:8" x14ac:dyDescent="0.3">
      <c r="G10715" s="15">
        <v>29.75</v>
      </c>
      <c r="H10715" s="3">
        <v>3.8355000000000299E-2</v>
      </c>
    </row>
    <row r="10716" spans="7:8" x14ac:dyDescent="0.3">
      <c r="G10716" s="15">
        <v>29.752777777777776</v>
      </c>
      <c r="H10716" s="3">
        <v>3.8354388888889188E-2</v>
      </c>
    </row>
    <row r="10717" spans="7:8" x14ac:dyDescent="0.3">
      <c r="G10717" s="15">
        <v>29.755555555555556</v>
      </c>
      <c r="H10717" s="3">
        <v>3.835377777777807E-2</v>
      </c>
    </row>
    <row r="10718" spans="7:8" x14ac:dyDescent="0.3">
      <c r="G10718" s="15">
        <v>29.758333333333333</v>
      </c>
      <c r="H10718" s="3">
        <v>3.8353166666666952E-2</v>
      </c>
    </row>
    <row r="10719" spans="7:8" x14ac:dyDescent="0.3">
      <c r="G10719" s="15">
        <v>29.761111111111113</v>
      </c>
      <c r="H10719" s="3">
        <v>3.8352555555555841E-2</v>
      </c>
    </row>
    <row r="10720" spans="7:8" x14ac:dyDescent="0.3">
      <c r="G10720" s="15">
        <v>29.763888888888889</v>
      </c>
      <c r="H10720" s="3">
        <v>3.835194444444473E-2</v>
      </c>
    </row>
    <row r="10721" spans="7:8" x14ac:dyDescent="0.3">
      <c r="G10721" s="15">
        <v>29.766666666666666</v>
      </c>
      <c r="H10721" s="3">
        <v>3.8351333333333612E-2</v>
      </c>
    </row>
    <row r="10722" spans="7:8" x14ac:dyDescent="0.3">
      <c r="G10722" s="15">
        <v>29.769444444444446</v>
      </c>
      <c r="H10722" s="3">
        <v>3.8350722222222494E-2</v>
      </c>
    </row>
    <row r="10723" spans="7:8" x14ac:dyDescent="0.3">
      <c r="G10723" s="15">
        <v>29.772222222222222</v>
      </c>
      <c r="H10723" s="3">
        <v>3.8350111111111383E-2</v>
      </c>
    </row>
    <row r="10724" spans="7:8" x14ac:dyDescent="0.3">
      <c r="G10724" s="15">
        <v>29.774999999999999</v>
      </c>
      <c r="H10724" s="3">
        <v>3.8349500000000272E-2</v>
      </c>
    </row>
    <row r="10725" spans="7:8" x14ac:dyDescent="0.3">
      <c r="G10725" s="15">
        <v>29.777777777777779</v>
      </c>
      <c r="H10725" s="3">
        <v>3.8348888888889154E-2</v>
      </c>
    </row>
    <row r="10726" spans="7:8" x14ac:dyDescent="0.3">
      <c r="G10726" s="15">
        <v>29.780555555555555</v>
      </c>
      <c r="H10726" s="3">
        <v>3.8348277777778036E-2</v>
      </c>
    </row>
    <row r="10727" spans="7:8" x14ac:dyDescent="0.3">
      <c r="G10727" s="15">
        <v>29.783333333333335</v>
      </c>
      <c r="H10727" s="3">
        <v>3.8347666666666926E-2</v>
      </c>
    </row>
    <row r="10728" spans="7:8" x14ac:dyDescent="0.3">
      <c r="G10728" s="15">
        <v>29.786111111111111</v>
      </c>
      <c r="H10728" s="3">
        <v>3.8347055555555815E-2</v>
      </c>
    </row>
    <row r="10729" spans="7:8" x14ac:dyDescent="0.3">
      <c r="G10729" s="15">
        <v>29.788888888888888</v>
      </c>
      <c r="H10729" s="3">
        <v>3.8346444444444697E-2</v>
      </c>
    </row>
    <row r="10730" spans="7:8" x14ac:dyDescent="0.3">
      <c r="G10730" s="15">
        <v>29.791666666666668</v>
      </c>
      <c r="H10730" s="3">
        <v>3.8345833333333579E-2</v>
      </c>
    </row>
    <row r="10731" spans="7:8" x14ac:dyDescent="0.3">
      <c r="G10731" s="15">
        <v>29.794444444444444</v>
      </c>
      <c r="H10731" s="3">
        <v>3.8345222222222468E-2</v>
      </c>
    </row>
    <row r="10732" spans="7:8" x14ac:dyDescent="0.3">
      <c r="G10732" s="15">
        <v>29.797222222222221</v>
      </c>
      <c r="H10732" s="3">
        <v>3.8344611111111357E-2</v>
      </c>
    </row>
    <row r="10733" spans="7:8" x14ac:dyDescent="0.3">
      <c r="G10733" s="15">
        <v>29.8</v>
      </c>
      <c r="H10733" s="3">
        <v>3.8344000000000239E-2</v>
      </c>
    </row>
    <row r="10734" spans="7:8" x14ac:dyDescent="0.3">
      <c r="G10734" s="15">
        <v>29.802777777777777</v>
      </c>
      <c r="H10734" s="3">
        <v>3.8343388888889121E-2</v>
      </c>
    </row>
    <row r="10735" spans="7:8" x14ac:dyDescent="0.3">
      <c r="G10735" s="15">
        <v>29.805555555555557</v>
      </c>
      <c r="H10735" s="3">
        <v>3.834277777777801E-2</v>
      </c>
    </row>
    <row r="10736" spans="7:8" x14ac:dyDescent="0.3">
      <c r="G10736" s="15">
        <v>29.808333333333334</v>
      </c>
      <c r="H10736" s="3">
        <v>3.8342166666666899E-2</v>
      </c>
    </row>
    <row r="10737" spans="7:8" x14ac:dyDescent="0.3">
      <c r="G10737" s="15">
        <v>29.81111111111111</v>
      </c>
      <c r="H10737" s="3">
        <v>3.8341555555555781E-2</v>
      </c>
    </row>
    <row r="10738" spans="7:8" x14ac:dyDescent="0.3">
      <c r="G10738" s="15">
        <v>29.81388888888889</v>
      </c>
      <c r="H10738" s="3">
        <v>3.8340944444444663E-2</v>
      </c>
    </row>
    <row r="10739" spans="7:8" x14ac:dyDescent="0.3">
      <c r="G10739" s="15">
        <v>29.816666666666666</v>
      </c>
      <c r="H10739" s="3">
        <v>3.8340333333333552E-2</v>
      </c>
    </row>
    <row r="10740" spans="7:8" x14ac:dyDescent="0.3">
      <c r="G10740" s="15">
        <v>29.819444444444443</v>
      </c>
      <c r="H10740" s="3">
        <v>3.8339722222222442E-2</v>
      </c>
    </row>
    <row r="10741" spans="7:8" x14ac:dyDescent="0.3">
      <c r="G10741" s="15">
        <v>29.822222222222223</v>
      </c>
      <c r="H10741" s="3">
        <v>3.8339111111111324E-2</v>
      </c>
    </row>
    <row r="10742" spans="7:8" x14ac:dyDescent="0.3">
      <c r="G10742" s="15">
        <v>29.824999999999999</v>
      </c>
      <c r="H10742" s="3">
        <v>3.8338500000000206E-2</v>
      </c>
    </row>
    <row r="10743" spans="7:8" x14ac:dyDescent="0.3">
      <c r="G10743" s="15">
        <v>29.827777777777779</v>
      </c>
      <c r="H10743" s="3">
        <v>3.8337888888889095E-2</v>
      </c>
    </row>
    <row r="10744" spans="7:8" x14ac:dyDescent="0.3">
      <c r="G10744" s="15">
        <v>29.830555555555556</v>
      </c>
      <c r="H10744" s="3">
        <v>3.8337277777777984E-2</v>
      </c>
    </row>
    <row r="10745" spans="7:8" x14ac:dyDescent="0.3">
      <c r="G10745" s="15">
        <v>29.833333333333332</v>
      </c>
      <c r="H10745" s="3">
        <v>3.8336666666666866E-2</v>
      </c>
    </row>
    <row r="10746" spans="7:8" x14ac:dyDescent="0.3">
      <c r="G10746" s="15">
        <v>29.836111111111112</v>
      </c>
      <c r="H10746" s="3">
        <v>3.8336055555555748E-2</v>
      </c>
    </row>
    <row r="10747" spans="7:8" x14ac:dyDescent="0.3">
      <c r="G10747" s="15">
        <v>29.838888888888889</v>
      </c>
      <c r="H10747" s="3">
        <v>3.8335444444444637E-2</v>
      </c>
    </row>
    <row r="10748" spans="7:8" x14ac:dyDescent="0.3">
      <c r="G10748" s="15">
        <v>29.841666666666665</v>
      </c>
      <c r="H10748" s="3">
        <v>3.8334833333333526E-2</v>
      </c>
    </row>
    <row r="10749" spans="7:8" x14ac:dyDescent="0.3">
      <c r="G10749" s="15">
        <v>29.844444444444445</v>
      </c>
      <c r="H10749" s="3">
        <v>3.8334222222222408E-2</v>
      </c>
    </row>
    <row r="10750" spans="7:8" x14ac:dyDescent="0.3">
      <c r="G10750" s="15">
        <v>29.847222222222221</v>
      </c>
      <c r="H10750" s="3">
        <v>3.833361111111129E-2</v>
      </c>
    </row>
    <row r="10751" spans="7:8" x14ac:dyDescent="0.3">
      <c r="G10751" s="15">
        <v>29.85</v>
      </c>
      <c r="H10751" s="3">
        <v>3.8333000000000179E-2</v>
      </c>
    </row>
    <row r="10752" spans="7:8" x14ac:dyDescent="0.3">
      <c r="G10752" s="15">
        <v>29.852777777777778</v>
      </c>
      <c r="H10752" s="3">
        <v>3.8332388888889068E-2</v>
      </c>
    </row>
    <row r="10753" spans="7:8" x14ac:dyDescent="0.3">
      <c r="G10753" s="15">
        <v>29.855555555555554</v>
      </c>
      <c r="H10753" s="3">
        <v>3.8331777777777951E-2</v>
      </c>
    </row>
    <row r="10754" spans="7:8" x14ac:dyDescent="0.3">
      <c r="G10754" s="15">
        <v>29.858333333333334</v>
      </c>
      <c r="H10754" s="3">
        <v>3.8331166666666833E-2</v>
      </c>
    </row>
    <row r="10755" spans="7:8" x14ac:dyDescent="0.3">
      <c r="G10755" s="15">
        <v>29.861111111111111</v>
      </c>
      <c r="H10755" s="3">
        <v>3.8330555555555722E-2</v>
      </c>
    </row>
    <row r="10756" spans="7:8" x14ac:dyDescent="0.3">
      <c r="G10756" s="15">
        <v>29.863888888888887</v>
      </c>
      <c r="H10756" s="3">
        <v>3.8329944444444611E-2</v>
      </c>
    </row>
    <row r="10757" spans="7:8" x14ac:dyDescent="0.3">
      <c r="G10757" s="15">
        <v>29.866666666666667</v>
      </c>
      <c r="H10757" s="3">
        <v>3.8329333333333493E-2</v>
      </c>
    </row>
    <row r="10758" spans="7:8" x14ac:dyDescent="0.3">
      <c r="G10758" s="15">
        <v>29.869444444444444</v>
      </c>
      <c r="H10758" s="3">
        <v>3.8328722222222375E-2</v>
      </c>
    </row>
    <row r="10759" spans="7:8" x14ac:dyDescent="0.3">
      <c r="G10759" s="15">
        <v>29.872222222222224</v>
      </c>
      <c r="H10759" s="3">
        <v>3.8328111111111264E-2</v>
      </c>
    </row>
    <row r="10760" spans="7:8" x14ac:dyDescent="0.3">
      <c r="G10760" s="15">
        <v>29.875</v>
      </c>
      <c r="H10760" s="3">
        <v>3.8327500000000153E-2</v>
      </c>
    </row>
    <row r="10761" spans="7:8" x14ac:dyDescent="0.3">
      <c r="G10761" s="15">
        <v>29.877777777777776</v>
      </c>
      <c r="H10761" s="3">
        <v>3.8326888888889035E-2</v>
      </c>
    </row>
    <row r="10762" spans="7:8" x14ac:dyDescent="0.3">
      <c r="G10762" s="15">
        <v>29.880555555555556</v>
      </c>
      <c r="H10762" s="3">
        <v>3.8326277777777917E-2</v>
      </c>
    </row>
    <row r="10763" spans="7:8" x14ac:dyDescent="0.3">
      <c r="G10763" s="15">
        <v>29.883333333333333</v>
      </c>
      <c r="H10763" s="3">
        <v>3.8325666666666806E-2</v>
      </c>
    </row>
    <row r="10764" spans="7:8" x14ac:dyDescent="0.3">
      <c r="G10764" s="15">
        <v>29.886111111111113</v>
      </c>
      <c r="H10764" s="3">
        <v>3.8325055555555695E-2</v>
      </c>
    </row>
    <row r="10765" spans="7:8" x14ac:dyDescent="0.3">
      <c r="G10765" s="15">
        <v>29.888888888888889</v>
      </c>
      <c r="H10765" s="3">
        <v>3.8324444444444578E-2</v>
      </c>
    </row>
    <row r="10766" spans="7:8" x14ac:dyDescent="0.3">
      <c r="G10766" s="15">
        <v>29.891666666666666</v>
      </c>
      <c r="H10766" s="3">
        <v>3.832383333333346E-2</v>
      </c>
    </row>
    <row r="10767" spans="7:8" x14ac:dyDescent="0.3">
      <c r="G10767" s="15">
        <v>29.894444444444446</v>
      </c>
      <c r="H10767" s="3">
        <v>3.8323222222222349E-2</v>
      </c>
    </row>
    <row r="10768" spans="7:8" x14ac:dyDescent="0.3">
      <c r="G10768" s="15">
        <v>29.897222222222222</v>
      </c>
      <c r="H10768" s="3">
        <v>3.8322611111111238E-2</v>
      </c>
    </row>
    <row r="10769" spans="7:8" x14ac:dyDescent="0.3">
      <c r="G10769" s="15">
        <v>29.9</v>
      </c>
      <c r="H10769" s="3">
        <v>3.832200000000012E-2</v>
      </c>
    </row>
    <row r="10770" spans="7:8" x14ac:dyDescent="0.3">
      <c r="G10770" s="15">
        <v>29.902777777777779</v>
      </c>
      <c r="H10770" s="3">
        <v>3.8321388888889002E-2</v>
      </c>
    </row>
    <row r="10771" spans="7:8" x14ac:dyDescent="0.3">
      <c r="G10771" s="15">
        <v>29.905555555555555</v>
      </c>
      <c r="H10771" s="3">
        <v>3.8320777777777891E-2</v>
      </c>
    </row>
    <row r="10772" spans="7:8" x14ac:dyDescent="0.3">
      <c r="G10772" s="15">
        <v>29.908333333333335</v>
      </c>
      <c r="H10772" s="3">
        <v>3.832016666666678E-2</v>
      </c>
    </row>
    <row r="10773" spans="7:8" x14ac:dyDescent="0.3">
      <c r="G10773" s="15">
        <v>29.911111111111111</v>
      </c>
      <c r="H10773" s="3">
        <v>3.8319555555555662E-2</v>
      </c>
    </row>
    <row r="10774" spans="7:8" x14ac:dyDescent="0.3">
      <c r="G10774" s="15">
        <v>29.913888888888888</v>
      </c>
      <c r="H10774" s="3">
        <v>3.8318944444444544E-2</v>
      </c>
    </row>
    <row r="10775" spans="7:8" x14ac:dyDescent="0.3">
      <c r="G10775" s="15">
        <v>29.916666666666668</v>
      </c>
      <c r="H10775" s="3">
        <v>3.8318333333333433E-2</v>
      </c>
    </row>
    <row r="10776" spans="7:8" x14ac:dyDescent="0.3">
      <c r="G10776" s="15">
        <v>29.919444444444444</v>
      </c>
      <c r="H10776" s="3">
        <v>3.8317722222222322E-2</v>
      </c>
    </row>
    <row r="10777" spans="7:8" x14ac:dyDescent="0.3">
      <c r="G10777" s="15">
        <v>29.922222222222221</v>
      </c>
      <c r="H10777" s="3">
        <v>3.8317111111111204E-2</v>
      </c>
    </row>
    <row r="10778" spans="7:8" x14ac:dyDescent="0.3">
      <c r="G10778" s="15">
        <v>29.925000000000001</v>
      </c>
      <c r="H10778" s="3">
        <v>3.8316500000000087E-2</v>
      </c>
    </row>
    <row r="10779" spans="7:8" x14ac:dyDescent="0.3">
      <c r="G10779" s="15">
        <v>29.927777777777777</v>
      </c>
      <c r="H10779" s="3">
        <v>3.8315888888888976E-2</v>
      </c>
    </row>
    <row r="10780" spans="7:8" x14ac:dyDescent="0.3">
      <c r="G10780" s="15">
        <v>29.930555555555557</v>
      </c>
      <c r="H10780" s="3">
        <v>3.8315277777777865E-2</v>
      </c>
    </row>
    <row r="10781" spans="7:8" x14ac:dyDescent="0.3">
      <c r="G10781" s="15">
        <v>29.933333333333334</v>
      </c>
      <c r="H10781" s="3">
        <v>3.8314666666666747E-2</v>
      </c>
    </row>
    <row r="10782" spans="7:8" x14ac:dyDescent="0.3">
      <c r="G10782" s="15">
        <v>29.93611111111111</v>
      </c>
      <c r="H10782" s="3">
        <v>3.8314055555555629E-2</v>
      </c>
    </row>
    <row r="10783" spans="7:8" x14ac:dyDescent="0.3">
      <c r="G10783" s="15">
        <v>29.93888888888889</v>
      </c>
      <c r="H10783" s="3">
        <v>3.8313444444444518E-2</v>
      </c>
    </row>
    <row r="10784" spans="7:8" x14ac:dyDescent="0.3">
      <c r="G10784" s="15">
        <v>29.941666666666666</v>
      </c>
      <c r="H10784" s="3">
        <v>3.8312833333333407E-2</v>
      </c>
    </row>
    <row r="10785" spans="7:8" x14ac:dyDescent="0.3">
      <c r="G10785" s="15">
        <v>29.944444444444443</v>
      </c>
      <c r="H10785" s="3">
        <v>3.8312222222222289E-2</v>
      </c>
    </row>
    <row r="10786" spans="7:8" x14ac:dyDescent="0.3">
      <c r="G10786" s="15">
        <v>29.947222222222223</v>
      </c>
      <c r="H10786" s="3">
        <v>3.8311611111111171E-2</v>
      </c>
    </row>
    <row r="10787" spans="7:8" x14ac:dyDescent="0.3">
      <c r="G10787" s="15">
        <v>29.95</v>
      </c>
      <c r="H10787" s="3">
        <v>3.831100000000006E-2</v>
      </c>
    </row>
    <row r="10788" spans="7:8" x14ac:dyDescent="0.3">
      <c r="G10788" s="15">
        <v>29.952777777777779</v>
      </c>
      <c r="H10788" s="3">
        <v>3.8310388888888949E-2</v>
      </c>
    </row>
    <row r="10789" spans="7:8" x14ac:dyDescent="0.3">
      <c r="G10789" s="15">
        <v>29.955555555555556</v>
      </c>
      <c r="H10789" s="3">
        <v>3.8309777777777831E-2</v>
      </c>
    </row>
    <row r="10790" spans="7:8" x14ac:dyDescent="0.3">
      <c r="G10790" s="15">
        <v>29.958333333333332</v>
      </c>
      <c r="H10790" s="3">
        <v>3.8309166666666714E-2</v>
      </c>
    </row>
    <row r="10791" spans="7:8" x14ac:dyDescent="0.3">
      <c r="G10791" s="15">
        <v>29.961111111111112</v>
      </c>
      <c r="H10791" s="3">
        <v>3.8308555555555603E-2</v>
      </c>
    </row>
    <row r="10792" spans="7:8" x14ac:dyDescent="0.3">
      <c r="G10792" s="15">
        <v>29.963888888888889</v>
      </c>
      <c r="H10792" s="3">
        <v>3.8307944444444492E-2</v>
      </c>
    </row>
    <row r="10793" spans="7:8" x14ac:dyDescent="0.3">
      <c r="G10793" s="15">
        <v>29.966666666666665</v>
      </c>
      <c r="H10793" s="3">
        <v>3.8307333333333374E-2</v>
      </c>
    </row>
    <row r="10794" spans="7:8" x14ac:dyDescent="0.3">
      <c r="G10794" s="15">
        <v>29.969444444444445</v>
      </c>
      <c r="H10794" s="3">
        <v>3.8306722222222256E-2</v>
      </c>
    </row>
    <row r="10795" spans="7:8" x14ac:dyDescent="0.3">
      <c r="G10795" s="15">
        <v>29.972222222222221</v>
      </c>
      <c r="H10795" s="3">
        <v>3.8306111111111145E-2</v>
      </c>
    </row>
    <row r="10796" spans="7:8" x14ac:dyDescent="0.3">
      <c r="G10796" s="15">
        <v>29.975000000000001</v>
      </c>
      <c r="H10796" s="3">
        <v>3.8305500000000034E-2</v>
      </c>
    </row>
    <row r="10797" spans="7:8" x14ac:dyDescent="0.3">
      <c r="G10797" s="15">
        <v>29.977777777777778</v>
      </c>
      <c r="H10797" s="3">
        <v>3.8304888888888916E-2</v>
      </c>
    </row>
    <row r="10798" spans="7:8" x14ac:dyDescent="0.3">
      <c r="G10798" s="15">
        <v>29.980555555555554</v>
      </c>
      <c r="H10798" s="3">
        <v>3.8304277777777798E-2</v>
      </c>
    </row>
    <row r="10799" spans="7:8" x14ac:dyDescent="0.3">
      <c r="G10799" s="15">
        <v>29.983333333333334</v>
      </c>
      <c r="H10799" s="3">
        <v>3.8303666666666687E-2</v>
      </c>
    </row>
    <row r="10800" spans="7:8" x14ac:dyDescent="0.3">
      <c r="G10800" s="15">
        <v>29.986111111111111</v>
      </c>
      <c r="H10800" s="3">
        <v>3.8303055555555576E-2</v>
      </c>
    </row>
    <row r="10801" spans="7:8" x14ac:dyDescent="0.3">
      <c r="G10801" s="15">
        <v>29.988888888888887</v>
      </c>
      <c r="H10801" s="3">
        <v>3.8302444444444458E-2</v>
      </c>
    </row>
    <row r="10802" spans="7:8" x14ac:dyDescent="0.3">
      <c r="G10802" s="15">
        <v>29.991666666666667</v>
      </c>
      <c r="H10802" s="3">
        <v>3.8301833333333341E-2</v>
      </c>
    </row>
    <row r="10803" spans="7:8" x14ac:dyDescent="0.3">
      <c r="G10803" s="15">
        <v>29.994444444444444</v>
      </c>
      <c r="H10803" s="3">
        <v>3.830122222222223E-2</v>
      </c>
    </row>
    <row r="10804" spans="7:8" x14ac:dyDescent="0.3">
      <c r="G10804" s="15">
        <v>29.997222222222224</v>
      </c>
      <c r="H10804" s="3">
        <v>3.8300611111111119E-2</v>
      </c>
    </row>
    <row r="10805" spans="7:8" x14ac:dyDescent="0.3">
      <c r="G10805" s="15">
        <v>30</v>
      </c>
      <c r="H10805" s="3">
        <v>3.8300000000000001E-2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01"/>
  <sheetViews>
    <sheetView zoomScale="130" zoomScaleNormal="130" workbookViewId="0">
      <selection activeCell="G10" sqref="G10"/>
    </sheetView>
  </sheetViews>
  <sheetFormatPr defaultRowHeight="14.4" x14ac:dyDescent="0.3"/>
  <cols>
    <col min="1" max="1" width="11.5546875" customWidth="1"/>
    <col min="2" max="2" width="15.109375" customWidth="1"/>
    <col min="3" max="3" width="27.77734375" customWidth="1"/>
  </cols>
  <sheetData>
    <row r="1" spans="1:3" x14ac:dyDescent="0.3">
      <c r="A1" s="9" t="s">
        <v>0</v>
      </c>
      <c r="B1" s="9" t="s">
        <v>11</v>
      </c>
    </row>
    <row r="2" spans="1:3" x14ac:dyDescent="0.3">
      <c r="A2" s="8">
        <v>44740</v>
      </c>
      <c r="B2" s="10">
        <v>0.03</v>
      </c>
      <c r="C2" s="19"/>
    </row>
    <row r="3" spans="1:3" x14ac:dyDescent="0.3">
      <c r="A3" s="8">
        <v>44741</v>
      </c>
      <c r="B3" s="10">
        <v>2.5374579146996895E-2</v>
      </c>
      <c r="C3" s="19"/>
    </row>
    <row r="4" spans="1:3" x14ac:dyDescent="0.3">
      <c r="A4" s="8">
        <v>44742</v>
      </c>
      <c r="B4" s="10">
        <v>1.8457753627877237E-2</v>
      </c>
      <c r="C4" s="19"/>
    </row>
    <row r="5" spans="1:3" x14ac:dyDescent="0.3">
      <c r="A5" s="8">
        <v>44743</v>
      </c>
      <c r="B5" s="10">
        <v>2.3093312421176196E-2</v>
      </c>
      <c r="C5" s="19"/>
    </row>
    <row r="6" spans="1:3" x14ac:dyDescent="0.3">
      <c r="A6" s="8">
        <v>44747</v>
      </c>
      <c r="B6" s="10">
        <v>2.2768885884074271E-2</v>
      </c>
      <c r="C6" s="19"/>
    </row>
    <row r="7" spans="1:3" x14ac:dyDescent="0.3">
      <c r="A7" s="8">
        <v>44748</v>
      </c>
      <c r="B7" s="10">
        <v>1.8729913257169013E-2</v>
      </c>
      <c r="C7" s="19"/>
    </row>
    <row r="8" spans="1:3" x14ac:dyDescent="0.3">
      <c r="A8" s="8">
        <v>44749</v>
      </c>
      <c r="B8" s="10">
        <v>1.3322847256449581E-2</v>
      </c>
      <c r="C8" s="19"/>
    </row>
    <row r="9" spans="1:3" x14ac:dyDescent="0.3">
      <c r="A9" s="8">
        <v>44750</v>
      </c>
      <c r="B9" s="10">
        <v>1.4315143013905077E-2</v>
      </c>
      <c r="C9" s="19"/>
    </row>
    <row r="10" spans="1:3" x14ac:dyDescent="0.3">
      <c r="A10" s="8">
        <v>44753</v>
      </c>
      <c r="B10" s="10">
        <v>9.0455067462283795E-3</v>
      </c>
      <c r="C10" s="19"/>
    </row>
    <row r="11" spans="1:3" x14ac:dyDescent="0.3">
      <c r="A11" s="8">
        <v>44754</v>
      </c>
      <c r="B11" s="10">
        <v>4.1468731113956971E-3</v>
      </c>
      <c r="C11" s="19"/>
    </row>
    <row r="12" spans="1:3" x14ac:dyDescent="0.3">
      <c r="A12" s="8">
        <v>44755</v>
      </c>
      <c r="B12" s="10">
        <v>4.559857968566664E-3</v>
      </c>
    </row>
    <row r="13" spans="1:3" x14ac:dyDescent="0.3">
      <c r="A13" s="8">
        <v>44756</v>
      </c>
      <c r="B13" s="10">
        <v>6.1155938405393481E-3</v>
      </c>
    </row>
    <row r="14" spans="1:3" x14ac:dyDescent="0.3">
      <c r="A14" s="8">
        <v>44757</v>
      </c>
      <c r="B14" s="10">
        <v>1.5508222600003532E-3</v>
      </c>
    </row>
    <row r="15" spans="1:3" x14ac:dyDescent="0.3">
      <c r="A15" s="8">
        <v>44760</v>
      </c>
      <c r="B15" s="10">
        <v>4.3439369849616839E-3</v>
      </c>
    </row>
    <row r="16" spans="1:3" x14ac:dyDescent="0.3">
      <c r="A16" s="8">
        <v>44761</v>
      </c>
      <c r="B16" s="10">
        <v>2.4083447254786474E-3</v>
      </c>
    </row>
    <row r="17" spans="1:2" x14ac:dyDescent="0.3">
      <c r="A17" s="8">
        <v>44762</v>
      </c>
      <c r="B17" s="10">
        <v>-2.8684526048770647E-3</v>
      </c>
    </row>
    <row r="18" spans="1:2" x14ac:dyDescent="0.3">
      <c r="A18" s="8">
        <v>44763</v>
      </c>
      <c r="B18" s="10">
        <v>-4.6548468961991217E-3</v>
      </c>
    </row>
    <row r="19" spans="1:2" x14ac:dyDescent="0.3">
      <c r="A19" s="8">
        <v>44764</v>
      </c>
      <c r="B19" s="10">
        <v>-9.1342129920234348E-3</v>
      </c>
    </row>
    <row r="20" spans="1:2" x14ac:dyDescent="0.3">
      <c r="A20" s="8">
        <v>44767</v>
      </c>
      <c r="B20" s="10">
        <v>-1.0238597015909328E-2</v>
      </c>
    </row>
    <row r="21" spans="1:2" x14ac:dyDescent="0.3">
      <c r="A21" s="8">
        <v>44768</v>
      </c>
      <c r="B21" s="10">
        <v>-1.0316812231587372E-2</v>
      </c>
    </row>
    <row r="22" spans="1:2" x14ac:dyDescent="0.3">
      <c r="A22" s="8">
        <v>44769</v>
      </c>
      <c r="B22" s="10">
        <v>-7.1491914168198781E-3</v>
      </c>
    </row>
    <row r="23" spans="1:2" x14ac:dyDescent="0.3">
      <c r="A23" s="8">
        <v>44770</v>
      </c>
      <c r="B23" s="10">
        <v>-6.7548552135225917E-3</v>
      </c>
    </row>
    <row r="24" spans="1:2" x14ac:dyDescent="0.3">
      <c r="A24" s="8">
        <v>44771</v>
      </c>
      <c r="B24" s="10">
        <v>-1.5565093167309164E-3</v>
      </c>
    </row>
    <row r="25" spans="1:2" x14ac:dyDescent="0.3">
      <c r="A25" s="8">
        <v>44774</v>
      </c>
      <c r="B25" s="10">
        <v>-8.5487679083000312E-5</v>
      </c>
    </row>
    <row r="26" spans="1:2" x14ac:dyDescent="0.3">
      <c r="A26" s="8">
        <v>44775</v>
      </c>
      <c r="B26" s="10">
        <v>-3.8665031205786186E-3</v>
      </c>
    </row>
    <row r="27" spans="1:2" x14ac:dyDescent="0.3">
      <c r="A27" s="8">
        <v>44776</v>
      </c>
      <c r="B27" s="10">
        <v>-1.5096511978584235E-3</v>
      </c>
    </row>
    <row r="28" spans="1:2" x14ac:dyDescent="0.3">
      <c r="A28" s="8">
        <v>44777</v>
      </c>
      <c r="B28" s="10">
        <v>1.5072607861713523E-3</v>
      </c>
    </row>
    <row r="29" spans="1:2" x14ac:dyDescent="0.3">
      <c r="A29" s="8">
        <v>44778</v>
      </c>
      <c r="B29" s="10">
        <v>2.2159463349828035E-3</v>
      </c>
    </row>
    <row r="30" spans="1:2" x14ac:dyDescent="0.3">
      <c r="A30" s="8">
        <v>44781</v>
      </c>
      <c r="B30" s="10">
        <v>-2.0355486624799995E-3</v>
      </c>
    </row>
    <row r="31" spans="1:2" x14ac:dyDescent="0.3">
      <c r="A31" s="8">
        <v>44782</v>
      </c>
      <c r="B31" s="10">
        <v>-7.7186352582765743E-3</v>
      </c>
    </row>
    <row r="32" spans="1:2" x14ac:dyDescent="0.3">
      <c r="A32" s="8">
        <v>44783</v>
      </c>
      <c r="B32" s="10">
        <v>1.3033658546882372E-3</v>
      </c>
    </row>
    <row r="33" spans="1:2" x14ac:dyDescent="0.3">
      <c r="A33" s="8">
        <v>44784</v>
      </c>
      <c r="B33" s="10">
        <v>2.6071513272066249E-4</v>
      </c>
    </row>
    <row r="34" spans="1:2" x14ac:dyDescent="0.3">
      <c r="A34" s="8">
        <v>44785</v>
      </c>
      <c r="B34" s="10">
        <v>-2.8511059687025154E-3</v>
      </c>
    </row>
    <row r="35" spans="1:2" x14ac:dyDescent="0.3">
      <c r="A35" s="8">
        <v>44788</v>
      </c>
      <c r="B35" s="10">
        <v>1.0451583062822036E-3</v>
      </c>
    </row>
    <row r="36" spans="1:2" x14ac:dyDescent="0.3">
      <c r="A36" s="8">
        <v>44789</v>
      </c>
      <c r="B36" s="10">
        <v>-3.7433429767551687E-3</v>
      </c>
    </row>
    <row r="37" spans="1:2" x14ac:dyDescent="0.3">
      <c r="A37" s="8">
        <v>44790</v>
      </c>
      <c r="B37" s="10">
        <v>-7.7317096275798759E-4</v>
      </c>
    </row>
    <row r="38" spans="1:2" x14ac:dyDescent="0.3">
      <c r="A38" s="8">
        <v>44791</v>
      </c>
      <c r="B38" s="10">
        <v>-4.377108730074554E-4</v>
      </c>
    </row>
    <row r="39" spans="1:2" x14ac:dyDescent="0.3">
      <c r="A39" s="8">
        <v>44792</v>
      </c>
      <c r="B39" s="10">
        <v>-8.711502842907472E-4</v>
      </c>
    </row>
    <row r="40" spans="1:2" x14ac:dyDescent="0.3">
      <c r="A40" s="8">
        <v>44795</v>
      </c>
      <c r="B40" s="10">
        <v>-8.4056499944801851E-3</v>
      </c>
    </row>
    <row r="41" spans="1:2" x14ac:dyDescent="0.3">
      <c r="A41" s="8">
        <v>44796</v>
      </c>
      <c r="B41" s="10">
        <v>-1.488003095023257E-2</v>
      </c>
    </row>
    <row r="42" spans="1:2" x14ac:dyDescent="0.3">
      <c r="A42" s="8">
        <v>44797</v>
      </c>
      <c r="B42" s="10">
        <v>-1.4472551544272686E-2</v>
      </c>
    </row>
    <row r="43" spans="1:2" x14ac:dyDescent="0.3">
      <c r="A43" s="8">
        <v>44798</v>
      </c>
      <c r="B43" s="10">
        <v>-1.4695465084403321E-2</v>
      </c>
    </row>
    <row r="44" spans="1:2" x14ac:dyDescent="0.3">
      <c r="A44" s="8">
        <v>44799</v>
      </c>
      <c r="B44" s="10">
        <v>-1.2857429492702297E-2</v>
      </c>
    </row>
    <row r="45" spans="1:2" x14ac:dyDescent="0.3">
      <c r="A45" s="8">
        <v>44802</v>
      </c>
      <c r="B45" s="10">
        <v>-1.3935553382510381E-2</v>
      </c>
    </row>
    <row r="46" spans="1:2" x14ac:dyDescent="0.3">
      <c r="A46" s="8">
        <v>44803</v>
      </c>
      <c r="B46" s="10">
        <v>-1.178253737027795E-2</v>
      </c>
    </row>
    <row r="47" spans="1:2" x14ac:dyDescent="0.3">
      <c r="A47" s="8">
        <v>44804</v>
      </c>
      <c r="B47" s="10">
        <v>-4.4114292960680188E-3</v>
      </c>
    </row>
    <row r="48" spans="1:2" x14ac:dyDescent="0.3">
      <c r="A48" s="8">
        <v>44805</v>
      </c>
      <c r="B48" s="10">
        <v>2.9837542763740387E-4</v>
      </c>
    </row>
    <row r="49" spans="1:2" x14ac:dyDescent="0.3">
      <c r="A49" s="8">
        <v>44806</v>
      </c>
      <c r="B49" s="10">
        <v>2.7907831022956847E-4</v>
      </c>
    </row>
    <row r="50" spans="1:2" x14ac:dyDescent="0.3">
      <c r="A50" s="8">
        <v>44810</v>
      </c>
      <c r="B50" s="10">
        <v>6.4381909740756282E-3</v>
      </c>
    </row>
    <row r="51" spans="1:2" x14ac:dyDescent="0.3">
      <c r="A51" s="8">
        <v>44811</v>
      </c>
      <c r="B51" s="10">
        <v>1.2682964352378093E-2</v>
      </c>
    </row>
    <row r="52" spans="1:2" x14ac:dyDescent="0.3">
      <c r="A52" s="8">
        <v>44812</v>
      </c>
      <c r="B52" s="10">
        <v>1.3061242769171588E-2</v>
      </c>
    </row>
    <row r="53" spans="1:2" x14ac:dyDescent="0.3">
      <c r="A53" s="8">
        <v>44813</v>
      </c>
      <c r="B53" s="10">
        <v>1.1598700748739255E-2</v>
      </c>
    </row>
    <row r="54" spans="1:2" x14ac:dyDescent="0.3">
      <c r="A54" s="8">
        <v>44816</v>
      </c>
      <c r="B54" s="10">
        <v>1.0946291346372278E-2</v>
      </c>
    </row>
    <row r="55" spans="1:2" x14ac:dyDescent="0.3">
      <c r="A55" s="8">
        <v>44817</v>
      </c>
      <c r="B55" s="10">
        <v>1.8167573849517359E-2</v>
      </c>
    </row>
    <row r="56" spans="1:2" x14ac:dyDescent="0.3">
      <c r="A56" s="8">
        <v>44818</v>
      </c>
      <c r="B56" s="10">
        <v>1.9284393464666531E-2</v>
      </c>
    </row>
    <row r="57" spans="1:2" x14ac:dyDescent="0.3">
      <c r="A57" s="8">
        <v>44819</v>
      </c>
      <c r="B57" s="10">
        <v>1.3293381421837908E-2</v>
      </c>
    </row>
    <row r="58" spans="1:2" x14ac:dyDescent="0.3">
      <c r="A58" s="8">
        <v>44820</v>
      </c>
      <c r="B58" s="10">
        <v>1.0139946954155989E-2</v>
      </c>
    </row>
    <row r="59" spans="1:2" x14ac:dyDescent="0.3">
      <c r="A59" s="8">
        <v>44823</v>
      </c>
      <c r="B59" s="10">
        <v>9.4350656329726529E-3</v>
      </c>
    </row>
    <row r="60" spans="1:2" x14ac:dyDescent="0.3">
      <c r="A60" s="8">
        <v>44824</v>
      </c>
      <c r="B60" s="10">
        <v>6.0756040184329028E-3</v>
      </c>
    </row>
    <row r="61" spans="1:2" x14ac:dyDescent="0.3">
      <c r="A61" s="8">
        <v>44825</v>
      </c>
      <c r="B61" s="10">
        <v>4.6342658383809777E-3</v>
      </c>
    </row>
    <row r="62" spans="1:2" x14ac:dyDescent="0.3">
      <c r="A62" s="8">
        <v>44826</v>
      </c>
      <c r="B62" s="10">
        <v>1.2432460583476114E-3</v>
      </c>
    </row>
    <row r="63" spans="1:2" x14ac:dyDescent="0.3">
      <c r="A63" s="8">
        <v>44827</v>
      </c>
      <c r="B63" s="10">
        <v>3.7793701529784595E-4</v>
      </c>
    </row>
    <row r="64" spans="1:2" x14ac:dyDescent="0.3">
      <c r="A64" s="8">
        <v>44830</v>
      </c>
      <c r="B64" s="10">
        <v>1.2777788267501356E-3</v>
      </c>
    </row>
    <row r="65" spans="1:2" x14ac:dyDescent="0.3">
      <c r="A65" s="8">
        <v>44831</v>
      </c>
      <c r="B65" s="10">
        <v>7.7880389452021463E-4</v>
      </c>
    </row>
    <row r="66" spans="1:2" x14ac:dyDescent="0.3">
      <c r="A66" s="8">
        <v>44832</v>
      </c>
      <c r="B66" s="10">
        <v>2.8688881619068048E-3</v>
      </c>
    </row>
    <row r="67" spans="1:2" x14ac:dyDescent="0.3">
      <c r="A67" s="8">
        <v>44833</v>
      </c>
      <c r="B67" s="10">
        <v>3.4757326594436339E-3</v>
      </c>
    </row>
    <row r="68" spans="1:2" x14ac:dyDescent="0.3">
      <c r="A68" s="8">
        <v>44834</v>
      </c>
      <c r="B68" s="10">
        <v>4.3867857817396008E-3</v>
      </c>
    </row>
    <row r="69" spans="1:2" x14ac:dyDescent="0.3">
      <c r="A69" s="8">
        <v>44837</v>
      </c>
      <c r="B69" s="10">
        <v>1.0453946358224846E-2</v>
      </c>
    </row>
    <row r="70" spans="1:2" x14ac:dyDescent="0.3">
      <c r="A70" s="8">
        <v>44838</v>
      </c>
      <c r="B70" s="10">
        <v>8.0067137322396668E-3</v>
      </c>
    </row>
    <row r="71" spans="1:2" x14ac:dyDescent="0.3">
      <c r="A71" s="8">
        <v>44839</v>
      </c>
      <c r="B71" s="10">
        <v>-8.0727412023563934E-4</v>
      </c>
    </row>
    <row r="72" spans="1:2" x14ac:dyDescent="0.3">
      <c r="A72" s="8">
        <v>44840</v>
      </c>
      <c r="B72" s="10">
        <v>-7.3892434963355146E-3</v>
      </c>
    </row>
    <row r="73" spans="1:2" x14ac:dyDescent="0.3">
      <c r="A73" s="8">
        <v>44841</v>
      </c>
      <c r="B73" s="10">
        <v>-1.6846285353167099E-3</v>
      </c>
    </row>
    <row r="74" spans="1:2" x14ac:dyDescent="0.3">
      <c r="A74" s="8">
        <v>44844</v>
      </c>
      <c r="B74" s="10">
        <v>5.2118334316313616E-3</v>
      </c>
    </row>
    <row r="75" spans="1:2" x14ac:dyDescent="0.3">
      <c r="A75" s="8">
        <v>44845</v>
      </c>
      <c r="B75" s="10">
        <v>-1.9581992639138776E-3</v>
      </c>
    </row>
    <row r="76" spans="1:2" x14ac:dyDescent="0.3">
      <c r="A76" s="8">
        <v>44846</v>
      </c>
      <c r="B76" s="10">
        <v>-8.3818620230443619E-3</v>
      </c>
    </row>
    <row r="77" spans="1:2" x14ac:dyDescent="0.3">
      <c r="A77" s="8">
        <v>44847</v>
      </c>
      <c r="B77" s="10">
        <v>-3.9906921222286401E-3</v>
      </c>
    </row>
    <row r="78" spans="1:2" x14ac:dyDescent="0.3">
      <c r="A78" s="8">
        <v>44848</v>
      </c>
      <c r="B78" s="10">
        <v>-4.0025033115706427E-3</v>
      </c>
    </row>
    <row r="79" spans="1:2" x14ac:dyDescent="0.3">
      <c r="A79" s="8">
        <v>44851</v>
      </c>
      <c r="B79" s="10">
        <v>-1.3564764998599049E-2</v>
      </c>
    </row>
    <row r="80" spans="1:2" x14ac:dyDescent="0.3">
      <c r="A80" s="8">
        <v>44852</v>
      </c>
      <c r="B80" s="10">
        <v>-7.255282878491605E-3</v>
      </c>
    </row>
    <row r="81" spans="1:2" x14ac:dyDescent="0.3">
      <c r="A81" s="8">
        <v>44853</v>
      </c>
      <c r="B81" s="10">
        <v>-9.9453677341574554E-3</v>
      </c>
    </row>
    <row r="82" spans="1:2" x14ac:dyDescent="0.3">
      <c r="A82" s="8">
        <v>44854</v>
      </c>
      <c r="B82" s="10">
        <v>-9.9653188899826196E-3</v>
      </c>
    </row>
    <row r="83" spans="1:2" x14ac:dyDescent="0.3">
      <c r="A83" s="8">
        <v>44855</v>
      </c>
      <c r="B83" s="10">
        <v>-8.3945977483988986E-3</v>
      </c>
    </row>
    <row r="84" spans="1:2" x14ac:dyDescent="0.3">
      <c r="A84" s="8">
        <v>44858</v>
      </c>
      <c r="B84" s="10">
        <v>-9.7603470672232365E-3</v>
      </c>
    </row>
    <row r="85" spans="1:2" x14ac:dyDescent="0.3">
      <c r="A85" s="8">
        <v>44859</v>
      </c>
      <c r="B85" s="10">
        <v>-9.778231760803436E-3</v>
      </c>
    </row>
    <row r="86" spans="1:2" x14ac:dyDescent="0.3">
      <c r="A86" s="8">
        <v>44860</v>
      </c>
      <c r="B86" s="10">
        <v>-1.4137424997258858E-2</v>
      </c>
    </row>
    <row r="87" spans="1:2" x14ac:dyDescent="0.3">
      <c r="A87" s="8">
        <v>44861</v>
      </c>
      <c r="B87" s="10">
        <v>-2.0093522774032681E-2</v>
      </c>
    </row>
    <row r="88" spans="1:2" x14ac:dyDescent="0.3">
      <c r="A88" s="8">
        <v>44862</v>
      </c>
      <c r="B88" s="10">
        <v>-1.7862824671436787E-2</v>
      </c>
    </row>
    <row r="89" spans="1:2" x14ac:dyDescent="0.3">
      <c r="A89" s="8">
        <v>44865</v>
      </c>
      <c r="B89" s="10">
        <v>-2.0698974281058727E-2</v>
      </c>
    </row>
    <row r="90" spans="1:2" x14ac:dyDescent="0.3">
      <c r="A90" s="8">
        <v>44866</v>
      </c>
      <c r="B90" s="10">
        <v>-2.3678495482185882E-2</v>
      </c>
    </row>
    <row r="91" spans="1:2" x14ac:dyDescent="0.3">
      <c r="A91" s="8">
        <v>44867</v>
      </c>
      <c r="B91" s="10">
        <v>-1.7691466284668184E-2</v>
      </c>
    </row>
    <row r="92" spans="1:2" x14ac:dyDescent="0.3">
      <c r="A92" s="8">
        <v>44868</v>
      </c>
      <c r="B92" s="10">
        <v>-1.376280592681127E-2</v>
      </c>
    </row>
    <row r="93" spans="1:2" x14ac:dyDescent="0.3">
      <c r="A93" s="8">
        <v>44869</v>
      </c>
      <c r="B93" s="10">
        <v>-2.2031240745077146E-2</v>
      </c>
    </row>
    <row r="94" spans="1:2" x14ac:dyDescent="0.3">
      <c r="A94" s="8">
        <v>44872</v>
      </c>
      <c r="B94" s="10">
        <v>-2.1335345031564729E-2</v>
      </c>
    </row>
    <row r="95" spans="1:2" x14ac:dyDescent="0.3">
      <c r="A95" s="8">
        <v>44873</v>
      </c>
      <c r="B95" s="10">
        <v>-2.2504500496303391E-2</v>
      </c>
    </row>
    <row r="96" spans="1:2" x14ac:dyDescent="0.3">
      <c r="A96" s="8">
        <v>44874</v>
      </c>
      <c r="B96" s="10">
        <v>-2.3112365948300365E-2</v>
      </c>
    </row>
    <row r="97" spans="1:2" x14ac:dyDescent="0.3">
      <c r="A97" s="8">
        <v>44875</v>
      </c>
      <c r="B97" s="10">
        <v>-2.3754459276663434E-2</v>
      </c>
    </row>
    <row r="98" spans="1:2" x14ac:dyDescent="0.3">
      <c r="A98" s="8">
        <v>44876</v>
      </c>
      <c r="B98" s="10">
        <v>-2.4153870225902697E-2</v>
      </c>
    </row>
    <row r="99" spans="1:2" x14ac:dyDescent="0.3">
      <c r="A99" s="8">
        <v>44879</v>
      </c>
      <c r="B99" s="10">
        <v>-2.2661331981602646E-2</v>
      </c>
    </row>
    <row r="100" spans="1:2" x14ac:dyDescent="0.3">
      <c r="A100" s="8">
        <v>44880</v>
      </c>
      <c r="B100" s="10">
        <v>-2.6949655554701111E-2</v>
      </c>
    </row>
    <row r="101" spans="1:2" x14ac:dyDescent="0.3">
      <c r="A101" s="8">
        <v>44881</v>
      </c>
      <c r="B101" s="10">
        <v>-2.9827228185044057E-2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501"/>
  <sheetViews>
    <sheetView zoomScale="130" zoomScaleNormal="130" workbookViewId="0">
      <selection activeCell="B22" sqref="B22"/>
    </sheetView>
  </sheetViews>
  <sheetFormatPr defaultRowHeight="14.4" x14ac:dyDescent="0.3"/>
  <cols>
    <col min="1" max="1" width="14.44140625" customWidth="1"/>
    <col min="2" max="2" width="11.109375" bestFit="1" customWidth="1"/>
    <col min="3" max="4" width="21.77734375" customWidth="1"/>
  </cols>
  <sheetData>
    <row r="1" spans="1:4" x14ac:dyDescent="0.3">
      <c r="A1" s="9" t="s">
        <v>9</v>
      </c>
      <c r="B1" s="9" t="s">
        <v>7</v>
      </c>
      <c r="C1" s="9" t="s">
        <v>3</v>
      </c>
      <c r="D1" s="9" t="s">
        <v>8</v>
      </c>
    </row>
    <row r="2" spans="1:4" x14ac:dyDescent="0.3">
      <c r="A2" s="11">
        <v>44740</v>
      </c>
      <c r="B2" s="12">
        <v>1</v>
      </c>
      <c r="C2" s="12" t="s">
        <v>16</v>
      </c>
      <c r="D2" s="6">
        <v>137.02209999999999</v>
      </c>
    </row>
    <row r="3" spans="1:4" x14ac:dyDescent="0.3">
      <c r="A3" s="11">
        <v>44741</v>
      </c>
      <c r="B3" s="12">
        <v>1</v>
      </c>
      <c r="C3" s="12" t="s">
        <v>16</v>
      </c>
      <c r="D3" s="6">
        <v>138.8066</v>
      </c>
    </row>
    <row r="4" spans="1:4" x14ac:dyDescent="0.3">
      <c r="A4" s="11">
        <v>44742</v>
      </c>
      <c r="B4" s="12">
        <v>1</v>
      </c>
      <c r="C4" s="12" t="s">
        <v>16</v>
      </c>
      <c r="D4" s="6">
        <v>136.30420000000001</v>
      </c>
    </row>
    <row r="5" spans="1:4" x14ac:dyDescent="0.3">
      <c r="A5" s="11">
        <v>44743</v>
      </c>
      <c r="B5" s="12">
        <v>1</v>
      </c>
      <c r="C5" s="12" t="s">
        <v>16</v>
      </c>
      <c r="D5" s="6">
        <v>138.50749999999999</v>
      </c>
    </row>
    <row r="6" spans="1:4" x14ac:dyDescent="0.3">
      <c r="A6" s="11">
        <v>44747</v>
      </c>
      <c r="B6" s="12">
        <v>1</v>
      </c>
      <c r="C6" s="12" t="s">
        <v>16</v>
      </c>
      <c r="D6" s="6">
        <v>141.12950000000001</v>
      </c>
    </row>
    <row r="7" spans="1:4" x14ac:dyDescent="0.3">
      <c r="A7" s="11">
        <v>44748</v>
      </c>
      <c r="B7" s="12">
        <v>1</v>
      </c>
      <c r="C7" s="12" t="s">
        <v>16</v>
      </c>
      <c r="D7" s="6">
        <v>142.4854</v>
      </c>
    </row>
    <row r="8" spans="1:4" x14ac:dyDescent="0.3">
      <c r="A8" s="11">
        <v>44749</v>
      </c>
      <c r="B8" s="12">
        <v>1</v>
      </c>
      <c r="C8" s="12" t="s">
        <v>16</v>
      </c>
      <c r="D8" s="6">
        <v>145.905</v>
      </c>
    </row>
    <row r="9" spans="1:4" x14ac:dyDescent="0.3">
      <c r="A9" s="11">
        <v>44750</v>
      </c>
      <c r="B9" s="12">
        <v>1</v>
      </c>
      <c r="C9" s="12" t="s">
        <v>16</v>
      </c>
      <c r="D9" s="6">
        <v>146.59280000000001</v>
      </c>
    </row>
    <row r="10" spans="1:4" x14ac:dyDescent="0.3">
      <c r="A10" s="11">
        <v>44753</v>
      </c>
      <c r="B10" s="12">
        <v>1</v>
      </c>
      <c r="C10" s="12" t="s">
        <v>16</v>
      </c>
      <c r="D10" s="6">
        <v>144.42949999999999</v>
      </c>
    </row>
    <row r="11" spans="1:4" x14ac:dyDescent="0.3">
      <c r="A11" s="11">
        <v>44754</v>
      </c>
      <c r="B11" s="12">
        <v>1</v>
      </c>
      <c r="C11" s="12" t="s">
        <v>16</v>
      </c>
      <c r="D11" s="6">
        <v>145.41640000000001</v>
      </c>
    </row>
    <row r="12" spans="1:4" x14ac:dyDescent="0.3">
      <c r="A12" s="11">
        <v>44755</v>
      </c>
      <c r="B12" s="12">
        <v>1</v>
      </c>
      <c r="C12" s="12" t="s">
        <v>16</v>
      </c>
      <c r="D12" s="6">
        <v>145.04759999999999</v>
      </c>
    </row>
    <row r="13" spans="1:4" x14ac:dyDescent="0.3">
      <c r="A13" s="11">
        <v>44756</v>
      </c>
      <c r="B13" s="12">
        <v>1</v>
      </c>
      <c r="C13" s="12" t="s">
        <v>16</v>
      </c>
      <c r="D13" s="6">
        <v>148.01849999999999</v>
      </c>
    </row>
    <row r="14" spans="1:4" x14ac:dyDescent="0.3">
      <c r="A14" s="11">
        <v>44757</v>
      </c>
      <c r="B14" s="12">
        <v>1</v>
      </c>
      <c r="C14" s="12" t="s">
        <v>16</v>
      </c>
      <c r="D14" s="6">
        <v>149.7133</v>
      </c>
    </row>
    <row r="15" spans="1:4" x14ac:dyDescent="0.3">
      <c r="A15" s="11">
        <v>44760</v>
      </c>
      <c r="B15" s="12">
        <v>1</v>
      </c>
      <c r="C15" s="12" t="s">
        <v>16</v>
      </c>
      <c r="D15" s="6">
        <v>146.62280000000001</v>
      </c>
    </row>
    <row r="16" spans="1:4" x14ac:dyDescent="0.3">
      <c r="A16" s="11">
        <v>44761</v>
      </c>
      <c r="B16" s="12">
        <v>1</v>
      </c>
      <c r="C16" s="12" t="s">
        <v>16</v>
      </c>
      <c r="D16" s="6">
        <v>150.54079999999999</v>
      </c>
    </row>
    <row r="17" spans="1:4" x14ac:dyDescent="0.3">
      <c r="A17" s="11">
        <v>44762</v>
      </c>
      <c r="B17" s="12">
        <v>1</v>
      </c>
      <c r="C17" s="12" t="s">
        <v>16</v>
      </c>
      <c r="D17" s="6">
        <v>152.5746</v>
      </c>
    </row>
    <row r="18" spans="1:4" x14ac:dyDescent="0.3">
      <c r="A18" s="11">
        <v>44763</v>
      </c>
      <c r="B18" s="12">
        <v>1</v>
      </c>
      <c r="C18" s="12" t="s">
        <v>16</v>
      </c>
      <c r="D18" s="6">
        <v>154.8776</v>
      </c>
    </row>
    <row r="19" spans="1:4" x14ac:dyDescent="0.3">
      <c r="A19" s="11">
        <v>44764</v>
      </c>
      <c r="B19" s="12">
        <v>1</v>
      </c>
      <c r="C19" s="12" t="s">
        <v>16</v>
      </c>
      <c r="D19" s="6">
        <v>153.62139999999999</v>
      </c>
    </row>
    <row r="20" spans="1:4" x14ac:dyDescent="0.3">
      <c r="A20" s="11">
        <v>44767</v>
      </c>
      <c r="B20" s="12">
        <v>1</v>
      </c>
      <c r="C20" s="12" t="s">
        <v>16</v>
      </c>
      <c r="D20" s="6">
        <v>152.48490000000001</v>
      </c>
    </row>
    <row r="21" spans="1:4" x14ac:dyDescent="0.3">
      <c r="A21" s="11">
        <v>44768</v>
      </c>
      <c r="B21" s="12">
        <v>1</v>
      </c>
      <c r="C21" s="12" t="s">
        <v>16</v>
      </c>
      <c r="D21" s="6">
        <v>151.13900000000001</v>
      </c>
    </row>
    <row r="22" spans="1:4" x14ac:dyDescent="0.3">
      <c r="A22" s="11">
        <v>44769</v>
      </c>
      <c r="B22" s="12">
        <v>1</v>
      </c>
      <c r="C22" s="12" t="s">
        <v>16</v>
      </c>
      <c r="D22" s="6">
        <v>156.31319999999999</v>
      </c>
    </row>
    <row r="23" spans="1:4" x14ac:dyDescent="0.3">
      <c r="A23" s="11">
        <v>44770</v>
      </c>
      <c r="B23" s="12">
        <v>1</v>
      </c>
      <c r="C23" s="12" t="s">
        <v>16</v>
      </c>
      <c r="D23" s="6">
        <v>156.8715</v>
      </c>
    </row>
    <row r="24" spans="1:4" x14ac:dyDescent="0.3">
      <c r="A24" s="11">
        <v>44771</v>
      </c>
      <c r="B24" s="12">
        <v>1</v>
      </c>
      <c r="C24" s="12" t="s">
        <v>16</v>
      </c>
      <c r="D24" s="6">
        <v>162.01580000000001</v>
      </c>
    </row>
    <row r="25" spans="1:4" x14ac:dyDescent="0.3">
      <c r="A25" s="11">
        <v>44774</v>
      </c>
      <c r="B25" s="12">
        <v>1</v>
      </c>
      <c r="C25" s="12" t="s">
        <v>16</v>
      </c>
      <c r="D25" s="6">
        <v>161.0188</v>
      </c>
    </row>
    <row r="26" spans="1:4" x14ac:dyDescent="0.3">
      <c r="A26" s="11">
        <v>44775</v>
      </c>
      <c r="B26" s="12">
        <v>1</v>
      </c>
      <c r="C26" s="12" t="s">
        <v>16</v>
      </c>
      <c r="D26" s="6">
        <v>159.52340000000001</v>
      </c>
    </row>
    <row r="27" spans="1:4" x14ac:dyDescent="0.3">
      <c r="A27" s="11">
        <v>44776</v>
      </c>
      <c r="B27" s="12">
        <v>1</v>
      </c>
      <c r="C27" s="12" t="s">
        <v>16</v>
      </c>
      <c r="D27" s="6">
        <v>165.62479999999999</v>
      </c>
    </row>
    <row r="28" spans="1:4" x14ac:dyDescent="0.3">
      <c r="A28" s="11">
        <v>44777</v>
      </c>
      <c r="B28" s="12">
        <v>1</v>
      </c>
      <c r="C28" s="12" t="s">
        <v>16</v>
      </c>
      <c r="D28" s="6">
        <v>165.3058</v>
      </c>
    </row>
    <row r="29" spans="1:4" x14ac:dyDescent="0.3">
      <c r="A29" s="11">
        <v>44778</v>
      </c>
      <c r="B29" s="12">
        <v>1</v>
      </c>
      <c r="C29" s="12" t="s">
        <v>16</v>
      </c>
      <c r="D29" s="6">
        <v>165.0762</v>
      </c>
    </row>
    <row r="30" spans="1:4" x14ac:dyDescent="0.3">
      <c r="A30" s="11">
        <v>44781</v>
      </c>
      <c r="B30" s="12">
        <v>1</v>
      </c>
      <c r="C30" s="12" t="s">
        <v>16</v>
      </c>
      <c r="D30" s="6">
        <v>164.59700000000001</v>
      </c>
    </row>
    <row r="31" spans="1:4" x14ac:dyDescent="0.3">
      <c r="A31" s="11">
        <v>44782</v>
      </c>
      <c r="B31" s="12">
        <v>1</v>
      </c>
      <c r="C31" s="12" t="s">
        <v>16</v>
      </c>
      <c r="D31" s="6">
        <v>164.64689999999999</v>
      </c>
    </row>
    <row r="32" spans="1:4" x14ac:dyDescent="0.3">
      <c r="A32" s="11">
        <v>44783</v>
      </c>
      <c r="B32" s="12">
        <v>1</v>
      </c>
      <c r="C32" s="12" t="s">
        <v>16</v>
      </c>
      <c r="D32" s="6">
        <v>168.9597</v>
      </c>
    </row>
    <row r="33" spans="1:4" x14ac:dyDescent="0.3">
      <c r="A33" s="11">
        <v>44784</v>
      </c>
      <c r="B33" s="12">
        <v>1</v>
      </c>
      <c r="C33" s="12" t="s">
        <v>16</v>
      </c>
      <c r="D33" s="6">
        <v>168.21100000000001</v>
      </c>
    </row>
    <row r="34" spans="1:4" x14ac:dyDescent="0.3">
      <c r="A34" s="11">
        <v>44785</v>
      </c>
      <c r="B34" s="12">
        <v>1</v>
      </c>
      <c r="C34" s="12" t="s">
        <v>16</v>
      </c>
      <c r="D34" s="6">
        <v>171.815</v>
      </c>
    </row>
    <row r="35" spans="1:4" x14ac:dyDescent="0.3">
      <c r="A35" s="11">
        <v>44788</v>
      </c>
      <c r="B35" s="12">
        <v>1</v>
      </c>
      <c r="C35" s="12" t="s">
        <v>16</v>
      </c>
      <c r="D35" s="6">
        <v>172.9032</v>
      </c>
    </row>
    <row r="36" spans="1:4" x14ac:dyDescent="0.3">
      <c r="A36" s="11">
        <v>44789</v>
      </c>
      <c r="B36" s="12">
        <v>1</v>
      </c>
      <c r="C36" s="12" t="s">
        <v>16</v>
      </c>
      <c r="D36" s="6">
        <v>172.74340000000001</v>
      </c>
    </row>
    <row r="37" spans="1:4" x14ac:dyDescent="0.3">
      <c r="A37" s="11">
        <v>44790</v>
      </c>
      <c r="B37" s="12">
        <v>1</v>
      </c>
      <c r="C37" s="12" t="s">
        <v>16</v>
      </c>
      <c r="D37" s="6">
        <v>174.26089999999999</v>
      </c>
    </row>
    <row r="38" spans="1:4" x14ac:dyDescent="0.3">
      <c r="A38" s="11">
        <v>44791</v>
      </c>
      <c r="B38" s="12">
        <v>1</v>
      </c>
      <c r="C38" s="12" t="s">
        <v>16</v>
      </c>
      <c r="D38" s="6">
        <v>173.86160000000001</v>
      </c>
    </row>
    <row r="39" spans="1:4" x14ac:dyDescent="0.3">
      <c r="A39" s="11">
        <v>44792</v>
      </c>
      <c r="B39" s="12">
        <v>1</v>
      </c>
      <c r="C39" s="12" t="s">
        <v>16</v>
      </c>
      <c r="D39" s="6">
        <v>171.23589999999999</v>
      </c>
    </row>
    <row r="40" spans="1:4" x14ac:dyDescent="0.3">
      <c r="A40" s="11">
        <v>44795</v>
      </c>
      <c r="B40" s="12">
        <v>1</v>
      </c>
      <c r="C40" s="12" t="s">
        <v>16</v>
      </c>
      <c r="D40" s="6">
        <v>167.29249999999999</v>
      </c>
    </row>
    <row r="41" spans="1:4" x14ac:dyDescent="0.3">
      <c r="A41" s="11">
        <v>44796</v>
      </c>
      <c r="B41" s="12">
        <v>1</v>
      </c>
      <c r="C41" s="12" t="s">
        <v>16</v>
      </c>
      <c r="D41" s="6">
        <v>166.953</v>
      </c>
    </row>
    <row r="42" spans="1:4" x14ac:dyDescent="0.3">
      <c r="A42" s="11">
        <v>44797</v>
      </c>
      <c r="B42" s="12">
        <v>1</v>
      </c>
      <c r="C42" s="12" t="s">
        <v>16</v>
      </c>
      <c r="D42" s="6">
        <v>167.2525</v>
      </c>
    </row>
    <row r="43" spans="1:4" x14ac:dyDescent="0.3">
      <c r="A43" s="11">
        <v>44798</v>
      </c>
      <c r="B43" s="12">
        <v>1</v>
      </c>
      <c r="C43" s="12" t="s">
        <v>16</v>
      </c>
      <c r="D43" s="6">
        <v>169.7484</v>
      </c>
    </row>
    <row r="44" spans="1:4" x14ac:dyDescent="0.3">
      <c r="A44" s="11">
        <v>44799</v>
      </c>
      <c r="B44" s="12">
        <v>1</v>
      </c>
      <c r="C44" s="12" t="s">
        <v>16</v>
      </c>
      <c r="D44" s="6">
        <v>163.34899999999999</v>
      </c>
    </row>
    <row r="45" spans="1:4" x14ac:dyDescent="0.3">
      <c r="A45" s="11">
        <v>44802</v>
      </c>
      <c r="B45" s="12">
        <v>1</v>
      </c>
      <c r="C45" s="12" t="s">
        <v>16</v>
      </c>
      <c r="D45" s="6">
        <v>161.11269999999999</v>
      </c>
    </row>
    <row r="46" spans="1:4" x14ac:dyDescent="0.3">
      <c r="A46" s="11">
        <v>44803</v>
      </c>
      <c r="B46" s="12">
        <v>1</v>
      </c>
      <c r="C46" s="12" t="s">
        <v>16</v>
      </c>
      <c r="D46" s="6">
        <v>158.64680000000001</v>
      </c>
    </row>
    <row r="47" spans="1:4" x14ac:dyDescent="0.3">
      <c r="A47" s="11">
        <v>44804</v>
      </c>
      <c r="B47" s="12">
        <v>1</v>
      </c>
      <c r="C47" s="12" t="s">
        <v>16</v>
      </c>
      <c r="D47" s="6">
        <v>156.95959999999999</v>
      </c>
    </row>
    <row r="48" spans="1:4" x14ac:dyDescent="0.3">
      <c r="A48" s="11">
        <v>44805</v>
      </c>
      <c r="B48" s="12">
        <v>1</v>
      </c>
      <c r="C48" s="12" t="s">
        <v>16</v>
      </c>
      <c r="D48" s="6">
        <v>157.69839999999999</v>
      </c>
    </row>
    <row r="49" spans="1:4" x14ac:dyDescent="0.3">
      <c r="A49" s="11">
        <v>44806</v>
      </c>
      <c r="B49" s="12">
        <v>1</v>
      </c>
      <c r="C49" s="12" t="s">
        <v>16</v>
      </c>
      <c r="D49" s="6">
        <v>155.55199999999999</v>
      </c>
    </row>
    <row r="50" spans="1:4" x14ac:dyDescent="0.3">
      <c r="A50" s="11">
        <v>44810</v>
      </c>
      <c r="B50" s="12">
        <v>1</v>
      </c>
      <c r="C50" s="12" t="s">
        <v>16</v>
      </c>
      <c r="D50" s="6">
        <v>154.2741</v>
      </c>
    </row>
    <row r="51" spans="1:4" x14ac:dyDescent="0.3">
      <c r="A51" s="11">
        <v>44811</v>
      </c>
      <c r="B51" s="12">
        <v>1</v>
      </c>
      <c r="C51" s="12" t="s">
        <v>16</v>
      </c>
      <c r="D51" s="6">
        <v>155.70169999999999</v>
      </c>
    </row>
    <row r="52" spans="1:4" x14ac:dyDescent="0.3">
      <c r="A52" s="11">
        <v>44812</v>
      </c>
      <c r="B52" s="12">
        <v>1</v>
      </c>
      <c r="C52" s="12" t="s">
        <v>16</v>
      </c>
      <c r="D52" s="6">
        <v>154.20419999999999</v>
      </c>
    </row>
    <row r="53" spans="1:4" x14ac:dyDescent="0.3">
      <c r="A53" s="11">
        <v>44813</v>
      </c>
      <c r="B53" s="12">
        <v>1</v>
      </c>
      <c r="C53" s="12" t="s">
        <v>16</v>
      </c>
      <c r="D53" s="6">
        <v>157.10939999999999</v>
      </c>
    </row>
    <row r="54" spans="1:4" x14ac:dyDescent="0.3">
      <c r="A54" s="11">
        <v>44816</v>
      </c>
      <c r="B54" s="12">
        <v>1</v>
      </c>
      <c r="C54" s="12" t="s">
        <v>16</v>
      </c>
      <c r="D54" s="6">
        <v>163.1593</v>
      </c>
    </row>
    <row r="55" spans="1:4" x14ac:dyDescent="0.3">
      <c r="A55" s="11">
        <v>44817</v>
      </c>
      <c r="B55" s="12">
        <v>1</v>
      </c>
      <c r="C55" s="12" t="s">
        <v>16</v>
      </c>
      <c r="D55" s="6">
        <v>153.58519999999999</v>
      </c>
    </row>
    <row r="56" spans="1:4" x14ac:dyDescent="0.3">
      <c r="A56" s="11">
        <v>44818</v>
      </c>
      <c r="B56" s="12">
        <v>1</v>
      </c>
      <c r="C56" s="12" t="s">
        <v>16</v>
      </c>
      <c r="D56" s="6">
        <v>155.05279999999999</v>
      </c>
    </row>
    <row r="57" spans="1:4" x14ac:dyDescent="0.3">
      <c r="A57" s="11">
        <v>44819</v>
      </c>
      <c r="B57" s="12">
        <v>1</v>
      </c>
      <c r="C57" s="12" t="s">
        <v>16</v>
      </c>
      <c r="D57" s="6">
        <v>152.11760000000001</v>
      </c>
    </row>
    <row r="58" spans="1:4" x14ac:dyDescent="0.3">
      <c r="A58" s="11">
        <v>44820</v>
      </c>
      <c r="B58" s="12">
        <v>1</v>
      </c>
      <c r="C58" s="12" t="s">
        <v>16</v>
      </c>
      <c r="D58" s="6">
        <v>150.4504</v>
      </c>
    </row>
    <row r="59" spans="1:4" x14ac:dyDescent="0.3">
      <c r="A59" s="11">
        <v>44823</v>
      </c>
      <c r="B59" s="12">
        <v>1</v>
      </c>
      <c r="C59" s="12" t="s">
        <v>16</v>
      </c>
      <c r="D59" s="6">
        <v>154.2242</v>
      </c>
    </row>
    <row r="60" spans="1:4" x14ac:dyDescent="0.3">
      <c r="A60" s="11">
        <v>44824</v>
      </c>
      <c r="B60" s="12">
        <v>1</v>
      </c>
      <c r="C60" s="12" t="s">
        <v>16</v>
      </c>
      <c r="D60" s="6">
        <v>156.64019999999999</v>
      </c>
    </row>
    <row r="61" spans="1:4" x14ac:dyDescent="0.3">
      <c r="A61" s="11">
        <v>44825</v>
      </c>
      <c r="B61" s="12">
        <v>1</v>
      </c>
      <c r="C61" s="12" t="s">
        <v>16</v>
      </c>
      <c r="D61" s="6">
        <v>153.46539999999999</v>
      </c>
    </row>
    <row r="62" spans="1:4" x14ac:dyDescent="0.3">
      <c r="A62" s="11">
        <v>44826</v>
      </c>
      <c r="B62" s="12">
        <v>1</v>
      </c>
      <c r="C62" s="12" t="s">
        <v>16</v>
      </c>
      <c r="D62" s="6">
        <v>152.48699999999999</v>
      </c>
    </row>
    <row r="63" spans="1:4" x14ac:dyDescent="0.3">
      <c r="A63" s="11">
        <v>44827</v>
      </c>
      <c r="B63" s="12">
        <v>1</v>
      </c>
      <c r="C63" s="12" t="s">
        <v>16</v>
      </c>
      <c r="D63" s="6">
        <v>150.18090000000001</v>
      </c>
    </row>
    <row r="64" spans="1:4" x14ac:dyDescent="0.3">
      <c r="A64" s="11">
        <v>44830</v>
      </c>
      <c r="B64" s="12">
        <v>1</v>
      </c>
      <c r="C64" s="12" t="s">
        <v>16</v>
      </c>
      <c r="D64" s="6">
        <v>150.52029999999999</v>
      </c>
    </row>
    <row r="65" spans="1:4" x14ac:dyDescent="0.3">
      <c r="A65" s="11">
        <v>44831</v>
      </c>
      <c r="B65" s="12">
        <v>1</v>
      </c>
      <c r="C65" s="12" t="s">
        <v>16</v>
      </c>
      <c r="D65" s="6">
        <v>151.5087</v>
      </c>
    </row>
    <row r="66" spans="1:4" x14ac:dyDescent="0.3">
      <c r="A66" s="11">
        <v>44832</v>
      </c>
      <c r="B66" s="12">
        <v>1</v>
      </c>
      <c r="C66" s="12" t="s">
        <v>16</v>
      </c>
      <c r="D66" s="6">
        <v>149.59180000000001</v>
      </c>
    </row>
    <row r="67" spans="1:4" x14ac:dyDescent="0.3">
      <c r="A67" s="11">
        <v>44833</v>
      </c>
      <c r="B67" s="12">
        <v>1</v>
      </c>
      <c r="C67" s="12" t="s">
        <v>16</v>
      </c>
      <c r="D67" s="6">
        <v>142.244</v>
      </c>
    </row>
    <row r="68" spans="1:4" x14ac:dyDescent="0.3">
      <c r="A68" s="11">
        <v>44834</v>
      </c>
      <c r="B68" s="12">
        <v>1</v>
      </c>
      <c r="C68" s="12" t="s">
        <v>16</v>
      </c>
      <c r="D68" s="6">
        <v>137.97110000000001</v>
      </c>
    </row>
    <row r="69" spans="1:4" x14ac:dyDescent="0.3">
      <c r="A69" s="11">
        <v>44837</v>
      </c>
      <c r="B69" s="12">
        <v>1</v>
      </c>
      <c r="C69" s="12" t="s">
        <v>16</v>
      </c>
      <c r="D69" s="6">
        <v>142.2141</v>
      </c>
    </row>
    <row r="70" spans="1:4" x14ac:dyDescent="0.3">
      <c r="A70" s="11">
        <v>44838</v>
      </c>
      <c r="B70" s="12">
        <v>1</v>
      </c>
      <c r="C70" s="12" t="s">
        <v>16</v>
      </c>
      <c r="D70" s="6">
        <v>145.858</v>
      </c>
    </row>
    <row r="71" spans="1:4" x14ac:dyDescent="0.3">
      <c r="A71" s="11">
        <v>44839</v>
      </c>
      <c r="B71" s="12">
        <v>1</v>
      </c>
      <c r="C71" s="12" t="s">
        <v>16</v>
      </c>
      <c r="D71" s="6">
        <v>146.1575</v>
      </c>
    </row>
    <row r="72" spans="1:4" x14ac:dyDescent="0.3">
      <c r="A72" s="11">
        <v>44840</v>
      </c>
      <c r="B72" s="12">
        <v>1</v>
      </c>
      <c r="C72" s="12" t="s">
        <v>16</v>
      </c>
      <c r="D72" s="6">
        <v>145.1891</v>
      </c>
    </row>
    <row r="73" spans="1:4" x14ac:dyDescent="0.3">
      <c r="A73" s="11">
        <v>44841</v>
      </c>
      <c r="B73" s="12">
        <v>1</v>
      </c>
      <c r="C73" s="12" t="s">
        <v>16</v>
      </c>
      <c r="D73" s="6">
        <v>139.858</v>
      </c>
    </row>
    <row r="74" spans="1:4" x14ac:dyDescent="0.3">
      <c r="A74" s="11">
        <v>44844</v>
      </c>
      <c r="B74" s="12">
        <v>1</v>
      </c>
      <c r="C74" s="12" t="s">
        <v>16</v>
      </c>
      <c r="D74" s="6">
        <v>140.1874</v>
      </c>
    </row>
    <row r="75" spans="1:4" x14ac:dyDescent="0.3">
      <c r="A75" s="11">
        <v>44845</v>
      </c>
      <c r="B75" s="12">
        <v>1</v>
      </c>
      <c r="C75" s="12" t="s">
        <v>16</v>
      </c>
      <c r="D75" s="6">
        <v>138.74979999999999</v>
      </c>
    </row>
    <row r="76" spans="1:4" x14ac:dyDescent="0.3">
      <c r="A76" s="11">
        <v>44846</v>
      </c>
      <c r="B76" s="12">
        <v>1</v>
      </c>
      <c r="C76" s="12" t="s">
        <v>16</v>
      </c>
      <c r="D76" s="6">
        <v>138.11089999999999</v>
      </c>
    </row>
    <row r="77" spans="1:4" x14ac:dyDescent="0.3">
      <c r="A77" s="11">
        <v>44847</v>
      </c>
      <c r="B77" s="12">
        <v>1</v>
      </c>
      <c r="C77" s="12" t="s">
        <v>16</v>
      </c>
      <c r="D77" s="6">
        <v>142.75319999999999</v>
      </c>
    </row>
    <row r="78" spans="1:4" x14ac:dyDescent="0.3">
      <c r="A78" s="11">
        <v>44848</v>
      </c>
      <c r="B78" s="12">
        <v>1</v>
      </c>
      <c r="C78" s="12" t="s">
        <v>16</v>
      </c>
      <c r="D78" s="6">
        <v>138.1508</v>
      </c>
    </row>
    <row r="79" spans="1:4" x14ac:dyDescent="0.3">
      <c r="A79" s="11">
        <v>44851</v>
      </c>
      <c r="B79" s="12">
        <v>1</v>
      </c>
      <c r="C79" s="12" t="s">
        <v>16</v>
      </c>
      <c r="D79" s="6">
        <v>142.17420000000001</v>
      </c>
    </row>
    <row r="80" spans="1:4" x14ac:dyDescent="0.3">
      <c r="A80" s="11">
        <v>44852</v>
      </c>
      <c r="B80" s="12">
        <v>1</v>
      </c>
      <c r="C80" s="12" t="s">
        <v>16</v>
      </c>
      <c r="D80" s="6">
        <v>143.5119</v>
      </c>
    </row>
    <row r="81" spans="1:4" x14ac:dyDescent="0.3">
      <c r="A81" s="11">
        <v>44853</v>
      </c>
      <c r="B81" s="12">
        <v>1</v>
      </c>
      <c r="C81" s="12" t="s">
        <v>16</v>
      </c>
      <c r="D81" s="6">
        <v>143.6217</v>
      </c>
    </row>
    <row r="82" spans="1:4" x14ac:dyDescent="0.3">
      <c r="A82" s="11">
        <v>44854</v>
      </c>
      <c r="B82" s="12">
        <v>1</v>
      </c>
      <c r="C82" s="12" t="s">
        <v>16</v>
      </c>
      <c r="D82" s="6">
        <v>143.1525</v>
      </c>
    </row>
    <row r="83" spans="1:4" x14ac:dyDescent="0.3">
      <c r="A83" s="11">
        <v>44855</v>
      </c>
      <c r="B83" s="12">
        <v>1</v>
      </c>
      <c r="C83" s="12" t="s">
        <v>16</v>
      </c>
      <c r="D83" s="6">
        <v>147.02610000000001</v>
      </c>
    </row>
    <row r="84" spans="1:4" x14ac:dyDescent="0.3">
      <c r="A84" s="11">
        <v>44858</v>
      </c>
      <c r="B84" s="12">
        <v>1</v>
      </c>
      <c r="C84" s="12" t="s">
        <v>16</v>
      </c>
      <c r="D84" s="6">
        <v>149.20249999999999</v>
      </c>
    </row>
    <row r="85" spans="1:4" x14ac:dyDescent="0.3">
      <c r="A85" s="11">
        <v>44859</v>
      </c>
      <c r="B85" s="12">
        <v>1</v>
      </c>
      <c r="C85" s="12" t="s">
        <v>16</v>
      </c>
      <c r="D85" s="6">
        <v>152.08770000000001</v>
      </c>
    </row>
    <row r="86" spans="1:4" x14ac:dyDescent="0.3">
      <c r="A86" s="11">
        <v>44860</v>
      </c>
      <c r="B86" s="12">
        <v>1</v>
      </c>
      <c r="C86" s="12" t="s">
        <v>16</v>
      </c>
      <c r="D86" s="6">
        <v>149.1027</v>
      </c>
    </row>
    <row r="87" spans="1:4" x14ac:dyDescent="0.3">
      <c r="A87" s="11">
        <v>44861</v>
      </c>
      <c r="B87" s="12">
        <v>1</v>
      </c>
      <c r="C87" s="12" t="s">
        <v>16</v>
      </c>
      <c r="D87" s="6">
        <v>144.56020000000001</v>
      </c>
    </row>
    <row r="88" spans="1:4" x14ac:dyDescent="0.3">
      <c r="A88" s="11">
        <v>44862</v>
      </c>
      <c r="B88" s="12">
        <v>1</v>
      </c>
      <c r="C88" s="12" t="s">
        <v>16</v>
      </c>
      <c r="D88" s="6">
        <v>155.4821</v>
      </c>
    </row>
    <row r="89" spans="1:4" x14ac:dyDescent="0.3">
      <c r="A89" s="11">
        <v>44865</v>
      </c>
      <c r="B89" s="12">
        <v>1</v>
      </c>
      <c r="C89" s="12" t="s">
        <v>16</v>
      </c>
      <c r="D89" s="6">
        <v>153.08600000000001</v>
      </c>
    </row>
    <row r="90" spans="1:4" x14ac:dyDescent="0.3">
      <c r="A90" s="11">
        <v>44866</v>
      </c>
      <c r="B90" s="12">
        <v>1</v>
      </c>
      <c r="C90" s="12" t="s">
        <v>16</v>
      </c>
      <c r="D90" s="6">
        <v>150.40049999999999</v>
      </c>
    </row>
    <row r="91" spans="1:4" x14ac:dyDescent="0.3">
      <c r="A91" s="11">
        <v>44867</v>
      </c>
      <c r="B91" s="12">
        <v>1</v>
      </c>
      <c r="C91" s="12" t="s">
        <v>16</v>
      </c>
      <c r="D91" s="6">
        <v>144.78980000000001</v>
      </c>
    </row>
    <row r="92" spans="1:4" x14ac:dyDescent="0.3">
      <c r="A92" s="11">
        <v>44868</v>
      </c>
      <c r="B92" s="12">
        <v>1</v>
      </c>
      <c r="C92" s="12" t="s">
        <v>16</v>
      </c>
      <c r="D92" s="6">
        <v>138.65</v>
      </c>
    </row>
    <row r="93" spans="1:4" x14ac:dyDescent="0.3">
      <c r="A93" s="11">
        <v>44869</v>
      </c>
      <c r="B93" s="12">
        <v>1</v>
      </c>
      <c r="C93" s="12" t="s">
        <v>16</v>
      </c>
      <c r="D93" s="6">
        <v>138.38</v>
      </c>
    </row>
    <row r="94" spans="1:4" x14ac:dyDescent="0.3">
      <c r="A94" s="11">
        <v>44872</v>
      </c>
      <c r="B94" s="12">
        <v>1</v>
      </c>
      <c r="C94" s="12" t="s">
        <v>16</v>
      </c>
      <c r="D94" s="6">
        <v>138.91999999999999</v>
      </c>
    </row>
    <row r="95" spans="1:4" x14ac:dyDescent="0.3">
      <c r="A95" s="11">
        <v>44873</v>
      </c>
      <c r="B95" s="12">
        <v>1</v>
      </c>
      <c r="C95" s="12" t="s">
        <v>16</v>
      </c>
      <c r="D95" s="6">
        <v>139.5</v>
      </c>
    </row>
    <row r="96" spans="1:4" x14ac:dyDescent="0.3">
      <c r="A96" s="11">
        <v>44874</v>
      </c>
      <c r="B96" s="12">
        <v>1</v>
      </c>
      <c r="C96" s="12" t="s">
        <v>16</v>
      </c>
      <c r="D96" s="6">
        <v>134.87</v>
      </c>
    </row>
    <row r="97" spans="1:4" x14ac:dyDescent="0.3">
      <c r="A97" s="11">
        <v>44875</v>
      </c>
      <c r="B97" s="12">
        <v>1</v>
      </c>
      <c r="C97" s="12" t="s">
        <v>16</v>
      </c>
      <c r="D97" s="6">
        <v>146.87</v>
      </c>
    </row>
    <row r="98" spans="1:4" x14ac:dyDescent="0.3">
      <c r="A98" s="11">
        <v>44876</v>
      </c>
      <c r="B98" s="12">
        <v>1</v>
      </c>
      <c r="C98" s="12" t="s">
        <v>16</v>
      </c>
      <c r="D98" s="6">
        <v>149.69999999999999</v>
      </c>
    </row>
    <row r="99" spans="1:4" x14ac:dyDescent="0.3">
      <c r="A99" s="11">
        <v>44879</v>
      </c>
      <c r="B99" s="12">
        <v>1</v>
      </c>
      <c r="C99" s="12" t="s">
        <v>16</v>
      </c>
      <c r="D99" s="6">
        <v>148.28</v>
      </c>
    </row>
    <row r="100" spans="1:4" x14ac:dyDescent="0.3">
      <c r="A100" s="11">
        <v>44880</v>
      </c>
      <c r="B100" s="12">
        <v>1</v>
      </c>
      <c r="C100" s="12" t="s">
        <v>16</v>
      </c>
      <c r="D100" s="6">
        <v>150.04</v>
      </c>
    </row>
    <row r="101" spans="1:4" x14ac:dyDescent="0.3">
      <c r="A101" s="11">
        <v>44881</v>
      </c>
      <c r="B101" s="12">
        <v>1</v>
      </c>
      <c r="C101" s="12" t="s">
        <v>16</v>
      </c>
      <c r="D101" s="6">
        <v>148.79</v>
      </c>
    </row>
    <row r="102" spans="1:4" x14ac:dyDescent="0.3">
      <c r="A102" s="11">
        <v>44740</v>
      </c>
      <c r="B102" s="5">
        <f>2</f>
        <v>2</v>
      </c>
      <c r="C102" s="12" t="s">
        <v>17</v>
      </c>
      <c r="D102" s="6">
        <v>100.98522167487685</v>
      </c>
    </row>
    <row r="103" spans="1:4" x14ac:dyDescent="0.3">
      <c r="A103" s="11">
        <v>44741</v>
      </c>
      <c r="B103" s="5">
        <f>2</f>
        <v>2</v>
      </c>
      <c r="C103" s="12" t="s">
        <v>17</v>
      </c>
      <c r="D103" s="6">
        <v>101.21584526173793</v>
      </c>
    </row>
    <row r="104" spans="1:4" x14ac:dyDescent="0.3">
      <c r="A104" s="11">
        <v>44742</v>
      </c>
      <c r="B104" s="5">
        <f>2</f>
        <v>2</v>
      </c>
      <c r="C104" s="12" t="s">
        <v>17</v>
      </c>
      <c r="D104" s="6">
        <v>101.56269044102757</v>
      </c>
    </row>
    <row r="105" spans="1:4" x14ac:dyDescent="0.3">
      <c r="A105" s="11">
        <v>44743</v>
      </c>
      <c r="B105" s="5">
        <f>2</f>
        <v>2</v>
      </c>
      <c r="C105" s="12" t="s">
        <v>17</v>
      </c>
      <c r="D105" s="6">
        <v>101.32997758499941</v>
      </c>
    </row>
    <row r="106" spans="1:4" x14ac:dyDescent="0.3">
      <c r="A106" s="11">
        <v>44747</v>
      </c>
      <c r="B106" s="5">
        <f>2</f>
        <v>2</v>
      </c>
      <c r="C106" s="12" t="s">
        <v>17</v>
      </c>
      <c r="D106" s="6">
        <v>101.34622963137106</v>
      </c>
    </row>
    <row r="107" spans="1:4" x14ac:dyDescent="0.3">
      <c r="A107" s="11">
        <v>44748</v>
      </c>
      <c r="B107" s="5">
        <f>2</f>
        <v>2</v>
      </c>
      <c r="C107" s="12" t="s">
        <v>17</v>
      </c>
      <c r="D107" s="6">
        <v>101.54899803770071</v>
      </c>
    </row>
    <row r="108" spans="1:4" x14ac:dyDescent="0.3">
      <c r="A108" s="11">
        <v>44749</v>
      </c>
      <c r="B108" s="5">
        <f>2</f>
        <v>2</v>
      </c>
      <c r="C108" s="12" t="s">
        <v>17</v>
      </c>
      <c r="D108" s="6">
        <v>101.82172237271982</v>
      </c>
    </row>
    <row r="109" spans="1:4" x14ac:dyDescent="0.3">
      <c r="A109" s="11">
        <v>44750</v>
      </c>
      <c r="B109" s="5">
        <f>2</f>
        <v>2</v>
      </c>
      <c r="C109" s="12" t="s">
        <v>17</v>
      </c>
      <c r="D109" s="6">
        <v>101.77156276215557</v>
      </c>
    </row>
    <row r="110" spans="1:4" x14ac:dyDescent="0.3">
      <c r="A110" s="11">
        <v>44753</v>
      </c>
      <c r="B110" s="5">
        <f>2</f>
        <v>2</v>
      </c>
      <c r="C110" s="12" t="s">
        <v>17</v>
      </c>
      <c r="D110" s="6">
        <v>102.03850500729074</v>
      </c>
    </row>
    <row r="111" spans="1:4" x14ac:dyDescent="0.3">
      <c r="A111" s="11">
        <v>44754</v>
      </c>
      <c r="B111" s="5">
        <f>2</f>
        <v>2</v>
      </c>
      <c r="C111" s="12" t="s">
        <v>17</v>
      </c>
      <c r="D111" s="6">
        <v>102.28791250301025</v>
      </c>
    </row>
    <row r="112" spans="1:4" x14ac:dyDescent="0.3">
      <c r="A112" s="11">
        <v>44755</v>
      </c>
      <c r="B112" s="5">
        <f>2</f>
        <v>2</v>
      </c>
      <c r="C112" s="12" t="s">
        <v>17</v>
      </c>
      <c r="D112" s="6">
        <v>102.2668388699294</v>
      </c>
    </row>
    <row r="113" spans="1:4" x14ac:dyDescent="0.3">
      <c r="A113" s="11">
        <v>44756</v>
      </c>
      <c r="B113" s="5">
        <f>2</f>
        <v>2</v>
      </c>
      <c r="C113" s="12" t="s">
        <v>17</v>
      </c>
      <c r="D113" s="6">
        <v>102.1875312815573</v>
      </c>
    </row>
    <row r="114" spans="1:4" x14ac:dyDescent="0.3">
      <c r="A114" s="11">
        <v>44757</v>
      </c>
      <c r="B114" s="5">
        <f>2</f>
        <v>2</v>
      </c>
      <c r="C114" s="12" t="s">
        <v>17</v>
      </c>
      <c r="D114" s="6">
        <v>102.42058194082199</v>
      </c>
    </row>
    <row r="115" spans="1:4" x14ac:dyDescent="0.3">
      <c r="A115" s="11">
        <v>44760</v>
      </c>
      <c r="B115" s="5">
        <f>2</f>
        <v>2</v>
      </c>
      <c r="C115" s="12" t="s">
        <v>17</v>
      </c>
      <c r="D115" s="6">
        <v>102.27785571989789</v>
      </c>
    </row>
    <row r="116" spans="1:4" x14ac:dyDescent="0.3">
      <c r="A116" s="11">
        <v>44761</v>
      </c>
      <c r="B116" s="5">
        <f>2</f>
        <v>2</v>
      </c>
      <c r="C116" s="12" t="s">
        <v>17</v>
      </c>
      <c r="D116" s="6">
        <v>102.37672078224614</v>
      </c>
    </row>
    <row r="117" spans="1:4" x14ac:dyDescent="0.3">
      <c r="A117" s="11">
        <v>44762</v>
      </c>
      <c r="B117" s="5">
        <f>2</f>
        <v>2</v>
      </c>
      <c r="C117" s="12" t="s">
        <v>17</v>
      </c>
      <c r="D117" s="6">
        <v>102.64721934185225</v>
      </c>
    </row>
    <row r="118" spans="1:4" x14ac:dyDescent="0.3">
      <c r="A118" s="11">
        <v>44763</v>
      </c>
      <c r="B118" s="5">
        <f>2</f>
        <v>2</v>
      </c>
      <c r="C118" s="12" t="s">
        <v>17</v>
      </c>
      <c r="D118" s="6">
        <v>102.73911743094584</v>
      </c>
    </row>
    <row r="119" spans="1:4" x14ac:dyDescent="0.3">
      <c r="A119" s="11">
        <v>44764</v>
      </c>
      <c r="B119" s="5">
        <f>2</f>
        <v>2</v>
      </c>
      <c r="C119" s="12" t="s">
        <v>17</v>
      </c>
      <c r="D119" s="6">
        <v>102.97027621740865</v>
      </c>
    </row>
    <row r="120" spans="1:4" x14ac:dyDescent="0.3">
      <c r="A120" s="11">
        <v>44767</v>
      </c>
      <c r="B120" s="5">
        <f>2</f>
        <v>2</v>
      </c>
      <c r="C120" s="12" t="s">
        <v>17</v>
      </c>
      <c r="D120" s="6">
        <v>103.02742815925407</v>
      </c>
    </row>
    <row r="121" spans="1:4" x14ac:dyDescent="0.3">
      <c r="A121" s="11">
        <v>44768</v>
      </c>
      <c r="B121" s="5">
        <f>2</f>
        <v>2</v>
      </c>
      <c r="C121" s="12" t="s">
        <v>17</v>
      </c>
      <c r="D121" s="6">
        <v>103.03147820730382</v>
      </c>
    </row>
    <row r="122" spans="1:4" x14ac:dyDescent="0.3">
      <c r="A122" s="11">
        <v>44769</v>
      </c>
      <c r="B122" s="5">
        <f>2</f>
        <v>2</v>
      </c>
      <c r="C122" s="12" t="s">
        <v>17</v>
      </c>
      <c r="D122" s="6">
        <v>102.86771047640291</v>
      </c>
    </row>
    <row r="123" spans="1:4" x14ac:dyDescent="0.3">
      <c r="A123" s="11">
        <v>44770</v>
      </c>
      <c r="B123" s="5">
        <f>2</f>
        <v>2</v>
      </c>
      <c r="C123" s="12" t="s">
        <v>17</v>
      </c>
      <c r="D123" s="6">
        <v>102.84735951129596</v>
      </c>
    </row>
    <row r="124" spans="1:4" x14ac:dyDescent="0.3">
      <c r="A124" s="11">
        <v>44771</v>
      </c>
      <c r="B124" s="5">
        <f>2</f>
        <v>2</v>
      </c>
      <c r="C124" s="12" t="s">
        <v>17</v>
      </c>
      <c r="D124" s="6">
        <v>102.57983323306799</v>
      </c>
    </row>
    <row r="125" spans="1:4" x14ac:dyDescent="0.3">
      <c r="A125" s="11">
        <v>44774</v>
      </c>
      <c r="B125" s="5">
        <f>2</f>
        <v>2</v>
      </c>
      <c r="C125" s="12" t="s">
        <v>17</v>
      </c>
      <c r="D125" s="6">
        <v>102.50438143083218</v>
      </c>
    </row>
    <row r="126" spans="1:4" x14ac:dyDescent="0.3">
      <c r="A126" s="11">
        <v>44775</v>
      </c>
      <c r="B126" s="5">
        <f>2</f>
        <v>2</v>
      </c>
      <c r="C126" s="12" t="s">
        <v>17</v>
      </c>
      <c r="D126" s="6">
        <v>102.69854211678671</v>
      </c>
    </row>
    <row r="127" spans="1:4" x14ac:dyDescent="0.3">
      <c r="A127" s="11">
        <v>44776</v>
      </c>
      <c r="B127" s="5">
        <f>2</f>
        <v>2</v>
      </c>
      <c r="C127" s="12" t="s">
        <v>17</v>
      </c>
      <c r="D127" s="6">
        <v>102.57742806857848</v>
      </c>
    </row>
    <row r="128" spans="1:4" x14ac:dyDescent="0.3">
      <c r="A128" s="11">
        <v>44777</v>
      </c>
      <c r="B128" s="5">
        <f>2</f>
        <v>2</v>
      </c>
      <c r="C128" s="12" t="s">
        <v>17</v>
      </c>
      <c r="D128" s="6">
        <v>102.42281105664243</v>
      </c>
    </row>
    <row r="129" spans="1:4" x14ac:dyDescent="0.3">
      <c r="A129" s="11">
        <v>44778</v>
      </c>
      <c r="B129" s="5">
        <f>2</f>
        <v>2</v>
      </c>
      <c r="C129" s="12" t="s">
        <v>17</v>
      </c>
      <c r="D129" s="6">
        <v>102.38655844053609</v>
      </c>
    </row>
    <row r="130" spans="1:4" x14ac:dyDescent="0.3">
      <c r="A130" s="11">
        <v>44781</v>
      </c>
      <c r="B130" s="5">
        <f>2</f>
        <v>2</v>
      </c>
      <c r="C130" s="12" t="s">
        <v>17</v>
      </c>
      <c r="D130" s="6">
        <v>102.60442815324592</v>
      </c>
    </row>
    <row r="131" spans="1:4" x14ac:dyDescent="0.3">
      <c r="A131" s="11">
        <v>44782</v>
      </c>
      <c r="B131" s="5">
        <f>2</f>
        <v>2</v>
      </c>
      <c r="C131" s="12" t="s">
        <v>17</v>
      </c>
      <c r="D131" s="6">
        <v>102.89711264080206</v>
      </c>
    </row>
    <row r="132" spans="1:4" x14ac:dyDescent="0.3">
      <c r="A132" s="11">
        <v>44783</v>
      </c>
      <c r="B132" s="5">
        <f>2</f>
        <v>2</v>
      </c>
      <c r="C132" s="12" t="s">
        <v>17</v>
      </c>
      <c r="D132" s="6">
        <v>102.43324600238779</v>
      </c>
    </row>
    <row r="133" spans="1:4" x14ac:dyDescent="0.3">
      <c r="A133" s="11">
        <v>44784</v>
      </c>
      <c r="B133" s="5">
        <f>2</f>
        <v>2</v>
      </c>
      <c r="C133" s="12" t="s">
        <v>17</v>
      </c>
      <c r="D133" s="6">
        <v>102.4866400910133</v>
      </c>
    </row>
    <row r="134" spans="1:4" x14ac:dyDescent="0.3">
      <c r="A134" s="11">
        <v>44785</v>
      </c>
      <c r="B134" s="5">
        <f>2</f>
        <v>2</v>
      </c>
      <c r="C134" s="12" t="s">
        <v>17</v>
      </c>
      <c r="D134" s="6">
        <v>102.64632777889791</v>
      </c>
    </row>
    <row r="135" spans="1:4" x14ac:dyDescent="0.3">
      <c r="A135" s="11">
        <v>44788</v>
      </c>
      <c r="B135" s="5">
        <f>2</f>
        <v>2</v>
      </c>
      <c r="C135" s="12" t="s">
        <v>17</v>
      </c>
      <c r="D135" s="6">
        <v>102.44646361380239</v>
      </c>
    </row>
    <row r="136" spans="1:4" x14ac:dyDescent="0.3">
      <c r="A136" s="11">
        <v>44789</v>
      </c>
      <c r="B136" s="5">
        <f>2</f>
        <v>2</v>
      </c>
      <c r="C136" s="12" t="s">
        <v>17</v>
      </c>
      <c r="D136" s="6">
        <v>102.69220607418765</v>
      </c>
    </row>
    <row r="137" spans="1:4" x14ac:dyDescent="0.3">
      <c r="A137" s="11">
        <v>44790</v>
      </c>
      <c r="B137" s="5">
        <f>2</f>
        <v>2</v>
      </c>
      <c r="C137" s="12" t="s">
        <v>17</v>
      </c>
      <c r="D137" s="6">
        <v>102.53964033621982</v>
      </c>
    </row>
    <row r="138" spans="1:4" x14ac:dyDescent="0.3">
      <c r="A138" s="11">
        <v>44791</v>
      </c>
      <c r="B138" s="5">
        <f>2</f>
        <v>2</v>
      </c>
      <c r="C138" s="12" t="s">
        <v>17</v>
      </c>
      <c r="D138" s="6">
        <v>102.5224375928308</v>
      </c>
    </row>
    <row r="139" spans="1:4" x14ac:dyDescent="0.3">
      <c r="A139" s="11">
        <v>44792</v>
      </c>
      <c r="B139" s="5">
        <f>2</f>
        <v>2</v>
      </c>
      <c r="C139" s="12" t="s">
        <v>17</v>
      </c>
      <c r="D139" s="6">
        <v>102.54466590742889</v>
      </c>
    </row>
    <row r="140" spans="1:4" x14ac:dyDescent="0.3">
      <c r="A140" s="11">
        <v>44795</v>
      </c>
      <c r="B140" s="5">
        <f>2</f>
        <v>2</v>
      </c>
      <c r="C140" s="12" t="s">
        <v>17</v>
      </c>
      <c r="D140" s="6">
        <v>102.93260773682745</v>
      </c>
    </row>
    <row r="141" spans="1:4" x14ac:dyDescent="0.3">
      <c r="A141" s="11">
        <v>44796</v>
      </c>
      <c r="B141" s="5">
        <f>2</f>
        <v>2</v>
      </c>
      <c r="C141" s="12" t="s">
        <v>17</v>
      </c>
      <c r="D141" s="6">
        <v>103.2683178831398</v>
      </c>
    </row>
    <row r="142" spans="1:4" x14ac:dyDescent="0.3">
      <c r="A142" s="11">
        <v>44797</v>
      </c>
      <c r="B142" s="5">
        <f>2</f>
        <v>2</v>
      </c>
      <c r="C142" s="12" t="s">
        <v>17</v>
      </c>
      <c r="D142" s="6">
        <v>103.2471246667689</v>
      </c>
    </row>
    <row r="143" spans="1:4" x14ac:dyDescent="0.3">
      <c r="A143" s="11">
        <v>44798</v>
      </c>
      <c r="B143" s="5">
        <f>2</f>
        <v>2</v>
      </c>
      <c r="C143" s="12" t="s">
        <v>17</v>
      </c>
      <c r="D143" s="6">
        <v>103.25871743838806</v>
      </c>
    </row>
    <row r="144" spans="1:4" x14ac:dyDescent="0.3">
      <c r="A144" s="11">
        <v>44799</v>
      </c>
      <c r="B144" s="5">
        <f>2</f>
        <v>2</v>
      </c>
      <c r="C144" s="12" t="s">
        <v>17</v>
      </c>
      <c r="D144" s="6">
        <v>103.16320682902261</v>
      </c>
    </row>
    <row r="145" spans="1:4" x14ac:dyDescent="0.3">
      <c r="A145" s="11">
        <v>44802</v>
      </c>
      <c r="B145" s="5">
        <f>2</f>
        <v>2</v>
      </c>
      <c r="C145" s="12" t="s">
        <v>17</v>
      </c>
      <c r="D145" s="6">
        <v>103.21920839433989</v>
      </c>
    </row>
    <row r="146" spans="1:4" x14ac:dyDescent="0.3">
      <c r="A146" s="11">
        <v>44803</v>
      </c>
      <c r="B146" s="5">
        <f>2</f>
        <v>2</v>
      </c>
      <c r="C146" s="12" t="s">
        <v>17</v>
      </c>
      <c r="D146" s="6">
        <v>103.10743359474176</v>
      </c>
    </row>
    <row r="147" spans="1:4" x14ac:dyDescent="0.3">
      <c r="A147" s="11">
        <v>44804</v>
      </c>
      <c r="B147" s="5">
        <f>2</f>
        <v>2</v>
      </c>
      <c r="C147" s="12" t="s">
        <v>17</v>
      </c>
      <c r="D147" s="6">
        <v>102.72658553445585</v>
      </c>
    </row>
    <row r="148" spans="1:4" x14ac:dyDescent="0.3">
      <c r="A148" s="11">
        <v>44805</v>
      </c>
      <c r="B148" s="5">
        <f>2</f>
        <v>2</v>
      </c>
      <c r="C148" s="12" t="s">
        <v>17</v>
      </c>
      <c r="D148" s="6">
        <v>102.48471054033313</v>
      </c>
    </row>
    <row r="149" spans="1:4" x14ac:dyDescent="0.3">
      <c r="A149" s="11">
        <v>44806</v>
      </c>
      <c r="B149" s="5">
        <f>2</f>
        <v>2</v>
      </c>
      <c r="C149" s="12" t="s">
        <v>17</v>
      </c>
      <c r="D149" s="6">
        <v>102.4856992321178</v>
      </c>
    </row>
    <row r="150" spans="1:4" x14ac:dyDescent="0.3">
      <c r="A150" s="11">
        <v>44810</v>
      </c>
      <c r="B150" s="5">
        <f>2</f>
        <v>2</v>
      </c>
      <c r="C150" s="12" t="s">
        <v>17</v>
      </c>
      <c r="D150" s="6">
        <v>102.17110146835752</v>
      </c>
    </row>
    <row r="151" spans="1:4" x14ac:dyDescent="0.3">
      <c r="A151" s="11">
        <v>44811</v>
      </c>
      <c r="B151" s="5">
        <f>2</f>
        <v>2</v>
      </c>
      <c r="C151" s="12" t="s">
        <v>17</v>
      </c>
      <c r="D151" s="6">
        <v>101.85409407783354</v>
      </c>
    </row>
    <row r="152" spans="1:4" x14ac:dyDescent="0.3">
      <c r="A152" s="11">
        <v>44812</v>
      </c>
      <c r="B152" s="5">
        <f>2</f>
        <v>2</v>
      </c>
      <c r="C152" s="12" t="s">
        <v>17</v>
      </c>
      <c r="D152" s="6">
        <v>101.83495446864873</v>
      </c>
    </row>
    <row r="153" spans="1:4" x14ac:dyDescent="0.3">
      <c r="A153" s="11">
        <v>44813</v>
      </c>
      <c r="B153" s="5">
        <f>2</f>
        <v>2</v>
      </c>
      <c r="C153" s="12" t="s">
        <v>17</v>
      </c>
      <c r="D153" s="6">
        <v>101.90899403727829</v>
      </c>
    </row>
    <row r="154" spans="1:4" x14ac:dyDescent="0.3">
      <c r="A154" s="11">
        <v>44816</v>
      </c>
      <c r="B154" s="5">
        <f>2</f>
        <v>2</v>
      </c>
      <c r="C154" s="12" t="s">
        <v>17</v>
      </c>
      <c r="D154" s="6">
        <v>101.94205627577853</v>
      </c>
    </row>
    <row r="155" spans="1:4" x14ac:dyDescent="0.3">
      <c r="A155" s="11">
        <v>44817</v>
      </c>
      <c r="B155" s="5">
        <f>2</f>
        <v>2</v>
      </c>
      <c r="C155" s="12" t="s">
        <v>17</v>
      </c>
      <c r="D155" s="6">
        <v>101.57729350936724</v>
      </c>
    </row>
    <row r="156" spans="1:4" x14ac:dyDescent="0.3">
      <c r="A156" s="11">
        <v>44818</v>
      </c>
      <c r="B156" s="5">
        <f>2</f>
        <v>2</v>
      </c>
      <c r="C156" s="12" t="s">
        <v>17</v>
      </c>
      <c r="D156" s="6">
        <v>101.52111345161401</v>
      </c>
    </row>
    <row r="157" spans="1:4" x14ac:dyDescent="0.3">
      <c r="A157" s="11">
        <v>44819</v>
      </c>
      <c r="B157" s="5">
        <f>2</f>
        <v>2</v>
      </c>
      <c r="C157" s="12" t="s">
        <v>17</v>
      </c>
      <c r="D157" s="6">
        <v>101.82321259866453</v>
      </c>
    </row>
    <row r="158" spans="1:4" x14ac:dyDescent="0.3">
      <c r="A158" s="11">
        <v>44820</v>
      </c>
      <c r="B158" s="5">
        <f>2</f>
        <v>2</v>
      </c>
      <c r="C158" s="12" t="s">
        <v>17</v>
      </c>
      <c r="D158" s="6">
        <v>101.98294915268171</v>
      </c>
    </row>
    <row r="159" spans="1:4" x14ac:dyDescent="0.3">
      <c r="A159" s="11">
        <v>44823</v>
      </c>
      <c r="B159" s="5">
        <f>2</f>
        <v>2</v>
      </c>
      <c r="C159" s="12" t="s">
        <v>17</v>
      </c>
      <c r="D159" s="6">
        <v>102.01872332481912</v>
      </c>
    </row>
    <row r="160" spans="1:4" x14ac:dyDescent="0.3">
      <c r="A160" s="11">
        <v>44824</v>
      </c>
      <c r="B160" s="5">
        <f>2</f>
        <v>2</v>
      </c>
      <c r="C160" s="12" t="s">
        <v>17</v>
      </c>
      <c r="D160" s="6">
        <v>102.18956832402431</v>
      </c>
    </row>
    <row r="161" spans="1:4" x14ac:dyDescent="0.3">
      <c r="A161" s="11">
        <v>44825</v>
      </c>
      <c r="B161" s="5">
        <f>2</f>
        <v>2</v>
      </c>
      <c r="C161" s="12" t="s">
        <v>17</v>
      </c>
      <c r="D161" s="6">
        <v>102.26304293679456</v>
      </c>
    </row>
    <row r="162" spans="1:4" x14ac:dyDescent="0.3">
      <c r="A162" s="11">
        <v>44826</v>
      </c>
      <c r="B162" s="5">
        <f>2</f>
        <v>2</v>
      </c>
      <c r="C162" s="12" t="s">
        <v>17</v>
      </c>
      <c r="D162" s="6">
        <v>102.43632322246103</v>
      </c>
    </row>
    <row r="163" spans="1:4" x14ac:dyDescent="0.3">
      <c r="A163" s="11">
        <v>44827</v>
      </c>
      <c r="B163" s="5">
        <f>2</f>
        <v>2</v>
      </c>
      <c r="C163" s="12" t="s">
        <v>17</v>
      </c>
      <c r="D163" s="6">
        <v>102.4806343874569</v>
      </c>
    </row>
    <row r="164" spans="1:4" x14ac:dyDescent="0.3">
      <c r="A164" s="11">
        <v>44830</v>
      </c>
      <c r="B164" s="5">
        <f>2</f>
        <v>2</v>
      </c>
      <c r="C164" s="12" t="s">
        <v>17</v>
      </c>
      <c r="D164" s="6">
        <v>102.43455564683345</v>
      </c>
    </row>
    <row r="165" spans="1:4" x14ac:dyDescent="0.3">
      <c r="A165" s="11">
        <v>44831</v>
      </c>
      <c r="B165" s="5">
        <f>2</f>
        <v>2</v>
      </c>
      <c r="C165" s="12" t="s">
        <v>17</v>
      </c>
      <c r="D165" s="6">
        <v>102.46010183682827</v>
      </c>
    </row>
    <row r="166" spans="1:4" x14ac:dyDescent="0.3">
      <c r="A166" s="11">
        <v>44832</v>
      </c>
      <c r="B166" s="5">
        <f>2</f>
        <v>2</v>
      </c>
      <c r="C166" s="12" t="s">
        <v>17</v>
      </c>
      <c r="D166" s="6">
        <v>102.35318008665793</v>
      </c>
    </row>
    <row r="167" spans="1:4" x14ac:dyDescent="0.3">
      <c r="A167" s="11">
        <v>44833</v>
      </c>
      <c r="B167" s="5">
        <f>2</f>
        <v>2</v>
      </c>
      <c r="C167" s="12" t="s">
        <v>17</v>
      </c>
      <c r="D167" s="6">
        <v>102.32217773253481</v>
      </c>
    </row>
    <row r="168" spans="1:4" x14ac:dyDescent="0.3">
      <c r="A168" s="11">
        <v>44834</v>
      </c>
      <c r="B168" s="5">
        <f>2</f>
        <v>2</v>
      </c>
      <c r="C168" s="12" t="s">
        <v>17</v>
      </c>
      <c r="D168" s="6">
        <v>102.27566927410524</v>
      </c>
    </row>
    <row r="169" spans="1:4" x14ac:dyDescent="0.3">
      <c r="A169" s="11">
        <v>44837</v>
      </c>
      <c r="B169" s="5">
        <f>2</f>
        <v>2</v>
      </c>
      <c r="C169" s="12" t="s">
        <v>17</v>
      </c>
      <c r="D169" s="6">
        <v>101.96702111547542</v>
      </c>
    </row>
    <row r="170" spans="1:4" x14ac:dyDescent="0.3">
      <c r="A170" s="11">
        <v>44838</v>
      </c>
      <c r="B170" s="5">
        <f>2</f>
        <v>2</v>
      </c>
      <c r="C170" s="12" t="s">
        <v>17</v>
      </c>
      <c r="D170" s="6">
        <v>102.09129212470154</v>
      </c>
    </row>
    <row r="171" spans="1:4" x14ac:dyDescent="0.3">
      <c r="A171" s="11">
        <v>44839</v>
      </c>
      <c r="B171" s="5">
        <f>2</f>
        <v>2</v>
      </c>
      <c r="C171" s="12" t="s">
        <v>17</v>
      </c>
      <c r="D171" s="6">
        <v>102.54138950500021</v>
      </c>
    </row>
    <row r="172" spans="1:4" x14ac:dyDescent="0.3">
      <c r="A172" s="11">
        <v>44840</v>
      </c>
      <c r="B172" s="5">
        <f>2</f>
        <v>2</v>
      </c>
      <c r="C172" s="12" t="s">
        <v>17</v>
      </c>
      <c r="D172" s="6">
        <v>102.88010306624228</v>
      </c>
    </row>
    <row r="173" spans="1:4" x14ac:dyDescent="0.3">
      <c r="A173" s="11">
        <v>44841</v>
      </c>
      <c r="B173" s="5">
        <f>2</f>
        <v>2</v>
      </c>
      <c r="C173" s="12" t="s">
        <v>17</v>
      </c>
      <c r="D173" s="6">
        <v>102.58640999680816</v>
      </c>
    </row>
    <row r="174" spans="1:4" x14ac:dyDescent="0.3">
      <c r="A174" s="11">
        <v>44844</v>
      </c>
      <c r="B174" s="5">
        <f>2</f>
        <v>2</v>
      </c>
      <c r="C174" s="12" t="s">
        <v>17</v>
      </c>
      <c r="D174" s="6">
        <v>102.23358778467411</v>
      </c>
    </row>
    <row r="175" spans="1:4" x14ac:dyDescent="0.3">
      <c r="A175" s="11">
        <v>44845</v>
      </c>
      <c r="B175" s="5">
        <f>2</f>
        <v>2</v>
      </c>
      <c r="C175" s="12" t="s">
        <v>17</v>
      </c>
      <c r="D175" s="6">
        <v>102.60045606877556</v>
      </c>
    </row>
    <row r="176" spans="1:4" x14ac:dyDescent="0.3">
      <c r="A176" s="11">
        <v>44846</v>
      </c>
      <c r="B176" s="5">
        <f>2</f>
        <v>2</v>
      </c>
      <c r="C176" s="12" t="s">
        <v>17</v>
      </c>
      <c r="D176" s="6">
        <v>102.93137830539882</v>
      </c>
    </row>
    <row r="177" spans="1:4" x14ac:dyDescent="0.3">
      <c r="A177" s="11">
        <v>44847</v>
      </c>
      <c r="B177" s="5">
        <f>2</f>
        <v>2</v>
      </c>
      <c r="C177" s="12" t="s">
        <v>17</v>
      </c>
      <c r="D177" s="6">
        <v>102.70493188128633</v>
      </c>
    </row>
    <row r="178" spans="1:4" x14ac:dyDescent="0.3">
      <c r="A178" s="11">
        <v>44848</v>
      </c>
      <c r="B178" s="5">
        <f>2</f>
        <v>2</v>
      </c>
      <c r="C178" s="12" t="s">
        <v>17</v>
      </c>
      <c r="D178" s="6">
        <v>102.70553963124534</v>
      </c>
    </row>
    <row r="179" spans="1:4" x14ac:dyDescent="0.3">
      <c r="A179" s="11">
        <v>44851</v>
      </c>
      <c r="B179" s="5">
        <f>2</f>
        <v>2</v>
      </c>
      <c r="C179" s="12" t="s">
        <v>17</v>
      </c>
      <c r="D179" s="6">
        <v>103.19994147700235</v>
      </c>
    </row>
    <row r="180" spans="1:4" x14ac:dyDescent="0.3">
      <c r="A180" s="11">
        <v>44852</v>
      </c>
      <c r="B180" s="5">
        <f>2</f>
        <v>2</v>
      </c>
      <c r="C180" s="12" t="s">
        <v>17</v>
      </c>
      <c r="D180" s="6">
        <v>102.8731870362801</v>
      </c>
    </row>
    <row r="181" spans="1:4" x14ac:dyDescent="0.3">
      <c r="A181" s="11">
        <v>44853</v>
      </c>
      <c r="B181" s="5">
        <f>2</f>
        <v>2</v>
      </c>
      <c r="C181" s="12" t="s">
        <v>17</v>
      </c>
      <c r="D181" s="6">
        <v>103.01224734046143</v>
      </c>
    </row>
    <row r="182" spans="1:4" x14ac:dyDescent="0.3">
      <c r="A182" s="11">
        <v>44854</v>
      </c>
      <c r="B182" s="5">
        <f>2</f>
        <v>2</v>
      </c>
      <c r="C182" s="12" t="s">
        <v>17</v>
      </c>
      <c r="D182" s="6">
        <v>103.01328009301501</v>
      </c>
    </row>
    <row r="183" spans="1:4" x14ac:dyDescent="0.3">
      <c r="A183" s="11">
        <v>44855</v>
      </c>
      <c r="B183" s="5">
        <f>2</f>
        <v>2</v>
      </c>
      <c r="C183" s="12" t="s">
        <v>17</v>
      </c>
      <c r="D183" s="6">
        <v>102.93203652100867</v>
      </c>
    </row>
    <row r="184" spans="1:4" x14ac:dyDescent="0.3">
      <c r="A184" s="11">
        <v>44858</v>
      </c>
      <c r="B184" s="5">
        <f>2</f>
        <v>2</v>
      </c>
      <c r="C184" s="12" t="s">
        <v>17</v>
      </c>
      <c r="D184" s="6">
        <v>103.00267090845875</v>
      </c>
    </row>
    <row r="185" spans="1:4" x14ac:dyDescent="0.3">
      <c r="A185" s="11">
        <v>44859</v>
      </c>
      <c r="B185" s="5">
        <f>2</f>
        <v>2</v>
      </c>
      <c r="C185" s="12" t="s">
        <v>17</v>
      </c>
      <c r="D185" s="6">
        <v>103.0035965194819</v>
      </c>
    </row>
    <row r="186" spans="1:4" x14ac:dyDescent="0.3">
      <c r="A186" s="11">
        <v>44860</v>
      </c>
      <c r="B186" s="5">
        <f>2</f>
        <v>2</v>
      </c>
      <c r="C186" s="12" t="s">
        <v>17</v>
      </c>
      <c r="D186" s="6">
        <v>103.22970107824153</v>
      </c>
    </row>
    <row r="187" spans="1:4" x14ac:dyDescent="0.3">
      <c r="A187" s="11">
        <v>44861</v>
      </c>
      <c r="B187" s="5">
        <f>2</f>
        <v>2</v>
      </c>
      <c r="C187" s="12" t="s">
        <v>17</v>
      </c>
      <c r="D187" s="6">
        <v>103.54024412669432</v>
      </c>
    </row>
    <row r="188" spans="1:4" x14ac:dyDescent="0.3">
      <c r="A188" s="11">
        <v>44862</v>
      </c>
      <c r="B188" s="5">
        <f>2</f>
        <v>2</v>
      </c>
      <c r="C188" s="12" t="s">
        <v>17</v>
      </c>
      <c r="D188" s="6">
        <v>103.42371988761008</v>
      </c>
    </row>
    <row r="189" spans="1:4" x14ac:dyDescent="0.3">
      <c r="A189" s="11">
        <v>44865</v>
      </c>
      <c r="B189" s="5">
        <f>2</f>
        <v>2</v>
      </c>
      <c r="C189" s="12" t="s">
        <v>17</v>
      </c>
      <c r="D189" s="6">
        <v>103.57191621498698</v>
      </c>
    </row>
    <row r="190" spans="1:4" x14ac:dyDescent="0.3">
      <c r="A190" s="11">
        <v>44866</v>
      </c>
      <c r="B190" s="5">
        <f>2</f>
        <v>2</v>
      </c>
      <c r="C190" s="12" t="s">
        <v>17</v>
      </c>
      <c r="D190" s="6">
        <v>103.72806222640187</v>
      </c>
    </row>
    <row r="191" spans="1:4" x14ac:dyDescent="0.3">
      <c r="A191" s="11">
        <v>44867</v>
      </c>
      <c r="B191" s="5">
        <f>2</f>
        <v>2</v>
      </c>
      <c r="C191" s="12" t="s">
        <v>17</v>
      </c>
      <c r="D191" s="6">
        <v>103.41477954280899</v>
      </c>
    </row>
    <row r="192" spans="1:4" x14ac:dyDescent="0.3">
      <c r="A192" s="11">
        <v>44868</v>
      </c>
      <c r="B192" s="5">
        <f>2</f>
        <v>2</v>
      </c>
      <c r="C192" s="12" t="s">
        <v>17</v>
      </c>
      <c r="D192" s="6">
        <v>103.21023119076995</v>
      </c>
    </row>
    <row r="193" spans="1:4" x14ac:dyDescent="0.3">
      <c r="A193" s="11">
        <v>44869</v>
      </c>
      <c r="B193" s="5">
        <f>2</f>
        <v>2</v>
      </c>
      <c r="C193" s="12" t="s">
        <v>17</v>
      </c>
      <c r="D193" s="6">
        <v>103.6416773727109</v>
      </c>
    </row>
    <row r="194" spans="1:4" x14ac:dyDescent="0.3">
      <c r="A194" s="11">
        <v>44872</v>
      </c>
      <c r="B194" s="5">
        <f>2</f>
        <v>2</v>
      </c>
      <c r="C194" s="12" t="s">
        <v>17</v>
      </c>
      <c r="D194" s="6">
        <v>103.60522662859728</v>
      </c>
    </row>
    <row r="195" spans="1:4" x14ac:dyDescent="0.3">
      <c r="A195" s="11">
        <v>44873</v>
      </c>
      <c r="B195" s="5">
        <f>2</f>
        <v>2</v>
      </c>
      <c r="C195" s="12" t="s">
        <v>17</v>
      </c>
      <c r="D195" s="6">
        <v>103.66648118868034</v>
      </c>
    </row>
    <row r="196" spans="1:4" x14ac:dyDescent="0.3">
      <c r="A196" s="11">
        <v>44874</v>
      </c>
      <c r="B196" s="5">
        <f>2</f>
        <v>2</v>
      </c>
      <c r="C196" s="12" t="s">
        <v>17</v>
      </c>
      <c r="D196" s="6">
        <v>103.69835718980416</v>
      </c>
    </row>
    <row r="197" spans="1:4" x14ac:dyDescent="0.3">
      <c r="A197" s="11">
        <v>44875</v>
      </c>
      <c r="B197" s="5">
        <f>2</f>
        <v>2</v>
      </c>
      <c r="C197" s="12" t="s">
        <v>17</v>
      </c>
      <c r="D197" s="6">
        <v>103.73204937123695</v>
      </c>
    </row>
    <row r="198" spans="1:4" x14ac:dyDescent="0.3">
      <c r="A198" s="11">
        <v>44876</v>
      </c>
      <c r="B198" s="5">
        <f>2</f>
        <v>2</v>
      </c>
      <c r="C198" s="12" t="s">
        <v>17</v>
      </c>
      <c r="D198" s="6">
        <v>103.75301847185746</v>
      </c>
    </row>
    <row r="199" spans="1:4" x14ac:dyDescent="0.3">
      <c r="A199" s="11">
        <v>44879</v>
      </c>
      <c r="B199" s="5">
        <f>2</f>
        <v>2</v>
      </c>
      <c r="C199" s="12" t="s">
        <v>17</v>
      </c>
      <c r="D199" s="6">
        <v>103.67470343633248</v>
      </c>
    </row>
    <row r="200" spans="1:4" x14ac:dyDescent="0.3">
      <c r="A200" s="11">
        <v>44880</v>
      </c>
      <c r="B200" s="5">
        <f>2</f>
        <v>2</v>
      </c>
      <c r="C200" s="12" t="s">
        <v>17</v>
      </c>
      <c r="D200" s="6">
        <v>103.9000350787468</v>
      </c>
    </row>
    <row r="201" spans="1:4" x14ac:dyDescent="0.3">
      <c r="A201" s="11">
        <v>44881</v>
      </c>
      <c r="B201" s="5">
        <f>2</f>
        <v>2</v>
      </c>
      <c r="C201" s="12" t="s">
        <v>17</v>
      </c>
      <c r="D201" s="6">
        <v>104.05178821507647</v>
      </c>
    </row>
    <row r="202" spans="1:4" x14ac:dyDescent="0.3">
      <c r="A202" s="11">
        <v>44740</v>
      </c>
      <c r="B202" s="5">
        <f>3</f>
        <v>3</v>
      </c>
      <c r="C202" s="12" t="s">
        <v>72</v>
      </c>
      <c r="D202" s="6">
        <v>100.01111111111111</v>
      </c>
    </row>
    <row r="203" spans="1:4" x14ac:dyDescent="0.3">
      <c r="A203" s="11">
        <v>44741</v>
      </c>
      <c r="B203" s="5">
        <f>3</f>
        <v>3</v>
      </c>
      <c r="C203" s="12" t="s">
        <v>72</v>
      </c>
      <c r="D203" s="6">
        <v>100.01149133705849</v>
      </c>
    </row>
    <row r="204" spans="1:4" x14ac:dyDescent="0.3">
      <c r="A204" s="11">
        <v>44742</v>
      </c>
      <c r="B204" s="5">
        <f>3</f>
        <v>3</v>
      </c>
      <c r="C204" s="12" t="s">
        <v>72</v>
      </c>
      <c r="D204" s="6">
        <v>100.01187156156011</v>
      </c>
    </row>
    <row r="205" spans="1:4" x14ac:dyDescent="0.3">
      <c r="A205" s="11">
        <v>44743</v>
      </c>
      <c r="B205" s="5">
        <f>3</f>
        <v>3</v>
      </c>
      <c r="C205" s="12" t="s">
        <v>72</v>
      </c>
      <c r="D205" s="6">
        <v>100.01225178461608</v>
      </c>
    </row>
    <row r="206" spans="1:4" x14ac:dyDescent="0.3">
      <c r="A206" s="11">
        <v>44747</v>
      </c>
      <c r="B206" s="5">
        <f>3</f>
        <v>3</v>
      </c>
      <c r="C206" s="12" t="s">
        <v>72</v>
      </c>
      <c r="D206" s="6">
        <v>100.01263200622635</v>
      </c>
    </row>
    <row r="207" spans="1:4" x14ac:dyDescent="0.3">
      <c r="A207" s="11">
        <v>44748</v>
      </c>
      <c r="B207" s="5">
        <f>3</f>
        <v>3</v>
      </c>
      <c r="C207" s="12" t="s">
        <v>72</v>
      </c>
      <c r="D207" s="6">
        <v>100.01301222639077</v>
      </c>
    </row>
    <row r="208" spans="1:4" x14ac:dyDescent="0.3">
      <c r="A208" s="11">
        <v>44749</v>
      </c>
      <c r="B208" s="5">
        <f>3</f>
        <v>3</v>
      </c>
      <c r="C208" s="12" t="s">
        <v>72</v>
      </c>
      <c r="D208" s="6">
        <v>100.01339244510972</v>
      </c>
    </row>
    <row r="209" spans="1:4" x14ac:dyDescent="0.3">
      <c r="A209" s="11">
        <v>44750</v>
      </c>
      <c r="B209" s="5">
        <f>3</f>
        <v>3</v>
      </c>
      <c r="C209" s="12" t="s">
        <v>72</v>
      </c>
      <c r="D209" s="6">
        <v>100.01377266238288</v>
      </c>
    </row>
    <row r="210" spans="1:4" x14ac:dyDescent="0.3">
      <c r="A210" s="11">
        <v>44753</v>
      </c>
      <c r="B210" s="5">
        <f>3</f>
        <v>3</v>
      </c>
      <c r="C210" s="12" t="s">
        <v>72</v>
      </c>
      <c r="D210" s="6">
        <v>100.01415287821037</v>
      </c>
    </row>
    <row r="211" spans="1:4" x14ac:dyDescent="0.3">
      <c r="A211" s="11">
        <v>44754</v>
      </c>
      <c r="B211" s="5">
        <f>3</f>
        <v>3</v>
      </c>
      <c r="C211" s="12" t="s">
        <v>72</v>
      </c>
      <c r="D211" s="6">
        <v>100.01453309259195</v>
      </c>
    </row>
    <row r="212" spans="1:4" x14ac:dyDescent="0.3">
      <c r="A212" s="11">
        <v>44755</v>
      </c>
      <c r="B212" s="5">
        <f>3</f>
        <v>3</v>
      </c>
      <c r="C212" s="12" t="s">
        <v>72</v>
      </c>
      <c r="D212" s="6">
        <v>100.01491330552827</v>
      </c>
    </row>
    <row r="213" spans="1:4" x14ac:dyDescent="0.3">
      <c r="A213" s="11">
        <v>44756</v>
      </c>
      <c r="B213" s="5">
        <f>3</f>
        <v>3</v>
      </c>
      <c r="C213" s="12" t="s">
        <v>72</v>
      </c>
      <c r="D213" s="6">
        <v>100.01529351701872</v>
      </c>
    </row>
    <row r="214" spans="1:4" x14ac:dyDescent="0.3">
      <c r="A214" s="11">
        <v>44757</v>
      </c>
      <c r="B214" s="5">
        <f>3</f>
        <v>3</v>
      </c>
      <c r="C214" s="12" t="s">
        <v>72</v>
      </c>
      <c r="D214" s="6">
        <v>100.01567372706324</v>
      </c>
    </row>
    <row r="215" spans="1:4" x14ac:dyDescent="0.3">
      <c r="A215" s="11">
        <v>44760</v>
      </c>
      <c r="B215" s="5">
        <f>3</f>
        <v>3</v>
      </c>
      <c r="C215" s="12" t="s">
        <v>72</v>
      </c>
      <c r="D215" s="6">
        <v>100.01605393566263</v>
      </c>
    </row>
    <row r="216" spans="1:4" x14ac:dyDescent="0.3">
      <c r="A216" s="11">
        <v>44761</v>
      </c>
      <c r="B216" s="5">
        <f>3</f>
        <v>3</v>
      </c>
      <c r="C216" s="12" t="s">
        <v>72</v>
      </c>
      <c r="D216" s="6">
        <v>100.01643414281612</v>
      </c>
    </row>
    <row r="217" spans="1:4" x14ac:dyDescent="0.3">
      <c r="A217" s="11">
        <v>44762</v>
      </c>
      <c r="B217" s="5">
        <f>3</f>
        <v>3</v>
      </c>
      <c r="C217" s="12" t="s">
        <v>72</v>
      </c>
      <c r="D217" s="6">
        <v>100.01681434852358</v>
      </c>
    </row>
    <row r="218" spans="1:4" x14ac:dyDescent="0.3">
      <c r="A218" s="11">
        <v>44763</v>
      </c>
      <c r="B218" s="5">
        <f>3</f>
        <v>3</v>
      </c>
      <c r="C218" s="12" t="s">
        <v>72</v>
      </c>
      <c r="D218" s="6">
        <v>100.01719455278614</v>
      </c>
    </row>
    <row r="219" spans="1:4" x14ac:dyDescent="0.3">
      <c r="A219" s="11">
        <v>44764</v>
      </c>
      <c r="B219" s="5">
        <f>3</f>
        <v>3</v>
      </c>
      <c r="C219" s="12" t="s">
        <v>72</v>
      </c>
      <c r="D219" s="6">
        <v>100.01757475560269</v>
      </c>
    </row>
    <row r="220" spans="1:4" x14ac:dyDescent="0.3">
      <c r="A220" s="11">
        <v>44767</v>
      </c>
      <c r="B220" s="5">
        <f>3</f>
        <v>3</v>
      </c>
      <c r="C220" s="12" t="s">
        <v>72</v>
      </c>
      <c r="D220" s="6">
        <v>100.01795495697361</v>
      </c>
    </row>
    <row r="221" spans="1:4" x14ac:dyDescent="0.3">
      <c r="A221" s="11">
        <v>44768</v>
      </c>
      <c r="B221" s="5">
        <f>3</f>
        <v>3</v>
      </c>
      <c r="C221" s="12" t="s">
        <v>72</v>
      </c>
      <c r="D221" s="6">
        <v>100.01833515689849</v>
      </c>
    </row>
    <row r="222" spans="1:4" x14ac:dyDescent="0.3">
      <c r="A222" s="11">
        <v>44769</v>
      </c>
      <c r="B222" s="5">
        <f>3</f>
        <v>3</v>
      </c>
      <c r="C222" s="12" t="s">
        <v>72</v>
      </c>
      <c r="D222" s="6">
        <v>100.01871535537859</v>
      </c>
    </row>
    <row r="223" spans="1:4" x14ac:dyDescent="0.3">
      <c r="A223" s="11">
        <v>44770</v>
      </c>
      <c r="B223" s="5">
        <f>3</f>
        <v>3</v>
      </c>
      <c r="C223" s="12" t="s">
        <v>72</v>
      </c>
      <c r="D223" s="6">
        <v>100.01909555241267</v>
      </c>
    </row>
    <row r="224" spans="1:4" x14ac:dyDescent="0.3">
      <c r="A224" s="11">
        <v>44771</v>
      </c>
      <c r="B224" s="5">
        <f>3</f>
        <v>3</v>
      </c>
      <c r="C224" s="12" t="s">
        <v>72</v>
      </c>
      <c r="D224" s="6">
        <v>100.01947574800062</v>
      </c>
    </row>
    <row r="225" spans="1:4" x14ac:dyDescent="0.3">
      <c r="A225" s="11">
        <v>44774</v>
      </c>
      <c r="B225" s="5">
        <f>3</f>
        <v>3</v>
      </c>
      <c r="C225" s="12" t="s">
        <v>72</v>
      </c>
      <c r="D225" s="6">
        <v>100.01985594214399</v>
      </c>
    </row>
    <row r="226" spans="1:4" x14ac:dyDescent="0.3">
      <c r="A226" s="11">
        <v>44775</v>
      </c>
      <c r="B226" s="5">
        <f>3</f>
        <v>3</v>
      </c>
      <c r="C226" s="12" t="s">
        <v>72</v>
      </c>
      <c r="D226" s="6">
        <v>100.02023613484123</v>
      </c>
    </row>
    <row r="227" spans="1:4" x14ac:dyDescent="0.3">
      <c r="A227" s="11">
        <v>44776</v>
      </c>
      <c r="B227" s="5">
        <f>3</f>
        <v>3</v>
      </c>
      <c r="C227" s="12" t="s">
        <v>72</v>
      </c>
      <c r="D227" s="6">
        <v>100.02061632609238</v>
      </c>
    </row>
    <row r="228" spans="1:4" x14ac:dyDescent="0.3">
      <c r="A228" s="11">
        <v>44777</v>
      </c>
      <c r="B228" s="5">
        <f>3</f>
        <v>3</v>
      </c>
      <c r="C228" s="12" t="s">
        <v>72</v>
      </c>
      <c r="D228" s="6">
        <v>100.020996515899</v>
      </c>
    </row>
    <row r="229" spans="1:4" x14ac:dyDescent="0.3">
      <c r="A229" s="11">
        <v>44778</v>
      </c>
      <c r="B229" s="5">
        <f>3</f>
        <v>3</v>
      </c>
      <c r="C229" s="12" t="s">
        <v>72</v>
      </c>
      <c r="D229" s="6">
        <v>100.0213767042595</v>
      </c>
    </row>
    <row r="230" spans="1:4" x14ac:dyDescent="0.3">
      <c r="A230" s="11">
        <v>44781</v>
      </c>
      <c r="B230" s="5">
        <f>3</f>
        <v>3</v>
      </c>
      <c r="C230" s="12" t="s">
        <v>72</v>
      </c>
      <c r="D230" s="6">
        <v>100.02175689117445</v>
      </c>
    </row>
    <row r="231" spans="1:4" x14ac:dyDescent="0.3">
      <c r="A231" s="11">
        <v>44782</v>
      </c>
      <c r="B231" s="5">
        <f>3</f>
        <v>3</v>
      </c>
      <c r="C231" s="12" t="s">
        <v>72</v>
      </c>
      <c r="D231" s="6">
        <v>100.02213707664316</v>
      </c>
    </row>
    <row r="232" spans="1:4" x14ac:dyDescent="0.3">
      <c r="A232" s="11">
        <v>44783</v>
      </c>
      <c r="B232" s="5">
        <f>3</f>
        <v>3</v>
      </c>
      <c r="C232" s="12" t="s">
        <v>72</v>
      </c>
      <c r="D232" s="6">
        <v>100.01191535282096</v>
      </c>
    </row>
    <row r="233" spans="1:4" x14ac:dyDescent="0.3">
      <c r="A233" s="11">
        <v>44784</v>
      </c>
      <c r="B233" s="5">
        <f>3</f>
        <v>3</v>
      </c>
      <c r="C233" s="12" t="s">
        <v>72</v>
      </c>
      <c r="D233" s="6">
        <v>100.01194219872188</v>
      </c>
    </row>
    <row r="234" spans="1:4" x14ac:dyDescent="0.3">
      <c r="A234" s="11">
        <v>44785</v>
      </c>
      <c r="B234" s="5">
        <f>3</f>
        <v>3</v>
      </c>
      <c r="C234" s="12" t="s">
        <v>72</v>
      </c>
      <c r="D234" s="6">
        <v>100.01196904461564</v>
      </c>
    </row>
    <row r="235" spans="1:4" x14ac:dyDescent="0.3">
      <c r="A235" s="11">
        <v>44788</v>
      </c>
      <c r="B235" s="5">
        <f>3</f>
        <v>3</v>
      </c>
      <c r="C235" s="12" t="s">
        <v>72</v>
      </c>
      <c r="D235" s="6">
        <v>100.01199589050215</v>
      </c>
    </row>
    <row r="236" spans="1:4" x14ac:dyDescent="0.3">
      <c r="A236" s="11">
        <v>44789</v>
      </c>
      <c r="B236" s="5">
        <f>3</f>
        <v>3</v>
      </c>
      <c r="C236" s="12" t="s">
        <v>72</v>
      </c>
      <c r="D236" s="6">
        <v>100.01202273638144</v>
      </c>
    </row>
    <row r="237" spans="1:4" x14ac:dyDescent="0.3">
      <c r="A237" s="11">
        <v>44790</v>
      </c>
      <c r="B237" s="5">
        <f>3</f>
        <v>3</v>
      </c>
      <c r="C237" s="12" t="s">
        <v>72</v>
      </c>
      <c r="D237" s="6">
        <v>100.01204958225354</v>
      </c>
    </row>
    <row r="238" spans="1:4" x14ac:dyDescent="0.3">
      <c r="A238" s="11">
        <v>44791</v>
      </c>
      <c r="B238" s="5">
        <f>3</f>
        <v>3</v>
      </c>
      <c r="C238" s="12" t="s">
        <v>72</v>
      </c>
      <c r="D238" s="6">
        <v>100.01207642811845</v>
      </c>
    </row>
    <row r="239" spans="1:4" x14ac:dyDescent="0.3">
      <c r="A239" s="11">
        <v>44792</v>
      </c>
      <c r="B239" s="5">
        <f>3</f>
        <v>3</v>
      </c>
      <c r="C239" s="12" t="s">
        <v>72</v>
      </c>
      <c r="D239" s="6">
        <v>100.01210327397612</v>
      </c>
    </row>
    <row r="240" spans="1:4" x14ac:dyDescent="0.3">
      <c r="A240" s="11">
        <v>44795</v>
      </c>
      <c r="B240" s="5">
        <f>3</f>
        <v>3</v>
      </c>
      <c r="C240" s="12" t="s">
        <v>72</v>
      </c>
      <c r="D240" s="6">
        <v>100.01213011982661</v>
      </c>
    </row>
    <row r="241" spans="1:4" x14ac:dyDescent="0.3">
      <c r="A241" s="11">
        <v>44796</v>
      </c>
      <c r="B241" s="5">
        <f>3</f>
        <v>3</v>
      </c>
      <c r="C241" s="12" t="s">
        <v>72</v>
      </c>
      <c r="D241" s="6">
        <v>100.01215696566989</v>
      </c>
    </row>
    <row r="242" spans="1:4" x14ac:dyDescent="0.3">
      <c r="A242" s="11">
        <v>44797</v>
      </c>
      <c r="B242" s="5">
        <f>3</f>
        <v>3</v>
      </c>
      <c r="C242" s="12" t="s">
        <v>72</v>
      </c>
      <c r="D242" s="6">
        <v>100.01218381150592</v>
      </c>
    </row>
    <row r="243" spans="1:4" x14ac:dyDescent="0.3">
      <c r="A243" s="11">
        <v>44798</v>
      </c>
      <c r="B243" s="5">
        <f>3</f>
        <v>3</v>
      </c>
      <c r="C243" s="12" t="s">
        <v>72</v>
      </c>
      <c r="D243" s="6">
        <v>100.0122106573348</v>
      </c>
    </row>
    <row r="244" spans="1:4" x14ac:dyDescent="0.3">
      <c r="A244" s="11">
        <v>44799</v>
      </c>
      <c r="B244" s="5">
        <f>3</f>
        <v>3</v>
      </c>
      <c r="C244" s="12" t="s">
        <v>72</v>
      </c>
      <c r="D244" s="6">
        <v>100.01223750315553</v>
      </c>
    </row>
    <row r="245" spans="1:4" x14ac:dyDescent="0.3">
      <c r="A245" s="11">
        <v>44802</v>
      </c>
      <c r="B245" s="5">
        <f>3</f>
        <v>3</v>
      </c>
      <c r="C245" s="12" t="s">
        <v>72</v>
      </c>
      <c r="D245" s="6">
        <v>100.0122643489709</v>
      </c>
    </row>
    <row r="246" spans="1:4" x14ac:dyDescent="0.3">
      <c r="A246" s="11">
        <v>44803</v>
      </c>
      <c r="B246" s="5">
        <f>3</f>
        <v>3</v>
      </c>
      <c r="C246" s="12" t="s">
        <v>72</v>
      </c>
      <c r="D246" s="6">
        <v>100.01229119477813</v>
      </c>
    </row>
    <row r="247" spans="1:4" x14ac:dyDescent="0.3">
      <c r="A247" s="11">
        <v>44804</v>
      </c>
      <c r="B247" s="5">
        <f>3</f>
        <v>3</v>
      </c>
      <c r="C247" s="12" t="s">
        <v>72</v>
      </c>
      <c r="D247" s="6">
        <v>100.01231804057815</v>
      </c>
    </row>
    <row r="248" spans="1:4" x14ac:dyDescent="0.3">
      <c r="A248" s="11">
        <v>44805</v>
      </c>
      <c r="B248" s="5">
        <f>3</f>
        <v>3</v>
      </c>
      <c r="C248" s="12" t="s">
        <v>72</v>
      </c>
      <c r="D248" s="6">
        <v>100.01234488637101</v>
      </c>
    </row>
    <row r="249" spans="1:4" x14ac:dyDescent="0.3">
      <c r="A249" s="11">
        <v>44806</v>
      </c>
      <c r="B249" s="5">
        <f>3</f>
        <v>3</v>
      </c>
      <c r="C249" s="12" t="s">
        <v>72</v>
      </c>
      <c r="D249" s="6">
        <v>100.01237173215659</v>
      </c>
    </row>
    <row r="250" spans="1:4" x14ac:dyDescent="0.3">
      <c r="A250" s="11">
        <v>44810</v>
      </c>
      <c r="B250" s="5">
        <f>3</f>
        <v>3</v>
      </c>
      <c r="C250" s="12" t="s">
        <v>72</v>
      </c>
      <c r="D250" s="6">
        <v>100.012398577935</v>
      </c>
    </row>
    <row r="251" spans="1:4" x14ac:dyDescent="0.3">
      <c r="A251" s="11">
        <v>44811</v>
      </c>
      <c r="B251" s="5">
        <f>3</f>
        <v>3</v>
      </c>
      <c r="C251" s="12" t="s">
        <v>72</v>
      </c>
      <c r="D251" s="6">
        <v>100.0124254237062</v>
      </c>
    </row>
    <row r="252" spans="1:4" x14ac:dyDescent="0.3">
      <c r="A252" s="11">
        <v>44812</v>
      </c>
      <c r="B252" s="5">
        <f>3</f>
        <v>3</v>
      </c>
      <c r="C252" s="12" t="s">
        <v>72</v>
      </c>
      <c r="D252" s="6">
        <v>100.0124522694702</v>
      </c>
    </row>
    <row r="253" spans="1:4" x14ac:dyDescent="0.3">
      <c r="A253" s="11">
        <v>44813</v>
      </c>
      <c r="B253" s="5">
        <f>3</f>
        <v>3</v>
      </c>
      <c r="C253" s="12" t="s">
        <v>72</v>
      </c>
      <c r="D253" s="6">
        <v>100.01247911522699</v>
      </c>
    </row>
    <row r="254" spans="1:4" x14ac:dyDescent="0.3">
      <c r="A254" s="11">
        <v>44816</v>
      </c>
      <c r="B254" s="5">
        <f>3</f>
        <v>3</v>
      </c>
      <c r="C254" s="12" t="s">
        <v>72</v>
      </c>
      <c r="D254" s="6">
        <v>100.01250596097657</v>
      </c>
    </row>
    <row r="255" spans="1:4" x14ac:dyDescent="0.3">
      <c r="A255" s="11">
        <v>44817</v>
      </c>
      <c r="B255" s="5">
        <f>3</f>
        <v>3</v>
      </c>
      <c r="C255" s="12" t="s">
        <v>72</v>
      </c>
      <c r="D255" s="6">
        <v>100.01253280671897</v>
      </c>
    </row>
    <row r="256" spans="1:4" x14ac:dyDescent="0.3">
      <c r="A256" s="11">
        <v>44818</v>
      </c>
      <c r="B256" s="5">
        <f>3</f>
        <v>3</v>
      </c>
      <c r="C256" s="12" t="s">
        <v>72</v>
      </c>
      <c r="D256" s="6">
        <v>100.01255965245413</v>
      </c>
    </row>
    <row r="257" spans="1:4" x14ac:dyDescent="0.3">
      <c r="A257" s="11">
        <v>44819</v>
      </c>
      <c r="B257" s="5">
        <f>3</f>
        <v>3</v>
      </c>
      <c r="C257" s="12" t="s">
        <v>72</v>
      </c>
      <c r="D257" s="6">
        <v>100.01258649818207</v>
      </c>
    </row>
    <row r="258" spans="1:4" x14ac:dyDescent="0.3">
      <c r="A258" s="11">
        <v>44820</v>
      </c>
      <c r="B258" s="5">
        <f>3</f>
        <v>3</v>
      </c>
      <c r="C258" s="12" t="s">
        <v>72</v>
      </c>
      <c r="D258" s="6">
        <v>100.01261334390283</v>
      </c>
    </row>
    <row r="259" spans="1:4" x14ac:dyDescent="0.3">
      <c r="A259" s="11">
        <v>44823</v>
      </c>
      <c r="B259" s="5">
        <f>3</f>
        <v>3</v>
      </c>
      <c r="C259" s="12" t="s">
        <v>72</v>
      </c>
      <c r="D259" s="6">
        <v>100.01264018961638</v>
      </c>
    </row>
    <row r="260" spans="1:4" x14ac:dyDescent="0.3">
      <c r="A260" s="11">
        <v>44824</v>
      </c>
      <c r="B260" s="5">
        <f>3</f>
        <v>3</v>
      </c>
      <c r="C260" s="12" t="s">
        <v>72</v>
      </c>
      <c r="D260" s="6">
        <v>100.01266703532269</v>
      </c>
    </row>
    <row r="261" spans="1:4" x14ac:dyDescent="0.3">
      <c r="A261" s="11">
        <v>44825</v>
      </c>
      <c r="B261" s="5">
        <f>3</f>
        <v>3</v>
      </c>
      <c r="C261" s="12" t="s">
        <v>72</v>
      </c>
      <c r="D261" s="6">
        <v>100.01269388102182</v>
      </c>
    </row>
    <row r="262" spans="1:4" x14ac:dyDescent="0.3">
      <c r="A262" s="11">
        <v>44826</v>
      </c>
      <c r="B262" s="5">
        <f>3</f>
        <v>3</v>
      </c>
      <c r="C262" s="12" t="s">
        <v>72</v>
      </c>
      <c r="D262" s="6">
        <v>100.01188748373619</v>
      </c>
    </row>
    <row r="263" spans="1:4" x14ac:dyDescent="0.3">
      <c r="A263" s="11">
        <v>44827</v>
      </c>
      <c r="B263" s="5">
        <f>3</f>
        <v>3</v>
      </c>
      <c r="C263" s="12" t="s">
        <v>72</v>
      </c>
      <c r="D263" s="6">
        <v>100.01190044372503</v>
      </c>
    </row>
    <row r="264" spans="1:4" x14ac:dyDescent="0.3">
      <c r="A264" s="11">
        <v>44830</v>
      </c>
      <c r="B264" s="5">
        <f>3</f>
        <v>3</v>
      </c>
      <c r="C264" s="12" t="s">
        <v>72</v>
      </c>
      <c r="D264" s="6">
        <v>100.01191340371089</v>
      </c>
    </row>
    <row r="265" spans="1:4" x14ac:dyDescent="0.3">
      <c r="A265" s="11">
        <v>44831</v>
      </c>
      <c r="B265" s="5">
        <f>3</f>
        <v>3</v>
      </c>
      <c r="C265" s="12" t="s">
        <v>72</v>
      </c>
      <c r="D265" s="6">
        <v>100.01192636369363</v>
      </c>
    </row>
    <row r="266" spans="1:4" x14ac:dyDescent="0.3">
      <c r="A266" s="11">
        <v>44832</v>
      </c>
      <c r="B266" s="5">
        <f>3</f>
        <v>3</v>
      </c>
      <c r="C266" s="12" t="s">
        <v>72</v>
      </c>
      <c r="D266" s="6">
        <v>100.01193932367757</v>
      </c>
    </row>
    <row r="267" spans="1:4" x14ac:dyDescent="0.3">
      <c r="A267" s="11">
        <v>44833</v>
      </c>
      <c r="B267" s="5">
        <f>3</f>
        <v>3</v>
      </c>
      <c r="C267" s="12" t="s">
        <v>72</v>
      </c>
      <c r="D267" s="6">
        <v>100.01195228365836</v>
      </c>
    </row>
    <row r="268" spans="1:4" x14ac:dyDescent="0.3">
      <c r="A268" s="11">
        <v>44834</v>
      </c>
      <c r="B268" s="5">
        <f>3</f>
        <v>3</v>
      </c>
      <c r="C268" s="12" t="s">
        <v>72</v>
      </c>
      <c r="D268" s="6">
        <v>100.01196524363601</v>
      </c>
    </row>
    <row r="269" spans="1:4" x14ac:dyDescent="0.3">
      <c r="A269" s="11">
        <v>44837</v>
      </c>
      <c r="B269" s="5">
        <f>3</f>
        <v>3</v>
      </c>
      <c r="C269" s="12" t="s">
        <v>72</v>
      </c>
      <c r="D269" s="6">
        <v>100.01197820361497</v>
      </c>
    </row>
    <row r="270" spans="1:4" x14ac:dyDescent="0.3">
      <c r="A270" s="11">
        <v>44838</v>
      </c>
      <c r="B270" s="5">
        <f>3</f>
        <v>3</v>
      </c>
      <c r="C270" s="12" t="s">
        <v>72</v>
      </c>
      <c r="D270" s="6">
        <v>100.01199116359071</v>
      </c>
    </row>
    <row r="271" spans="1:4" x14ac:dyDescent="0.3">
      <c r="A271" s="11">
        <v>44839</v>
      </c>
      <c r="B271" s="5">
        <f>3</f>
        <v>3</v>
      </c>
      <c r="C271" s="12" t="s">
        <v>72</v>
      </c>
      <c r="D271" s="6">
        <v>100.01200412356327</v>
      </c>
    </row>
    <row r="272" spans="1:4" x14ac:dyDescent="0.3">
      <c r="A272" s="11">
        <v>44840</v>
      </c>
      <c r="B272" s="5">
        <f>3</f>
        <v>3</v>
      </c>
      <c r="C272" s="12" t="s">
        <v>72</v>
      </c>
      <c r="D272" s="6">
        <v>100.01201708353723</v>
      </c>
    </row>
    <row r="273" spans="1:4" x14ac:dyDescent="0.3">
      <c r="A273" s="11">
        <v>44841</v>
      </c>
      <c r="B273" s="5">
        <f>3</f>
        <v>3</v>
      </c>
      <c r="C273" s="12" t="s">
        <v>72</v>
      </c>
      <c r="D273" s="6">
        <v>100.01203004350798</v>
      </c>
    </row>
    <row r="274" spans="1:4" x14ac:dyDescent="0.3">
      <c r="A274" s="11">
        <v>44844</v>
      </c>
      <c r="B274" s="5">
        <f>3</f>
        <v>3</v>
      </c>
      <c r="C274" s="12" t="s">
        <v>72</v>
      </c>
      <c r="D274" s="6">
        <v>100.01204300347703</v>
      </c>
    </row>
    <row r="275" spans="1:4" x14ac:dyDescent="0.3">
      <c r="A275" s="11">
        <v>44845</v>
      </c>
      <c r="B275" s="5">
        <f>3</f>
        <v>3</v>
      </c>
      <c r="C275" s="12" t="s">
        <v>72</v>
      </c>
      <c r="D275" s="6">
        <v>100.01205596344278</v>
      </c>
    </row>
    <row r="276" spans="1:4" x14ac:dyDescent="0.3">
      <c r="A276" s="11">
        <v>44846</v>
      </c>
      <c r="B276" s="5">
        <f>3</f>
        <v>3</v>
      </c>
      <c r="C276" s="12" t="s">
        <v>72</v>
      </c>
      <c r="D276" s="6">
        <v>100.01206892341011</v>
      </c>
    </row>
    <row r="277" spans="1:4" x14ac:dyDescent="0.3">
      <c r="A277" s="11">
        <v>44847</v>
      </c>
      <c r="B277" s="5">
        <f>3</f>
        <v>3</v>
      </c>
      <c r="C277" s="12" t="s">
        <v>72</v>
      </c>
      <c r="D277" s="6">
        <v>100.01208188337411</v>
      </c>
    </row>
    <row r="278" spans="1:4" x14ac:dyDescent="0.3">
      <c r="A278" s="11">
        <v>44848</v>
      </c>
      <c r="B278" s="5">
        <f>3</f>
        <v>3</v>
      </c>
      <c r="C278" s="12" t="s">
        <v>72</v>
      </c>
      <c r="D278" s="6">
        <v>100.01209484333478</v>
      </c>
    </row>
    <row r="279" spans="1:4" x14ac:dyDescent="0.3">
      <c r="A279" s="11">
        <v>44851</v>
      </c>
      <c r="B279" s="5">
        <f>3</f>
        <v>3</v>
      </c>
      <c r="C279" s="12" t="s">
        <v>72</v>
      </c>
      <c r="D279" s="6">
        <v>100.0121078032971</v>
      </c>
    </row>
    <row r="280" spans="1:4" x14ac:dyDescent="0.3">
      <c r="A280" s="11">
        <v>44852</v>
      </c>
      <c r="B280" s="5">
        <f>3</f>
        <v>3</v>
      </c>
      <c r="C280" s="12" t="s">
        <v>72</v>
      </c>
      <c r="D280" s="6">
        <v>100.01212076325609</v>
      </c>
    </row>
    <row r="281" spans="1:4" x14ac:dyDescent="0.3">
      <c r="A281" s="11">
        <v>44853</v>
      </c>
      <c r="B281" s="5">
        <f>3</f>
        <v>3</v>
      </c>
      <c r="C281" s="12" t="s">
        <v>72</v>
      </c>
      <c r="D281" s="6">
        <v>100.01213372321165</v>
      </c>
    </row>
    <row r="282" spans="1:4" x14ac:dyDescent="0.3">
      <c r="A282" s="11">
        <v>44854</v>
      </c>
      <c r="B282" s="5">
        <f>3</f>
        <v>3</v>
      </c>
      <c r="C282" s="12" t="s">
        <v>72</v>
      </c>
      <c r="D282" s="6">
        <v>100.01214668316904</v>
      </c>
    </row>
    <row r="283" spans="1:4" x14ac:dyDescent="0.3">
      <c r="A283" s="11">
        <v>44855</v>
      </c>
      <c r="B283" s="5">
        <f>3</f>
        <v>3</v>
      </c>
      <c r="C283" s="12" t="s">
        <v>72</v>
      </c>
      <c r="D283" s="6">
        <v>100.01215964312294</v>
      </c>
    </row>
    <row r="284" spans="1:4" x14ac:dyDescent="0.3">
      <c r="A284" s="11">
        <v>44858</v>
      </c>
      <c r="B284" s="5">
        <f>3</f>
        <v>3</v>
      </c>
      <c r="C284" s="12" t="s">
        <v>72</v>
      </c>
      <c r="D284" s="6">
        <v>100.0121726030752</v>
      </c>
    </row>
    <row r="285" spans="1:4" x14ac:dyDescent="0.3">
      <c r="A285" s="11">
        <v>44859</v>
      </c>
      <c r="B285" s="5">
        <f>3</f>
        <v>3</v>
      </c>
      <c r="C285" s="12" t="s">
        <v>72</v>
      </c>
      <c r="D285" s="6">
        <v>100.01218556302395</v>
      </c>
    </row>
    <row r="286" spans="1:4" x14ac:dyDescent="0.3">
      <c r="A286" s="11">
        <v>44860</v>
      </c>
      <c r="B286" s="5">
        <f>3</f>
        <v>3</v>
      </c>
      <c r="C286" s="12" t="s">
        <v>72</v>
      </c>
      <c r="D286" s="6">
        <v>100.01219852297467</v>
      </c>
    </row>
    <row r="287" spans="1:4" x14ac:dyDescent="0.3">
      <c r="A287" s="11">
        <v>44861</v>
      </c>
      <c r="B287" s="5">
        <f>3</f>
        <v>3</v>
      </c>
      <c r="C287" s="12" t="s">
        <v>72</v>
      </c>
      <c r="D287" s="6">
        <v>100.01221148292191</v>
      </c>
    </row>
    <row r="288" spans="1:4" x14ac:dyDescent="0.3">
      <c r="A288" s="11">
        <v>44862</v>
      </c>
      <c r="B288" s="5">
        <f>3</f>
        <v>3</v>
      </c>
      <c r="C288" s="12" t="s">
        <v>72</v>
      </c>
      <c r="D288" s="6">
        <v>100.01222444286552</v>
      </c>
    </row>
    <row r="289" spans="1:4" x14ac:dyDescent="0.3">
      <c r="A289" s="11">
        <v>44865</v>
      </c>
      <c r="B289" s="5">
        <f>3</f>
        <v>3</v>
      </c>
      <c r="C289" s="12" t="s">
        <v>72</v>
      </c>
      <c r="D289" s="6">
        <v>100.01223740281131</v>
      </c>
    </row>
    <row r="290" spans="1:4" x14ac:dyDescent="0.3">
      <c r="A290" s="11">
        <v>44866</v>
      </c>
      <c r="B290" s="5">
        <f>3</f>
        <v>3</v>
      </c>
      <c r="C290" s="12" t="s">
        <v>72</v>
      </c>
      <c r="D290" s="6">
        <v>100.01225036275352</v>
      </c>
    </row>
    <row r="291" spans="1:4" x14ac:dyDescent="0.3">
      <c r="A291" s="11">
        <v>44867</v>
      </c>
      <c r="B291" s="5">
        <f>3</f>
        <v>3</v>
      </c>
      <c r="C291" s="12" t="s">
        <v>72</v>
      </c>
      <c r="D291" s="6">
        <v>100.01226332269202</v>
      </c>
    </row>
    <row r="292" spans="1:4" x14ac:dyDescent="0.3">
      <c r="A292" s="11">
        <v>44868</v>
      </c>
      <c r="B292" s="5">
        <f>3</f>
        <v>3</v>
      </c>
      <c r="C292" s="12" t="s">
        <v>72</v>
      </c>
      <c r="D292" s="6">
        <v>100.01185966345192</v>
      </c>
    </row>
    <row r="293" spans="1:4" x14ac:dyDescent="0.3">
      <c r="A293" s="11">
        <v>44869</v>
      </c>
      <c r="B293" s="5">
        <f>3</f>
        <v>3</v>
      </c>
      <c r="C293" s="12" t="s">
        <v>72</v>
      </c>
      <c r="D293" s="6">
        <v>100.01186799484046</v>
      </c>
    </row>
    <row r="294" spans="1:4" x14ac:dyDescent="0.3">
      <c r="A294" s="11">
        <v>44872</v>
      </c>
      <c r="B294" s="5">
        <f>3</f>
        <v>3</v>
      </c>
      <c r="C294" s="12" t="s">
        <v>72</v>
      </c>
      <c r="D294" s="6">
        <v>100.01187632622829</v>
      </c>
    </row>
    <row r="295" spans="1:4" x14ac:dyDescent="0.3">
      <c r="A295" s="11">
        <v>44873</v>
      </c>
      <c r="B295" s="5">
        <f>3</f>
        <v>3</v>
      </c>
      <c r="C295" s="12" t="s">
        <v>72</v>
      </c>
      <c r="D295" s="6">
        <v>100.01188465761545</v>
      </c>
    </row>
    <row r="296" spans="1:4" x14ac:dyDescent="0.3">
      <c r="A296" s="11">
        <v>44874</v>
      </c>
      <c r="B296" s="5">
        <f>3</f>
        <v>3</v>
      </c>
      <c r="C296" s="12" t="s">
        <v>72</v>
      </c>
      <c r="D296" s="6">
        <v>100.01189298900192</v>
      </c>
    </row>
    <row r="297" spans="1:4" x14ac:dyDescent="0.3">
      <c r="A297" s="11">
        <v>44875</v>
      </c>
      <c r="B297" s="5">
        <f>3</f>
        <v>3</v>
      </c>
      <c r="C297" s="12" t="s">
        <v>72</v>
      </c>
      <c r="D297" s="6">
        <v>100.01190132038769</v>
      </c>
    </row>
    <row r="298" spans="1:4" x14ac:dyDescent="0.3">
      <c r="A298" s="11">
        <v>44876</v>
      </c>
      <c r="B298" s="5">
        <f>3</f>
        <v>3</v>
      </c>
      <c r="C298" s="12" t="s">
        <v>72</v>
      </c>
      <c r="D298" s="6">
        <v>100.01190965177277</v>
      </c>
    </row>
    <row r="299" spans="1:4" x14ac:dyDescent="0.3">
      <c r="A299" s="11">
        <v>44879</v>
      </c>
      <c r="B299" s="5">
        <f>3</f>
        <v>3</v>
      </c>
      <c r="C299" s="12" t="s">
        <v>72</v>
      </c>
      <c r="D299" s="6">
        <v>100.01191798315715</v>
      </c>
    </row>
    <row r="300" spans="1:4" x14ac:dyDescent="0.3">
      <c r="A300" s="11">
        <v>44880</v>
      </c>
      <c r="B300" s="5">
        <f>3</f>
        <v>3</v>
      </c>
      <c r="C300" s="12" t="s">
        <v>72</v>
      </c>
      <c r="D300" s="6">
        <v>100.01192631454083</v>
      </c>
    </row>
    <row r="301" spans="1:4" x14ac:dyDescent="0.3">
      <c r="A301" s="11">
        <v>44881</v>
      </c>
      <c r="B301" s="5">
        <f>3</f>
        <v>3</v>
      </c>
      <c r="C301" s="12" t="s">
        <v>72</v>
      </c>
      <c r="D301" s="6">
        <v>100.01193464592384</v>
      </c>
    </row>
    <row r="302" spans="1:4" x14ac:dyDescent="0.3">
      <c r="A302" s="11">
        <v>44740</v>
      </c>
      <c r="B302" s="5">
        <v>4</v>
      </c>
      <c r="C302" s="12" t="s">
        <v>18</v>
      </c>
      <c r="D302" s="6">
        <v>1000</v>
      </c>
    </row>
    <row r="303" spans="1:4" x14ac:dyDescent="0.3">
      <c r="A303" s="11">
        <v>44741</v>
      </c>
      <c r="B303" s="5">
        <v>4</v>
      </c>
      <c r="C303" s="12" t="s">
        <v>18</v>
      </c>
      <c r="D303" s="6">
        <v>1000</v>
      </c>
    </row>
    <row r="304" spans="1:4" x14ac:dyDescent="0.3">
      <c r="A304" s="11">
        <v>44742</v>
      </c>
      <c r="B304" s="5">
        <v>4</v>
      </c>
      <c r="C304" s="12" t="s">
        <v>18</v>
      </c>
      <c r="D304" s="6">
        <v>1000</v>
      </c>
    </row>
    <row r="305" spans="1:4" x14ac:dyDescent="0.3">
      <c r="A305" s="11">
        <v>44743</v>
      </c>
      <c r="B305" s="5">
        <v>4</v>
      </c>
      <c r="C305" s="12" t="s">
        <v>18</v>
      </c>
      <c r="D305" s="6">
        <v>1000</v>
      </c>
    </row>
    <row r="306" spans="1:4" x14ac:dyDescent="0.3">
      <c r="A306" s="11">
        <v>44747</v>
      </c>
      <c r="B306" s="5">
        <v>4</v>
      </c>
      <c r="C306" s="12" t="s">
        <v>18</v>
      </c>
      <c r="D306" s="6">
        <v>1000</v>
      </c>
    </row>
    <row r="307" spans="1:4" x14ac:dyDescent="0.3">
      <c r="A307" s="11">
        <v>44748</v>
      </c>
      <c r="B307" s="5">
        <v>4</v>
      </c>
      <c r="C307" s="12" t="s">
        <v>18</v>
      </c>
      <c r="D307" s="6">
        <v>1000</v>
      </c>
    </row>
    <row r="308" spans="1:4" x14ac:dyDescent="0.3">
      <c r="A308" s="11">
        <v>44749</v>
      </c>
      <c r="B308" s="5">
        <v>4</v>
      </c>
      <c r="C308" s="12" t="s">
        <v>18</v>
      </c>
      <c r="D308" s="6">
        <v>1000</v>
      </c>
    </row>
    <row r="309" spans="1:4" x14ac:dyDescent="0.3">
      <c r="A309" s="11">
        <v>44750</v>
      </c>
      <c r="B309" s="5">
        <v>4</v>
      </c>
      <c r="C309" s="12" t="s">
        <v>18</v>
      </c>
      <c r="D309" s="6">
        <v>1000</v>
      </c>
    </row>
    <row r="310" spans="1:4" x14ac:dyDescent="0.3">
      <c r="A310" s="11">
        <v>44753</v>
      </c>
      <c r="B310" s="5">
        <v>4</v>
      </c>
      <c r="C310" s="12" t="s">
        <v>18</v>
      </c>
      <c r="D310" s="6">
        <v>1000</v>
      </c>
    </row>
    <row r="311" spans="1:4" x14ac:dyDescent="0.3">
      <c r="A311" s="11">
        <v>44754</v>
      </c>
      <c r="B311" s="5">
        <v>4</v>
      </c>
      <c r="C311" s="12" t="s">
        <v>18</v>
      </c>
      <c r="D311" s="6">
        <v>1000</v>
      </c>
    </row>
    <row r="312" spans="1:4" x14ac:dyDescent="0.3">
      <c r="A312" s="11">
        <v>44755</v>
      </c>
      <c r="B312" s="5">
        <v>4</v>
      </c>
      <c r="C312" s="12" t="s">
        <v>18</v>
      </c>
      <c r="D312" s="6">
        <v>1000</v>
      </c>
    </row>
    <row r="313" spans="1:4" x14ac:dyDescent="0.3">
      <c r="A313" s="11">
        <v>44756</v>
      </c>
      <c r="B313" s="5">
        <v>4</v>
      </c>
      <c r="C313" s="12" t="s">
        <v>18</v>
      </c>
      <c r="D313" s="6">
        <v>1000</v>
      </c>
    </row>
    <row r="314" spans="1:4" x14ac:dyDescent="0.3">
      <c r="A314" s="11">
        <v>44757</v>
      </c>
      <c r="B314" s="5">
        <v>4</v>
      </c>
      <c r="C314" s="12" t="s">
        <v>18</v>
      </c>
      <c r="D314" s="6">
        <v>1000</v>
      </c>
    </row>
    <row r="315" spans="1:4" x14ac:dyDescent="0.3">
      <c r="A315" s="11">
        <v>44760</v>
      </c>
      <c r="B315" s="5">
        <v>4</v>
      </c>
      <c r="C315" s="12" t="s">
        <v>18</v>
      </c>
      <c r="D315" s="6">
        <v>1000</v>
      </c>
    </row>
    <row r="316" spans="1:4" x14ac:dyDescent="0.3">
      <c r="A316" s="11">
        <v>44761</v>
      </c>
      <c r="B316" s="5">
        <v>4</v>
      </c>
      <c r="C316" s="12" t="s">
        <v>18</v>
      </c>
      <c r="D316" s="6">
        <v>1000</v>
      </c>
    </row>
    <row r="317" spans="1:4" x14ac:dyDescent="0.3">
      <c r="A317" s="11">
        <v>44762</v>
      </c>
      <c r="B317" s="5">
        <v>4</v>
      </c>
      <c r="C317" s="12" t="s">
        <v>18</v>
      </c>
      <c r="D317" s="6">
        <v>1000</v>
      </c>
    </row>
    <row r="318" spans="1:4" x14ac:dyDescent="0.3">
      <c r="A318" s="11">
        <v>44763</v>
      </c>
      <c r="B318" s="5">
        <v>4</v>
      </c>
      <c r="C318" s="12" t="s">
        <v>18</v>
      </c>
      <c r="D318" s="6">
        <v>1000</v>
      </c>
    </row>
    <row r="319" spans="1:4" x14ac:dyDescent="0.3">
      <c r="A319" s="11">
        <v>44764</v>
      </c>
      <c r="B319" s="5">
        <v>4</v>
      </c>
      <c r="C319" s="12" t="s">
        <v>18</v>
      </c>
      <c r="D319" s="6">
        <v>1000</v>
      </c>
    </row>
    <row r="320" spans="1:4" x14ac:dyDescent="0.3">
      <c r="A320" s="11">
        <v>44767</v>
      </c>
      <c r="B320" s="5">
        <v>4</v>
      </c>
      <c r="C320" s="12" t="s">
        <v>18</v>
      </c>
      <c r="D320" s="6">
        <v>1000</v>
      </c>
    </row>
    <row r="321" spans="1:4" x14ac:dyDescent="0.3">
      <c r="A321" s="11">
        <v>44768</v>
      </c>
      <c r="B321" s="5">
        <v>4</v>
      </c>
      <c r="C321" s="12" t="s">
        <v>18</v>
      </c>
      <c r="D321" s="6">
        <v>1000</v>
      </c>
    </row>
    <row r="322" spans="1:4" x14ac:dyDescent="0.3">
      <c r="A322" s="11">
        <v>44769</v>
      </c>
      <c r="B322" s="5">
        <v>4</v>
      </c>
      <c r="C322" s="12" t="s">
        <v>18</v>
      </c>
      <c r="D322" s="6">
        <v>1000</v>
      </c>
    </row>
    <row r="323" spans="1:4" x14ac:dyDescent="0.3">
      <c r="A323" s="11">
        <v>44770</v>
      </c>
      <c r="B323" s="5">
        <v>4</v>
      </c>
      <c r="C323" s="12" t="s">
        <v>18</v>
      </c>
      <c r="D323" s="6">
        <v>1000</v>
      </c>
    </row>
    <row r="324" spans="1:4" x14ac:dyDescent="0.3">
      <c r="A324" s="11">
        <v>44771</v>
      </c>
      <c r="B324" s="5">
        <v>4</v>
      </c>
      <c r="C324" s="12" t="s">
        <v>18</v>
      </c>
      <c r="D324" s="6">
        <v>1000</v>
      </c>
    </row>
    <row r="325" spans="1:4" x14ac:dyDescent="0.3">
      <c r="A325" s="11">
        <v>44774</v>
      </c>
      <c r="B325" s="5">
        <v>4</v>
      </c>
      <c r="C325" s="12" t="s">
        <v>18</v>
      </c>
      <c r="D325" s="6">
        <v>1000</v>
      </c>
    </row>
    <row r="326" spans="1:4" x14ac:dyDescent="0.3">
      <c r="A326" s="11">
        <v>44775</v>
      </c>
      <c r="B326" s="5">
        <v>4</v>
      </c>
      <c r="C326" s="12" t="s">
        <v>18</v>
      </c>
      <c r="D326" s="6">
        <v>1000</v>
      </c>
    </row>
    <row r="327" spans="1:4" x14ac:dyDescent="0.3">
      <c r="A327" s="11">
        <v>44776</v>
      </c>
      <c r="B327" s="5">
        <v>4</v>
      </c>
      <c r="C327" s="12" t="s">
        <v>18</v>
      </c>
      <c r="D327" s="6">
        <v>1000</v>
      </c>
    </row>
    <row r="328" spans="1:4" x14ac:dyDescent="0.3">
      <c r="A328" s="11">
        <v>44777</v>
      </c>
      <c r="B328" s="5">
        <v>4</v>
      </c>
      <c r="C328" s="12" t="s">
        <v>18</v>
      </c>
      <c r="D328" s="6">
        <v>1000</v>
      </c>
    </row>
    <row r="329" spans="1:4" x14ac:dyDescent="0.3">
      <c r="A329" s="11">
        <v>44778</v>
      </c>
      <c r="B329" s="5">
        <v>4</v>
      </c>
      <c r="C329" s="12" t="s">
        <v>18</v>
      </c>
      <c r="D329" s="6">
        <v>1000</v>
      </c>
    </row>
    <row r="330" spans="1:4" x14ac:dyDescent="0.3">
      <c r="A330" s="11">
        <v>44781</v>
      </c>
      <c r="B330" s="5">
        <v>4</v>
      </c>
      <c r="C330" s="12" t="s">
        <v>18</v>
      </c>
      <c r="D330" s="6">
        <v>1000</v>
      </c>
    </row>
    <row r="331" spans="1:4" x14ac:dyDescent="0.3">
      <c r="A331" s="11">
        <v>44782</v>
      </c>
      <c r="B331" s="5">
        <v>4</v>
      </c>
      <c r="C331" s="12" t="s">
        <v>18</v>
      </c>
      <c r="D331" s="6">
        <v>1000</v>
      </c>
    </row>
    <row r="332" spans="1:4" x14ac:dyDescent="0.3">
      <c r="A332" s="11">
        <v>44783</v>
      </c>
      <c r="B332" s="5">
        <v>4</v>
      </c>
      <c r="C332" s="12" t="s">
        <v>18</v>
      </c>
      <c r="D332" s="6">
        <v>1000</v>
      </c>
    </row>
    <row r="333" spans="1:4" x14ac:dyDescent="0.3">
      <c r="A333" s="11">
        <v>44784</v>
      </c>
      <c r="B333" s="5">
        <v>4</v>
      </c>
      <c r="C333" s="12" t="s">
        <v>18</v>
      </c>
      <c r="D333" s="6">
        <v>1000</v>
      </c>
    </row>
    <row r="334" spans="1:4" x14ac:dyDescent="0.3">
      <c r="A334" s="11">
        <v>44785</v>
      </c>
      <c r="B334" s="5">
        <v>4</v>
      </c>
      <c r="C334" s="12" t="s">
        <v>18</v>
      </c>
      <c r="D334" s="6">
        <v>1000</v>
      </c>
    </row>
    <row r="335" spans="1:4" x14ac:dyDescent="0.3">
      <c r="A335" s="11">
        <v>44788</v>
      </c>
      <c r="B335" s="5">
        <v>4</v>
      </c>
      <c r="C335" s="12" t="s">
        <v>18</v>
      </c>
      <c r="D335" s="6">
        <v>1000</v>
      </c>
    </row>
    <row r="336" spans="1:4" x14ac:dyDescent="0.3">
      <c r="A336" s="11">
        <v>44789</v>
      </c>
      <c r="B336" s="5">
        <v>4</v>
      </c>
      <c r="C336" s="12" t="s">
        <v>18</v>
      </c>
      <c r="D336" s="6">
        <v>1000</v>
      </c>
    </row>
    <row r="337" spans="1:4" x14ac:dyDescent="0.3">
      <c r="A337" s="11">
        <v>44790</v>
      </c>
      <c r="B337" s="5">
        <v>4</v>
      </c>
      <c r="C337" s="12" t="s">
        <v>18</v>
      </c>
      <c r="D337" s="6">
        <v>1000</v>
      </c>
    </row>
    <row r="338" spans="1:4" x14ac:dyDescent="0.3">
      <c r="A338" s="11">
        <v>44791</v>
      </c>
      <c r="B338" s="5">
        <v>4</v>
      </c>
      <c r="C338" s="12" t="s">
        <v>18</v>
      </c>
      <c r="D338" s="6">
        <v>1000</v>
      </c>
    </row>
    <row r="339" spans="1:4" x14ac:dyDescent="0.3">
      <c r="A339" s="11">
        <v>44792</v>
      </c>
      <c r="B339" s="5">
        <v>4</v>
      </c>
      <c r="C339" s="12" t="s">
        <v>18</v>
      </c>
      <c r="D339" s="6">
        <v>1000</v>
      </c>
    </row>
    <row r="340" spans="1:4" x14ac:dyDescent="0.3">
      <c r="A340" s="11">
        <v>44795</v>
      </c>
      <c r="B340" s="5">
        <v>4</v>
      </c>
      <c r="C340" s="12" t="s">
        <v>18</v>
      </c>
      <c r="D340" s="6">
        <v>1000</v>
      </c>
    </row>
    <row r="341" spans="1:4" x14ac:dyDescent="0.3">
      <c r="A341" s="11">
        <v>44796</v>
      </c>
      <c r="B341" s="5">
        <v>4</v>
      </c>
      <c r="C341" s="12" t="s">
        <v>18</v>
      </c>
      <c r="D341" s="6">
        <v>1000</v>
      </c>
    </row>
    <row r="342" spans="1:4" x14ac:dyDescent="0.3">
      <c r="A342" s="11">
        <v>44797</v>
      </c>
      <c r="B342" s="5">
        <v>4</v>
      </c>
      <c r="C342" s="12" t="s">
        <v>18</v>
      </c>
      <c r="D342" s="6">
        <v>1000</v>
      </c>
    </row>
    <row r="343" spans="1:4" x14ac:dyDescent="0.3">
      <c r="A343" s="11">
        <v>44798</v>
      </c>
      <c r="B343" s="5">
        <v>4</v>
      </c>
      <c r="C343" s="12" t="s">
        <v>18</v>
      </c>
      <c r="D343" s="6">
        <v>1000</v>
      </c>
    </row>
    <row r="344" spans="1:4" x14ac:dyDescent="0.3">
      <c r="A344" s="11">
        <v>44799</v>
      </c>
      <c r="B344" s="5">
        <v>4</v>
      </c>
      <c r="C344" s="12" t="s">
        <v>18</v>
      </c>
      <c r="D344" s="6">
        <v>1000</v>
      </c>
    </row>
    <row r="345" spans="1:4" x14ac:dyDescent="0.3">
      <c r="A345" s="11">
        <v>44802</v>
      </c>
      <c r="B345" s="5">
        <v>4</v>
      </c>
      <c r="C345" s="12" t="s">
        <v>18</v>
      </c>
      <c r="D345" s="6">
        <v>1000</v>
      </c>
    </row>
    <row r="346" spans="1:4" x14ac:dyDescent="0.3">
      <c r="A346" s="11">
        <v>44803</v>
      </c>
      <c r="B346" s="5">
        <v>4</v>
      </c>
      <c r="C346" s="12" t="s">
        <v>18</v>
      </c>
      <c r="D346" s="6">
        <v>1000</v>
      </c>
    </row>
    <row r="347" spans="1:4" x14ac:dyDescent="0.3">
      <c r="A347" s="11">
        <v>44804</v>
      </c>
      <c r="B347" s="5">
        <v>4</v>
      </c>
      <c r="C347" s="12" t="s">
        <v>18</v>
      </c>
      <c r="D347" s="6">
        <v>1000</v>
      </c>
    </row>
    <row r="348" spans="1:4" x14ac:dyDescent="0.3">
      <c r="A348" s="11">
        <v>44805</v>
      </c>
      <c r="B348" s="5">
        <v>4</v>
      </c>
      <c r="C348" s="12" t="s">
        <v>18</v>
      </c>
      <c r="D348" s="6">
        <v>1000</v>
      </c>
    </row>
    <row r="349" spans="1:4" x14ac:dyDescent="0.3">
      <c r="A349" s="11">
        <v>44806</v>
      </c>
      <c r="B349" s="5">
        <v>4</v>
      </c>
      <c r="C349" s="12" t="s">
        <v>18</v>
      </c>
      <c r="D349" s="6">
        <v>1000</v>
      </c>
    </row>
    <row r="350" spans="1:4" x14ac:dyDescent="0.3">
      <c r="A350" s="11">
        <v>44810</v>
      </c>
      <c r="B350" s="5">
        <v>4</v>
      </c>
      <c r="C350" s="12" t="s">
        <v>18</v>
      </c>
      <c r="D350" s="6">
        <v>1000</v>
      </c>
    </row>
    <row r="351" spans="1:4" x14ac:dyDescent="0.3">
      <c r="A351" s="11">
        <v>44811</v>
      </c>
      <c r="B351" s="5">
        <v>4</v>
      </c>
      <c r="C351" s="12" t="s">
        <v>18</v>
      </c>
      <c r="D351" s="6">
        <v>1000</v>
      </c>
    </row>
    <row r="352" spans="1:4" x14ac:dyDescent="0.3">
      <c r="A352" s="11">
        <v>44812</v>
      </c>
      <c r="B352" s="5">
        <v>4</v>
      </c>
      <c r="C352" s="12" t="s">
        <v>18</v>
      </c>
      <c r="D352" s="6">
        <v>1000</v>
      </c>
    </row>
    <row r="353" spans="1:4" x14ac:dyDescent="0.3">
      <c r="A353" s="11">
        <v>44813</v>
      </c>
      <c r="B353" s="5">
        <v>4</v>
      </c>
      <c r="C353" s="12" t="s">
        <v>18</v>
      </c>
      <c r="D353" s="6">
        <v>1000</v>
      </c>
    </row>
    <row r="354" spans="1:4" x14ac:dyDescent="0.3">
      <c r="A354" s="11">
        <v>44816</v>
      </c>
      <c r="B354" s="5">
        <v>4</v>
      </c>
      <c r="C354" s="12" t="s">
        <v>18</v>
      </c>
      <c r="D354" s="6">
        <v>1000</v>
      </c>
    </row>
    <row r="355" spans="1:4" x14ac:dyDescent="0.3">
      <c r="A355" s="11">
        <v>44817</v>
      </c>
      <c r="B355" s="5">
        <v>4</v>
      </c>
      <c r="C355" s="12" t="s">
        <v>18</v>
      </c>
      <c r="D355" s="6">
        <v>1000</v>
      </c>
    </row>
    <row r="356" spans="1:4" x14ac:dyDescent="0.3">
      <c r="A356" s="11">
        <v>44818</v>
      </c>
      <c r="B356" s="5">
        <v>4</v>
      </c>
      <c r="C356" s="12" t="s">
        <v>18</v>
      </c>
      <c r="D356" s="6">
        <v>1000</v>
      </c>
    </row>
    <row r="357" spans="1:4" x14ac:dyDescent="0.3">
      <c r="A357" s="11">
        <v>44819</v>
      </c>
      <c r="B357" s="5">
        <v>4</v>
      </c>
      <c r="C357" s="12" t="s">
        <v>18</v>
      </c>
      <c r="D357" s="6">
        <v>1000</v>
      </c>
    </row>
    <row r="358" spans="1:4" x14ac:dyDescent="0.3">
      <c r="A358" s="11">
        <v>44820</v>
      </c>
      <c r="B358" s="5">
        <v>4</v>
      </c>
      <c r="C358" s="12" t="s">
        <v>18</v>
      </c>
      <c r="D358" s="6">
        <v>1000</v>
      </c>
    </row>
    <row r="359" spans="1:4" x14ac:dyDescent="0.3">
      <c r="A359" s="11">
        <v>44823</v>
      </c>
      <c r="B359" s="5">
        <v>4</v>
      </c>
      <c r="C359" s="12" t="s">
        <v>18</v>
      </c>
      <c r="D359" s="6">
        <v>1000</v>
      </c>
    </row>
    <row r="360" spans="1:4" x14ac:dyDescent="0.3">
      <c r="A360" s="11">
        <v>44824</v>
      </c>
      <c r="B360" s="5">
        <v>4</v>
      </c>
      <c r="C360" s="12" t="s">
        <v>18</v>
      </c>
      <c r="D360" s="6">
        <v>1000</v>
      </c>
    </row>
    <row r="361" spans="1:4" x14ac:dyDescent="0.3">
      <c r="A361" s="11">
        <v>44825</v>
      </c>
      <c r="B361" s="5">
        <v>4</v>
      </c>
      <c r="C361" s="12" t="s">
        <v>18</v>
      </c>
      <c r="D361" s="6">
        <v>1000</v>
      </c>
    </row>
    <row r="362" spans="1:4" x14ac:dyDescent="0.3">
      <c r="A362" s="11">
        <v>44826</v>
      </c>
      <c r="B362" s="5">
        <v>4</v>
      </c>
      <c r="C362" s="12" t="s">
        <v>18</v>
      </c>
      <c r="D362" s="6">
        <v>1000</v>
      </c>
    </row>
    <row r="363" spans="1:4" x14ac:dyDescent="0.3">
      <c r="A363" s="11">
        <v>44827</v>
      </c>
      <c r="B363" s="5">
        <v>4</v>
      </c>
      <c r="C363" s="12" t="s">
        <v>18</v>
      </c>
      <c r="D363" s="6">
        <v>1000</v>
      </c>
    </row>
    <row r="364" spans="1:4" x14ac:dyDescent="0.3">
      <c r="A364" s="11">
        <v>44830</v>
      </c>
      <c r="B364" s="5">
        <v>4</v>
      </c>
      <c r="C364" s="12" t="s">
        <v>18</v>
      </c>
      <c r="D364" s="6">
        <v>1000</v>
      </c>
    </row>
    <row r="365" spans="1:4" x14ac:dyDescent="0.3">
      <c r="A365" s="11">
        <v>44831</v>
      </c>
      <c r="B365" s="5">
        <v>4</v>
      </c>
      <c r="C365" s="12" t="s">
        <v>18</v>
      </c>
      <c r="D365" s="6">
        <v>1000</v>
      </c>
    </row>
    <row r="366" spans="1:4" x14ac:dyDescent="0.3">
      <c r="A366" s="11">
        <v>44832</v>
      </c>
      <c r="B366" s="5">
        <v>4</v>
      </c>
      <c r="C366" s="12" t="s">
        <v>18</v>
      </c>
      <c r="D366" s="6">
        <v>1000</v>
      </c>
    </row>
    <row r="367" spans="1:4" x14ac:dyDescent="0.3">
      <c r="A367" s="11">
        <v>44833</v>
      </c>
      <c r="B367" s="5">
        <v>4</v>
      </c>
      <c r="C367" s="12" t="s">
        <v>18</v>
      </c>
      <c r="D367" s="6">
        <v>1000</v>
      </c>
    </row>
    <row r="368" spans="1:4" x14ac:dyDescent="0.3">
      <c r="A368" s="11">
        <v>44834</v>
      </c>
      <c r="B368" s="5">
        <v>4</v>
      </c>
      <c r="C368" s="12" t="s">
        <v>18</v>
      </c>
      <c r="D368" s="6">
        <v>1000</v>
      </c>
    </row>
    <row r="369" spans="1:4" x14ac:dyDescent="0.3">
      <c r="A369" s="11">
        <v>44837</v>
      </c>
      <c r="B369" s="5">
        <v>4</v>
      </c>
      <c r="C369" s="12" t="s">
        <v>18</v>
      </c>
      <c r="D369" s="6">
        <v>1000</v>
      </c>
    </row>
    <row r="370" spans="1:4" x14ac:dyDescent="0.3">
      <c r="A370" s="11">
        <v>44838</v>
      </c>
      <c r="B370" s="5">
        <v>4</v>
      </c>
      <c r="C370" s="12" t="s">
        <v>18</v>
      </c>
      <c r="D370" s="6">
        <v>1000</v>
      </c>
    </row>
    <row r="371" spans="1:4" x14ac:dyDescent="0.3">
      <c r="A371" s="11">
        <v>44839</v>
      </c>
      <c r="B371" s="5">
        <v>4</v>
      </c>
      <c r="C371" s="12" t="s">
        <v>18</v>
      </c>
      <c r="D371" s="6">
        <v>1000</v>
      </c>
    </row>
    <row r="372" spans="1:4" x14ac:dyDescent="0.3">
      <c r="A372" s="11">
        <v>44840</v>
      </c>
      <c r="B372" s="5">
        <v>4</v>
      </c>
      <c r="C372" s="12" t="s">
        <v>18</v>
      </c>
      <c r="D372" s="6">
        <v>1000</v>
      </c>
    </row>
    <row r="373" spans="1:4" x14ac:dyDescent="0.3">
      <c r="A373" s="11">
        <v>44841</v>
      </c>
      <c r="B373" s="5">
        <v>4</v>
      </c>
      <c r="C373" s="12" t="s">
        <v>18</v>
      </c>
      <c r="D373" s="6">
        <v>1000</v>
      </c>
    </row>
    <row r="374" spans="1:4" x14ac:dyDescent="0.3">
      <c r="A374" s="11">
        <v>44844</v>
      </c>
      <c r="B374" s="5">
        <v>4</v>
      </c>
      <c r="C374" s="12" t="s">
        <v>18</v>
      </c>
      <c r="D374" s="6">
        <v>1000</v>
      </c>
    </row>
    <row r="375" spans="1:4" x14ac:dyDescent="0.3">
      <c r="A375" s="11">
        <v>44845</v>
      </c>
      <c r="B375" s="5">
        <v>4</v>
      </c>
      <c r="C375" s="12" t="s">
        <v>18</v>
      </c>
      <c r="D375" s="6">
        <v>1000</v>
      </c>
    </row>
    <row r="376" spans="1:4" x14ac:dyDescent="0.3">
      <c r="A376" s="11">
        <v>44846</v>
      </c>
      <c r="B376" s="5">
        <v>4</v>
      </c>
      <c r="C376" s="12" t="s">
        <v>18</v>
      </c>
      <c r="D376" s="6">
        <v>1000</v>
      </c>
    </row>
    <row r="377" spans="1:4" x14ac:dyDescent="0.3">
      <c r="A377" s="11">
        <v>44847</v>
      </c>
      <c r="B377" s="5">
        <v>4</v>
      </c>
      <c r="C377" s="12" t="s">
        <v>18</v>
      </c>
      <c r="D377" s="6">
        <v>1000</v>
      </c>
    </row>
    <row r="378" spans="1:4" x14ac:dyDescent="0.3">
      <c r="A378" s="11">
        <v>44848</v>
      </c>
      <c r="B378" s="5">
        <v>4</v>
      </c>
      <c r="C378" s="12" t="s">
        <v>18</v>
      </c>
      <c r="D378" s="6">
        <v>1000</v>
      </c>
    </row>
    <row r="379" spans="1:4" x14ac:dyDescent="0.3">
      <c r="A379" s="11">
        <v>44851</v>
      </c>
      <c r="B379" s="5">
        <v>4</v>
      </c>
      <c r="C379" s="12" t="s">
        <v>18</v>
      </c>
      <c r="D379" s="6">
        <v>1000</v>
      </c>
    </row>
    <row r="380" spans="1:4" x14ac:dyDescent="0.3">
      <c r="A380" s="11">
        <v>44852</v>
      </c>
      <c r="B380" s="5">
        <v>4</v>
      </c>
      <c r="C380" s="12" t="s">
        <v>18</v>
      </c>
      <c r="D380" s="6">
        <v>1000</v>
      </c>
    </row>
    <row r="381" spans="1:4" x14ac:dyDescent="0.3">
      <c r="A381" s="11">
        <v>44853</v>
      </c>
      <c r="B381" s="5">
        <v>4</v>
      </c>
      <c r="C381" s="12" t="s">
        <v>18</v>
      </c>
      <c r="D381" s="6">
        <v>1000</v>
      </c>
    </row>
    <row r="382" spans="1:4" x14ac:dyDescent="0.3">
      <c r="A382" s="11">
        <v>44854</v>
      </c>
      <c r="B382" s="5">
        <v>4</v>
      </c>
      <c r="C382" s="12" t="s">
        <v>18</v>
      </c>
      <c r="D382" s="6">
        <v>1000</v>
      </c>
    </row>
    <row r="383" spans="1:4" x14ac:dyDescent="0.3">
      <c r="A383" s="11">
        <v>44855</v>
      </c>
      <c r="B383" s="5">
        <v>4</v>
      </c>
      <c r="C383" s="12" t="s">
        <v>18</v>
      </c>
      <c r="D383" s="6">
        <v>1000</v>
      </c>
    </row>
    <row r="384" spans="1:4" x14ac:dyDescent="0.3">
      <c r="A384" s="11">
        <v>44858</v>
      </c>
      <c r="B384" s="5">
        <v>4</v>
      </c>
      <c r="C384" s="12" t="s">
        <v>18</v>
      </c>
      <c r="D384" s="6">
        <v>1000</v>
      </c>
    </row>
    <row r="385" spans="1:4" x14ac:dyDescent="0.3">
      <c r="A385" s="11">
        <v>44859</v>
      </c>
      <c r="B385" s="5">
        <v>4</v>
      </c>
      <c r="C385" s="12" t="s">
        <v>18</v>
      </c>
      <c r="D385" s="6">
        <v>1000</v>
      </c>
    </row>
    <row r="386" spans="1:4" x14ac:dyDescent="0.3">
      <c r="A386" s="11">
        <v>44860</v>
      </c>
      <c r="B386" s="5">
        <v>4</v>
      </c>
      <c r="C386" s="12" t="s">
        <v>18</v>
      </c>
      <c r="D386" s="6">
        <v>1000</v>
      </c>
    </row>
    <row r="387" spans="1:4" x14ac:dyDescent="0.3">
      <c r="A387" s="11">
        <v>44861</v>
      </c>
      <c r="B387" s="5">
        <v>4</v>
      </c>
      <c r="C387" s="12" t="s">
        <v>18</v>
      </c>
      <c r="D387" s="6">
        <v>1000</v>
      </c>
    </row>
    <row r="388" spans="1:4" x14ac:dyDescent="0.3">
      <c r="A388" s="11">
        <v>44862</v>
      </c>
      <c r="B388" s="5">
        <v>4</v>
      </c>
      <c r="C388" s="12" t="s">
        <v>18</v>
      </c>
      <c r="D388" s="6">
        <v>1000</v>
      </c>
    </row>
    <row r="389" spans="1:4" x14ac:dyDescent="0.3">
      <c r="A389" s="11">
        <v>44865</v>
      </c>
      <c r="B389" s="5">
        <v>4</v>
      </c>
      <c r="C389" s="12" t="s">
        <v>18</v>
      </c>
      <c r="D389" s="6">
        <v>1000</v>
      </c>
    </row>
    <row r="390" spans="1:4" x14ac:dyDescent="0.3">
      <c r="A390" s="11">
        <v>44866</v>
      </c>
      <c r="B390" s="5">
        <v>4</v>
      </c>
      <c r="C390" s="12" t="s">
        <v>18</v>
      </c>
      <c r="D390" s="6">
        <v>1000</v>
      </c>
    </row>
    <row r="391" spans="1:4" x14ac:dyDescent="0.3">
      <c r="A391" s="11">
        <v>44867</v>
      </c>
      <c r="B391" s="5">
        <v>4</v>
      </c>
      <c r="C391" s="12" t="s">
        <v>18</v>
      </c>
      <c r="D391" s="6">
        <v>1000</v>
      </c>
    </row>
    <row r="392" spans="1:4" x14ac:dyDescent="0.3">
      <c r="A392" s="11">
        <v>44868</v>
      </c>
      <c r="B392" s="5">
        <v>4</v>
      </c>
      <c r="C392" s="12" t="s">
        <v>18</v>
      </c>
      <c r="D392" s="6">
        <v>1000</v>
      </c>
    </row>
    <row r="393" spans="1:4" x14ac:dyDescent="0.3">
      <c r="A393" s="11">
        <v>44869</v>
      </c>
      <c r="B393" s="5">
        <v>4</v>
      </c>
      <c r="C393" s="12" t="s">
        <v>18</v>
      </c>
      <c r="D393" s="6">
        <v>1000</v>
      </c>
    </row>
    <row r="394" spans="1:4" x14ac:dyDescent="0.3">
      <c r="A394" s="11">
        <v>44872</v>
      </c>
      <c r="B394" s="5">
        <v>4</v>
      </c>
      <c r="C394" s="12" t="s">
        <v>18</v>
      </c>
      <c r="D394" s="6">
        <v>1000</v>
      </c>
    </row>
    <row r="395" spans="1:4" x14ac:dyDescent="0.3">
      <c r="A395" s="11">
        <v>44873</v>
      </c>
      <c r="B395" s="5">
        <v>4</v>
      </c>
      <c r="C395" s="12" t="s">
        <v>18</v>
      </c>
      <c r="D395" s="6">
        <v>1000</v>
      </c>
    </row>
    <row r="396" spans="1:4" x14ac:dyDescent="0.3">
      <c r="A396" s="11">
        <v>44874</v>
      </c>
      <c r="B396" s="5">
        <v>4</v>
      </c>
      <c r="C396" s="12" t="s">
        <v>18</v>
      </c>
      <c r="D396" s="6">
        <v>1000</v>
      </c>
    </row>
    <row r="397" spans="1:4" x14ac:dyDescent="0.3">
      <c r="A397" s="11">
        <v>44875</v>
      </c>
      <c r="B397" s="5">
        <v>4</v>
      </c>
      <c r="C397" s="12" t="s">
        <v>18</v>
      </c>
      <c r="D397" s="6">
        <v>1000</v>
      </c>
    </row>
    <row r="398" spans="1:4" x14ac:dyDescent="0.3">
      <c r="A398" s="11">
        <v>44876</v>
      </c>
      <c r="B398" s="5">
        <v>4</v>
      </c>
      <c r="C398" s="12" t="s">
        <v>18</v>
      </c>
      <c r="D398" s="6">
        <v>1000</v>
      </c>
    </row>
    <row r="399" spans="1:4" x14ac:dyDescent="0.3">
      <c r="A399" s="11">
        <v>44879</v>
      </c>
      <c r="B399" s="5">
        <v>4</v>
      </c>
      <c r="C399" s="12" t="s">
        <v>18</v>
      </c>
      <c r="D399" s="6">
        <v>1000</v>
      </c>
    </row>
    <row r="400" spans="1:4" x14ac:dyDescent="0.3">
      <c r="A400" s="11">
        <v>44880</v>
      </c>
      <c r="B400" s="5">
        <v>4</v>
      </c>
      <c r="C400" s="12" t="s">
        <v>18</v>
      </c>
      <c r="D400" s="6">
        <v>1000</v>
      </c>
    </row>
    <row r="401" spans="1:4" x14ac:dyDescent="0.3">
      <c r="A401" s="11">
        <v>44881</v>
      </c>
      <c r="B401" s="5">
        <v>4</v>
      </c>
      <c r="C401" s="12" t="s">
        <v>18</v>
      </c>
      <c r="D401" s="6">
        <v>1000</v>
      </c>
    </row>
    <row r="402" spans="1:4" x14ac:dyDescent="0.3">
      <c r="A402" s="11">
        <v>44740</v>
      </c>
      <c r="B402" s="5">
        <v>5</v>
      </c>
      <c r="C402" s="12" t="s">
        <v>73</v>
      </c>
      <c r="D402" s="6">
        <v>100.02500000000001</v>
      </c>
    </row>
    <row r="403" spans="1:4" x14ac:dyDescent="0.3">
      <c r="A403" s="11">
        <v>44741</v>
      </c>
      <c r="B403" s="5">
        <v>5</v>
      </c>
      <c r="C403" s="12" t="s">
        <v>73</v>
      </c>
      <c r="D403" s="6">
        <v>100.02538017313256</v>
      </c>
    </row>
    <row r="404" spans="1:4" x14ac:dyDescent="0.3">
      <c r="A404" s="11">
        <v>44742</v>
      </c>
      <c r="B404" s="5">
        <v>5</v>
      </c>
      <c r="C404" s="12" t="s">
        <v>73</v>
      </c>
      <c r="D404" s="6">
        <v>100.02576034481974</v>
      </c>
    </row>
    <row r="405" spans="1:4" x14ac:dyDescent="0.3">
      <c r="A405" s="11">
        <v>44743</v>
      </c>
      <c r="B405" s="5">
        <v>5</v>
      </c>
      <c r="C405" s="12" t="s">
        <v>73</v>
      </c>
      <c r="D405" s="6">
        <v>100.0261405150617</v>
      </c>
    </row>
    <row r="406" spans="1:4" x14ac:dyDescent="0.3">
      <c r="A406" s="11">
        <v>44747</v>
      </c>
      <c r="B406" s="5">
        <v>5</v>
      </c>
      <c r="C406" s="12" t="s">
        <v>73</v>
      </c>
      <c r="D406" s="6">
        <v>100.02652068385835</v>
      </c>
    </row>
    <row r="407" spans="1:4" x14ac:dyDescent="0.3">
      <c r="A407" s="11">
        <v>44748</v>
      </c>
      <c r="B407" s="5">
        <v>5</v>
      </c>
      <c r="C407" s="12" t="s">
        <v>73</v>
      </c>
      <c r="D407" s="6">
        <v>100.02690085120955</v>
      </c>
    </row>
    <row r="408" spans="1:4" x14ac:dyDescent="0.3">
      <c r="A408" s="11">
        <v>44749</v>
      </c>
      <c r="B408" s="5">
        <v>5</v>
      </c>
      <c r="C408" s="12" t="s">
        <v>73</v>
      </c>
      <c r="D408" s="6">
        <v>100.02728101711567</v>
      </c>
    </row>
    <row r="409" spans="1:4" x14ac:dyDescent="0.3">
      <c r="A409" s="11">
        <v>44750</v>
      </c>
      <c r="B409" s="5">
        <v>5</v>
      </c>
      <c r="C409" s="12" t="s">
        <v>73</v>
      </c>
      <c r="D409" s="6">
        <v>100.02766118157642</v>
      </c>
    </row>
    <row r="410" spans="1:4" x14ac:dyDescent="0.3">
      <c r="A410" s="11">
        <v>44753</v>
      </c>
      <c r="B410" s="5">
        <v>5</v>
      </c>
      <c r="C410" s="12" t="s">
        <v>73</v>
      </c>
      <c r="D410" s="6">
        <v>100.02804134459188</v>
      </c>
    </row>
    <row r="411" spans="1:4" x14ac:dyDescent="0.3">
      <c r="A411" s="11">
        <v>44754</v>
      </c>
      <c r="B411" s="5">
        <v>5</v>
      </c>
      <c r="C411" s="12" t="s">
        <v>73</v>
      </c>
      <c r="D411" s="6">
        <v>100.02842150616186</v>
      </c>
    </row>
    <row r="412" spans="1:4" x14ac:dyDescent="0.3">
      <c r="A412" s="11">
        <v>44755</v>
      </c>
      <c r="B412" s="5">
        <v>5</v>
      </c>
      <c r="C412" s="12" t="s">
        <v>73</v>
      </c>
      <c r="D412" s="6">
        <v>100.02880166628697</v>
      </c>
    </row>
    <row r="413" spans="1:4" x14ac:dyDescent="0.3">
      <c r="A413" s="11">
        <v>44756</v>
      </c>
      <c r="B413" s="5">
        <v>5</v>
      </c>
      <c r="C413" s="12" t="s">
        <v>73</v>
      </c>
      <c r="D413" s="6">
        <v>100.0291818249666</v>
      </c>
    </row>
    <row r="414" spans="1:4" x14ac:dyDescent="0.3">
      <c r="A414" s="11">
        <v>44757</v>
      </c>
      <c r="B414" s="5">
        <v>5</v>
      </c>
      <c r="C414" s="12" t="s">
        <v>73</v>
      </c>
      <c r="D414" s="6">
        <v>100.02956198220072</v>
      </c>
    </row>
    <row r="415" spans="1:4" x14ac:dyDescent="0.3">
      <c r="A415" s="11">
        <v>44760</v>
      </c>
      <c r="B415" s="5">
        <v>5</v>
      </c>
      <c r="C415" s="12" t="s">
        <v>73</v>
      </c>
      <c r="D415" s="6">
        <v>100.02994213799009</v>
      </c>
    </row>
    <row r="416" spans="1:4" x14ac:dyDescent="0.3">
      <c r="A416" s="11">
        <v>44761</v>
      </c>
      <c r="B416" s="5">
        <v>5</v>
      </c>
      <c r="C416" s="12" t="s">
        <v>73</v>
      </c>
      <c r="D416" s="6">
        <v>100.03032229233398</v>
      </c>
    </row>
    <row r="417" spans="1:4" x14ac:dyDescent="0.3">
      <c r="A417" s="11">
        <v>44762</v>
      </c>
      <c r="B417" s="5">
        <v>5</v>
      </c>
      <c r="C417" s="12" t="s">
        <v>73</v>
      </c>
      <c r="D417" s="6">
        <v>100.03070244523225</v>
      </c>
    </row>
    <row r="418" spans="1:4" x14ac:dyDescent="0.3">
      <c r="A418" s="11">
        <v>44763</v>
      </c>
      <c r="B418" s="5">
        <v>5</v>
      </c>
      <c r="C418" s="12" t="s">
        <v>73</v>
      </c>
      <c r="D418" s="6">
        <v>100.03108259668601</v>
      </c>
    </row>
    <row r="419" spans="1:4" x14ac:dyDescent="0.3">
      <c r="A419" s="11">
        <v>44764</v>
      </c>
      <c r="B419" s="5">
        <v>5</v>
      </c>
      <c r="C419" s="12" t="s">
        <v>73</v>
      </c>
      <c r="D419" s="6">
        <v>100.03146274669415</v>
      </c>
    </row>
    <row r="420" spans="1:4" x14ac:dyDescent="0.3">
      <c r="A420" s="11">
        <v>44767</v>
      </c>
      <c r="B420" s="5">
        <v>5</v>
      </c>
      <c r="C420" s="12" t="s">
        <v>73</v>
      </c>
      <c r="D420" s="6">
        <v>100.03184289525706</v>
      </c>
    </row>
    <row r="421" spans="1:4" x14ac:dyDescent="0.3">
      <c r="A421" s="11">
        <v>44768</v>
      </c>
      <c r="B421" s="5">
        <v>5</v>
      </c>
      <c r="C421" s="12" t="s">
        <v>73</v>
      </c>
      <c r="D421" s="6">
        <v>100.03222304237435</v>
      </c>
    </row>
    <row r="422" spans="1:4" x14ac:dyDescent="0.3">
      <c r="A422" s="11">
        <v>44769</v>
      </c>
      <c r="B422" s="5">
        <v>5</v>
      </c>
      <c r="C422" s="12" t="s">
        <v>73</v>
      </c>
      <c r="D422" s="6">
        <v>100.03260318804726</v>
      </c>
    </row>
    <row r="423" spans="1:4" x14ac:dyDescent="0.3">
      <c r="A423" s="11">
        <v>44770</v>
      </c>
      <c r="B423" s="5">
        <v>5</v>
      </c>
      <c r="C423" s="12" t="s">
        <v>73</v>
      </c>
      <c r="D423" s="6">
        <v>100.03298333227454</v>
      </c>
    </row>
    <row r="424" spans="1:4" x14ac:dyDescent="0.3">
      <c r="A424" s="11">
        <v>44771</v>
      </c>
      <c r="B424" s="5">
        <v>5</v>
      </c>
      <c r="C424" s="12" t="s">
        <v>73</v>
      </c>
      <c r="D424" s="6">
        <v>100.03336347505611</v>
      </c>
    </row>
    <row r="425" spans="1:4" x14ac:dyDescent="0.3">
      <c r="A425" s="11">
        <v>44774</v>
      </c>
      <c r="B425" s="5">
        <v>5</v>
      </c>
      <c r="C425" s="12" t="s">
        <v>73</v>
      </c>
      <c r="D425" s="6">
        <v>100.03374361639348</v>
      </c>
    </row>
    <row r="426" spans="1:4" x14ac:dyDescent="0.3">
      <c r="A426" s="11">
        <v>44775</v>
      </c>
      <c r="B426" s="5">
        <v>5</v>
      </c>
      <c r="C426" s="12" t="s">
        <v>73</v>
      </c>
      <c r="D426" s="6">
        <v>100.03412375628513</v>
      </c>
    </row>
    <row r="427" spans="1:4" x14ac:dyDescent="0.3">
      <c r="A427" s="11">
        <v>44776</v>
      </c>
      <c r="B427" s="5">
        <v>5</v>
      </c>
      <c r="C427" s="12" t="s">
        <v>73</v>
      </c>
      <c r="D427" s="6">
        <v>100.03450389473109</v>
      </c>
    </row>
    <row r="428" spans="1:4" x14ac:dyDescent="0.3">
      <c r="A428" s="11">
        <v>44777</v>
      </c>
      <c r="B428" s="5">
        <v>5</v>
      </c>
      <c r="C428" s="12" t="s">
        <v>73</v>
      </c>
      <c r="D428" s="6">
        <v>100.03488403173293</v>
      </c>
    </row>
    <row r="429" spans="1:4" x14ac:dyDescent="0.3">
      <c r="A429" s="11">
        <v>44778</v>
      </c>
      <c r="B429" s="5">
        <v>5</v>
      </c>
      <c r="C429" s="12" t="s">
        <v>73</v>
      </c>
      <c r="D429" s="6">
        <v>100.03526416728904</v>
      </c>
    </row>
    <row r="430" spans="1:4" x14ac:dyDescent="0.3">
      <c r="A430" s="11">
        <v>44781</v>
      </c>
      <c r="B430" s="5">
        <v>5</v>
      </c>
      <c r="C430" s="12" t="s">
        <v>73</v>
      </c>
      <c r="D430" s="6">
        <v>100.0356443014</v>
      </c>
    </row>
    <row r="431" spans="1:4" x14ac:dyDescent="0.3">
      <c r="A431" s="11">
        <v>44782</v>
      </c>
      <c r="B431" s="5">
        <v>5</v>
      </c>
      <c r="C431" s="12" t="s">
        <v>73</v>
      </c>
      <c r="D431" s="6">
        <v>100.03602443406513</v>
      </c>
    </row>
    <row r="432" spans="1:4" x14ac:dyDescent="0.3">
      <c r="A432" s="11">
        <v>44783</v>
      </c>
      <c r="B432" s="5">
        <v>5</v>
      </c>
      <c r="C432" s="12" t="s">
        <v>73</v>
      </c>
      <c r="D432" s="6">
        <v>100.02580270651434</v>
      </c>
    </row>
    <row r="433" spans="1:4" x14ac:dyDescent="0.3">
      <c r="A433" s="11">
        <v>44784</v>
      </c>
      <c r="B433" s="5">
        <v>5</v>
      </c>
      <c r="C433" s="12" t="s">
        <v>73</v>
      </c>
      <c r="D433" s="6">
        <v>100.02582954868666</v>
      </c>
    </row>
    <row r="434" spans="1:4" x14ac:dyDescent="0.3">
      <c r="A434" s="11">
        <v>44785</v>
      </c>
      <c r="B434" s="5">
        <v>5</v>
      </c>
      <c r="C434" s="12" t="s">
        <v>73</v>
      </c>
      <c r="D434" s="6">
        <v>100.02585639085181</v>
      </c>
    </row>
    <row r="435" spans="1:4" x14ac:dyDescent="0.3">
      <c r="A435" s="11">
        <v>44788</v>
      </c>
      <c r="B435" s="5">
        <v>5</v>
      </c>
      <c r="C435" s="12" t="s">
        <v>73</v>
      </c>
      <c r="D435" s="6">
        <v>100.02588323300972</v>
      </c>
    </row>
    <row r="436" spans="1:4" x14ac:dyDescent="0.3">
      <c r="A436" s="11">
        <v>44789</v>
      </c>
      <c r="B436" s="5">
        <v>5</v>
      </c>
      <c r="C436" s="12" t="s">
        <v>73</v>
      </c>
      <c r="D436" s="6">
        <v>100.02591007516043</v>
      </c>
    </row>
    <row r="437" spans="1:4" x14ac:dyDescent="0.3">
      <c r="A437" s="11">
        <v>44790</v>
      </c>
      <c r="B437" s="5">
        <v>5</v>
      </c>
      <c r="C437" s="12" t="s">
        <v>73</v>
      </c>
      <c r="D437" s="6">
        <v>100.02593691730395</v>
      </c>
    </row>
    <row r="438" spans="1:4" x14ac:dyDescent="0.3">
      <c r="A438" s="11">
        <v>44791</v>
      </c>
      <c r="B438" s="5">
        <v>5</v>
      </c>
      <c r="C438" s="12" t="s">
        <v>73</v>
      </c>
      <c r="D438" s="6">
        <v>100.02596375944026</v>
      </c>
    </row>
    <row r="439" spans="1:4" x14ac:dyDescent="0.3">
      <c r="A439" s="11">
        <v>44792</v>
      </c>
      <c r="B439" s="5">
        <v>5</v>
      </c>
      <c r="C439" s="12" t="s">
        <v>73</v>
      </c>
      <c r="D439" s="6">
        <v>100.02599060156935</v>
      </c>
    </row>
    <row r="440" spans="1:4" x14ac:dyDescent="0.3">
      <c r="A440" s="11">
        <v>44795</v>
      </c>
      <c r="B440" s="5">
        <v>5</v>
      </c>
      <c r="C440" s="12" t="s">
        <v>73</v>
      </c>
      <c r="D440" s="6">
        <v>100.02601744369125</v>
      </c>
    </row>
    <row r="441" spans="1:4" x14ac:dyDescent="0.3">
      <c r="A441" s="11">
        <v>44796</v>
      </c>
      <c r="B441" s="5">
        <v>5</v>
      </c>
      <c r="C441" s="12" t="s">
        <v>73</v>
      </c>
      <c r="D441" s="6">
        <v>100.02604428580595</v>
      </c>
    </row>
    <row r="442" spans="1:4" x14ac:dyDescent="0.3">
      <c r="A442" s="11">
        <v>44797</v>
      </c>
      <c r="B442" s="5">
        <v>5</v>
      </c>
      <c r="C442" s="12" t="s">
        <v>73</v>
      </c>
      <c r="D442" s="6">
        <v>100.02607112791341</v>
      </c>
    </row>
    <row r="443" spans="1:4" x14ac:dyDescent="0.3">
      <c r="A443" s="11">
        <v>44798</v>
      </c>
      <c r="B443" s="5">
        <v>5</v>
      </c>
      <c r="C443" s="12" t="s">
        <v>73</v>
      </c>
      <c r="D443" s="6">
        <v>100.02609797001371</v>
      </c>
    </row>
    <row r="444" spans="1:4" x14ac:dyDescent="0.3">
      <c r="A444" s="11">
        <v>44799</v>
      </c>
      <c r="B444" s="5">
        <v>5</v>
      </c>
      <c r="C444" s="12" t="s">
        <v>73</v>
      </c>
      <c r="D444" s="6">
        <v>100.02612481210585</v>
      </c>
    </row>
    <row r="445" spans="1:4" x14ac:dyDescent="0.3">
      <c r="A445" s="11">
        <v>44802</v>
      </c>
      <c r="B445" s="5">
        <v>5</v>
      </c>
      <c r="C445" s="12" t="s">
        <v>73</v>
      </c>
      <c r="D445" s="6">
        <v>100.02615165419266</v>
      </c>
    </row>
    <row r="446" spans="1:4" x14ac:dyDescent="0.3">
      <c r="A446" s="11">
        <v>44803</v>
      </c>
      <c r="B446" s="5">
        <v>5</v>
      </c>
      <c r="C446" s="12" t="s">
        <v>73</v>
      </c>
      <c r="D446" s="6">
        <v>100.02617849627131</v>
      </c>
    </row>
    <row r="447" spans="1:4" x14ac:dyDescent="0.3">
      <c r="A447" s="11">
        <v>44804</v>
      </c>
      <c r="B447" s="5">
        <v>5</v>
      </c>
      <c r="C447" s="12" t="s">
        <v>73</v>
      </c>
      <c r="D447" s="6">
        <v>100.02620533834276</v>
      </c>
    </row>
    <row r="448" spans="1:4" x14ac:dyDescent="0.3">
      <c r="A448" s="11">
        <v>44805</v>
      </c>
      <c r="B448" s="5">
        <v>5</v>
      </c>
      <c r="C448" s="12" t="s">
        <v>73</v>
      </c>
      <c r="D448" s="6">
        <v>100.02623218040705</v>
      </c>
    </row>
    <row r="449" spans="1:4" x14ac:dyDescent="0.3">
      <c r="A449" s="11">
        <v>44806</v>
      </c>
      <c r="B449" s="5">
        <v>5</v>
      </c>
      <c r="C449" s="12" t="s">
        <v>73</v>
      </c>
      <c r="D449" s="6">
        <v>100.02625902246407</v>
      </c>
    </row>
    <row r="450" spans="1:4" x14ac:dyDescent="0.3">
      <c r="A450" s="11">
        <v>44810</v>
      </c>
      <c r="B450" s="5">
        <v>5</v>
      </c>
      <c r="C450" s="12" t="s">
        <v>73</v>
      </c>
      <c r="D450" s="6">
        <v>100.02628586451391</v>
      </c>
    </row>
    <row r="451" spans="1:4" x14ac:dyDescent="0.3">
      <c r="A451" s="11">
        <v>44811</v>
      </c>
      <c r="B451" s="5">
        <v>5</v>
      </c>
      <c r="C451" s="12" t="s">
        <v>73</v>
      </c>
      <c r="D451" s="6">
        <v>100.02631270655655</v>
      </c>
    </row>
    <row r="452" spans="1:4" x14ac:dyDescent="0.3">
      <c r="A452" s="11">
        <v>44812</v>
      </c>
      <c r="B452" s="5">
        <v>5</v>
      </c>
      <c r="C452" s="12" t="s">
        <v>73</v>
      </c>
      <c r="D452" s="6">
        <v>100.02633954859198</v>
      </c>
    </row>
    <row r="453" spans="1:4" x14ac:dyDescent="0.3">
      <c r="A453" s="11">
        <v>44813</v>
      </c>
      <c r="B453" s="5">
        <v>5</v>
      </c>
      <c r="C453" s="12" t="s">
        <v>73</v>
      </c>
      <c r="D453" s="6">
        <v>100.02636639062023</v>
      </c>
    </row>
    <row r="454" spans="1:4" x14ac:dyDescent="0.3">
      <c r="A454" s="11">
        <v>44816</v>
      </c>
      <c r="B454" s="5">
        <v>5</v>
      </c>
      <c r="C454" s="12" t="s">
        <v>73</v>
      </c>
      <c r="D454" s="6">
        <v>100.02639323264123</v>
      </c>
    </row>
    <row r="455" spans="1:4" x14ac:dyDescent="0.3">
      <c r="A455" s="11">
        <v>44817</v>
      </c>
      <c r="B455" s="5">
        <v>5</v>
      </c>
      <c r="C455" s="12" t="s">
        <v>73</v>
      </c>
      <c r="D455" s="6">
        <v>100.02642007465508</v>
      </c>
    </row>
    <row r="456" spans="1:4" x14ac:dyDescent="0.3">
      <c r="A456" s="11">
        <v>44818</v>
      </c>
      <c r="B456" s="5">
        <v>5</v>
      </c>
      <c r="C456" s="12" t="s">
        <v>73</v>
      </c>
      <c r="D456" s="6">
        <v>100.0264469166617</v>
      </c>
    </row>
    <row r="457" spans="1:4" x14ac:dyDescent="0.3">
      <c r="A457" s="11">
        <v>44819</v>
      </c>
      <c r="B457" s="5">
        <v>5</v>
      </c>
      <c r="C457" s="12" t="s">
        <v>73</v>
      </c>
      <c r="D457" s="6">
        <v>100.02647375866108</v>
      </c>
    </row>
    <row r="458" spans="1:4" x14ac:dyDescent="0.3">
      <c r="A458" s="11">
        <v>44820</v>
      </c>
      <c r="B458" s="5">
        <v>5</v>
      </c>
      <c r="C458" s="12" t="s">
        <v>73</v>
      </c>
      <c r="D458" s="6">
        <v>100.02650060065329</v>
      </c>
    </row>
    <row r="459" spans="1:4" x14ac:dyDescent="0.3">
      <c r="A459" s="11">
        <v>44823</v>
      </c>
      <c r="B459" s="5">
        <v>5</v>
      </c>
      <c r="C459" s="12" t="s">
        <v>73</v>
      </c>
      <c r="D459" s="6">
        <v>100.0265274426383</v>
      </c>
    </row>
    <row r="460" spans="1:4" x14ac:dyDescent="0.3">
      <c r="A460" s="11">
        <v>44824</v>
      </c>
      <c r="B460" s="5">
        <v>5</v>
      </c>
      <c r="C460" s="12" t="s">
        <v>73</v>
      </c>
      <c r="D460" s="6">
        <v>100.02655428461607</v>
      </c>
    </row>
    <row r="461" spans="1:4" x14ac:dyDescent="0.3">
      <c r="A461" s="11">
        <v>44825</v>
      </c>
      <c r="B461" s="5">
        <v>5</v>
      </c>
      <c r="C461" s="12" t="s">
        <v>73</v>
      </c>
      <c r="D461" s="6">
        <v>100.02658112658665</v>
      </c>
    </row>
    <row r="462" spans="1:4" x14ac:dyDescent="0.3">
      <c r="A462" s="11">
        <v>44826</v>
      </c>
      <c r="B462" s="5">
        <v>5</v>
      </c>
      <c r="C462" s="12" t="s">
        <v>73</v>
      </c>
      <c r="D462" s="6">
        <v>100.02577472750103</v>
      </c>
    </row>
    <row r="463" spans="1:4" x14ac:dyDescent="0.3">
      <c r="A463" s="11">
        <v>44827</v>
      </c>
      <c r="B463" s="5">
        <v>5</v>
      </c>
      <c r="C463" s="12" t="s">
        <v>73</v>
      </c>
      <c r="D463" s="6">
        <v>100.02578768568989</v>
      </c>
    </row>
    <row r="464" spans="1:4" x14ac:dyDescent="0.3">
      <c r="A464" s="11">
        <v>44830</v>
      </c>
      <c r="B464" s="5">
        <v>5</v>
      </c>
      <c r="C464" s="12" t="s">
        <v>73</v>
      </c>
      <c r="D464" s="6">
        <v>100.02580064387577</v>
      </c>
    </row>
    <row r="465" spans="1:4" x14ac:dyDescent="0.3">
      <c r="A465" s="11">
        <v>44831</v>
      </c>
      <c r="B465" s="5">
        <v>5</v>
      </c>
      <c r="C465" s="12" t="s">
        <v>73</v>
      </c>
      <c r="D465" s="6">
        <v>100.02581360205853</v>
      </c>
    </row>
    <row r="466" spans="1:4" x14ac:dyDescent="0.3">
      <c r="A466" s="11">
        <v>44832</v>
      </c>
      <c r="B466" s="5">
        <v>5</v>
      </c>
      <c r="C466" s="12" t="s">
        <v>73</v>
      </c>
      <c r="D466" s="6">
        <v>100.02582656024246</v>
      </c>
    </row>
    <row r="467" spans="1:4" x14ac:dyDescent="0.3">
      <c r="A467" s="11">
        <v>44833</v>
      </c>
      <c r="B467" s="5">
        <v>5</v>
      </c>
      <c r="C467" s="12" t="s">
        <v>73</v>
      </c>
      <c r="D467" s="6">
        <v>100.02583951842328</v>
      </c>
    </row>
    <row r="468" spans="1:4" x14ac:dyDescent="0.3">
      <c r="A468" s="11">
        <v>44834</v>
      </c>
      <c r="B468" s="5">
        <v>5</v>
      </c>
      <c r="C468" s="12" t="s">
        <v>73</v>
      </c>
      <c r="D468" s="6">
        <v>100.02585247660095</v>
      </c>
    </row>
    <row r="469" spans="1:4" x14ac:dyDescent="0.3">
      <c r="A469" s="11">
        <v>44837</v>
      </c>
      <c r="B469" s="5">
        <v>5</v>
      </c>
      <c r="C469" s="12" t="s">
        <v>73</v>
      </c>
      <c r="D469" s="6">
        <v>100.02586543477993</v>
      </c>
    </row>
    <row r="470" spans="1:4" x14ac:dyDescent="0.3">
      <c r="A470" s="11">
        <v>44838</v>
      </c>
      <c r="B470" s="5">
        <v>5</v>
      </c>
      <c r="C470" s="12" t="s">
        <v>73</v>
      </c>
      <c r="D470" s="6">
        <v>100.02587839295569</v>
      </c>
    </row>
    <row r="471" spans="1:4" x14ac:dyDescent="0.3">
      <c r="A471" s="11">
        <v>44839</v>
      </c>
      <c r="B471" s="5">
        <v>5</v>
      </c>
      <c r="C471" s="12" t="s">
        <v>73</v>
      </c>
      <c r="D471" s="6">
        <v>100.02589135112828</v>
      </c>
    </row>
    <row r="472" spans="1:4" x14ac:dyDescent="0.3">
      <c r="A472" s="11">
        <v>44840</v>
      </c>
      <c r="B472" s="5">
        <v>5</v>
      </c>
      <c r="C472" s="12" t="s">
        <v>73</v>
      </c>
      <c r="D472" s="6">
        <v>100.02590430930225</v>
      </c>
    </row>
    <row r="473" spans="1:4" x14ac:dyDescent="0.3">
      <c r="A473" s="11">
        <v>44841</v>
      </c>
      <c r="B473" s="5">
        <v>5</v>
      </c>
      <c r="C473" s="12" t="s">
        <v>73</v>
      </c>
      <c r="D473" s="6">
        <v>100.02591726747302</v>
      </c>
    </row>
    <row r="474" spans="1:4" x14ac:dyDescent="0.3">
      <c r="A474" s="11">
        <v>44844</v>
      </c>
      <c r="B474" s="5">
        <v>5</v>
      </c>
      <c r="C474" s="12" t="s">
        <v>73</v>
      </c>
      <c r="D474" s="6">
        <v>100.02593022564209</v>
      </c>
    </row>
    <row r="475" spans="1:4" x14ac:dyDescent="0.3">
      <c r="A475" s="11">
        <v>44845</v>
      </c>
      <c r="B475" s="5">
        <v>5</v>
      </c>
      <c r="C475" s="12" t="s">
        <v>73</v>
      </c>
      <c r="D475" s="6">
        <v>100.02594318380785</v>
      </c>
    </row>
    <row r="476" spans="1:4" x14ac:dyDescent="0.3">
      <c r="A476" s="11">
        <v>44846</v>
      </c>
      <c r="B476" s="5">
        <v>5</v>
      </c>
      <c r="C476" s="12" t="s">
        <v>73</v>
      </c>
      <c r="D476" s="6">
        <v>100.02595614197521</v>
      </c>
    </row>
    <row r="477" spans="1:4" x14ac:dyDescent="0.3">
      <c r="A477" s="11">
        <v>44847</v>
      </c>
      <c r="B477" s="5">
        <v>5</v>
      </c>
      <c r="C477" s="12" t="s">
        <v>73</v>
      </c>
      <c r="D477" s="6">
        <v>100.02596910013924</v>
      </c>
    </row>
    <row r="478" spans="1:4" x14ac:dyDescent="0.3">
      <c r="A478" s="11">
        <v>44848</v>
      </c>
      <c r="B478" s="5">
        <v>5</v>
      </c>
      <c r="C478" s="12" t="s">
        <v>73</v>
      </c>
      <c r="D478" s="6">
        <v>100.02598205829993</v>
      </c>
    </row>
    <row r="479" spans="1:4" x14ac:dyDescent="0.3">
      <c r="A479" s="11">
        <v>44851</v>
      </c>
      <c r="B479" s="5">
        <v>5</v>
      </c>
      <c r="C479" s="12" t="s">
        <v>73</v>
      </c>
      <c r="D479" s="6">
        <v>100.02599501646226</v>
      </c>
    </row>
    <row r="480" spans="1:4" x14ac:dyDescent="0.3">
      <c r="A480" s="11">
        <v>44852</v>
      </c>
      <c r="B480" s="5">
        <v>5</v>
      </c>
      <c r="C480" s="12" t="s">
        <v>73</v>
      </c>
      <c r="D480" s="6">
        <v>100.02600797462129</v>
      </c>
    </row>
    <row r="481" spans="1:4" x14ac:dyDescent="0.3">
      <c r="A481" s="11">
        <v>44853</v>
      </c>
      <c r="B481" s="5">
        <v>5</v>
      </c>
      <c r="C481" s="12" t="s">
        <v>73</v>
      </c>
      <c r="D481" s="6">
        <v>100.02602093277686</v>
      </c>
    </row>
    <row r="482" spans="1:4" x14ac:dyDescent="0.3">
      <c r="A482" s="11">
        <v>44854</v>
      </c>
      <c r="B482" s="5">
        <v>5</v>
      </c>
      <c r="C482" s="12" t="s">
        <v>73</v>
      </c>
      <c r="D482" s="6">
        <v>100.02603389093427</v>
      </c>
    </row>
    <row r="483" spans="1:4" x14ac:dyDescent="0.3">
      <c r="A483" s="11">
        <v>44855</v>
      </c>
      <c r="B483" s="5">
        <v>5</v>
      </c>
      <c r="C483" s="12" t="s">
        <v>73</v>
      </c>
      <c r="D483" s="6">
        <v>100.0260468490882</v>
      </c>
    </row>
    <row r="484" spans="1:4" x14ac:dyDescent="0.3">
      <c r="A484" s="11">
        <v>44858</v>
      </c>
      <c r="B484" s="5">
        <v>5</v>
      </c>
      <c r="C484" s="12" t="s">
        <v>73</v>
      </c>
      <c r="D484" s="6">
        <v>100.02605980724049</v>
      </c>
    </row>
    <row r="485" spans="1:4" x14ac:dyDescent="0.3">
      <c r="A485" s="11">
        <v>44859</v>
      </c>
      <c r="B485" s="5">
        <v>5</v>
      </c>
      <c r="C485" s="12" t="s">
        <v>73</v>
      </c>
      <c r="D485" s="6">
        <v>100.02607276538927</v>
      </c>
    </row>
    <row r="486" spans="1:4" x14ac:dyDescent="0.3">
      <c r="A486" s="11">
        <v>44860</v>
      </c>
      <c r="B486" s="5">
        <v>5</v>
      </c>
      <c r="C486" s="12" t="s">
        <v>73</v>
      </c>
      <c r="D486" s="6">
        <v>100.02608572354002</v>
      </c>
    </row>
    <row r="487" spans="1:4" x14ac:dyDescent="0.3">
      <c r="A487" s="11">
        <v>44861</v>
      </c>
      <c r="B487" s="5">
        <v>5</v>
      </c>
      <c r="C487" s="12" t="s">
        <v>73</v>
      </c>
      <c r="D487" s="6">
        <v>100.02609868168729</v>
      </c>
    </row>
    <row r="488" spans="1:4" x14ac:dyDescent="0.3">
      <c r="A488" s="11">
        <v>44862</v>
      </c>
      <c r="B488" s="5">
        <v>5</v>
      </c>
      <c r="C488" s="12" t="s">
        <v>73</v>
      </c>
      <c r="D488" s="6">
        <v>100.02611163983092</v>
      </c>
    </row>
    <row r="489" spans="1:4" x14ac:dyDescent="0.3">
      <c r="A489" s="11">
        <v>44865</v>
      </c>
      <c r="B489" s="5">
        <v>5</v>
      </c>
      <c r="C489" s="12" t="s">
        <v>73</v>
      </c>
      <c r="D489" s="6">
        <v>100.02612459797673</v>
      </c>
    </row>
    <row r="490" spans="1:4" x14ac:dyDescent="0.3">
      <c r="A490" s="11">
        <v>44866</v>
      </c>
      <c r="B490" s="5">
        <v>5</v>
      </c>
      <c r="C490" s="12" t="s">
        <v>73</v>
      </c>
      <c r="D490" s="6">
        <v>100.02613755611897</v>
      </c>
    </row>
    <row r="491" spans="1:4" x14ac:dyDescent="0.3">
      <c r="A491" s="11">
        <v>44867</v>
      </c>
      <c r="B491" s="5">
        <v>5</v>
      </c>
      <c r="C491" s="12" t="s">
        <v>73</v>
      </c>
      <c r="D491" s="6">
        <v>100.02615051425749</v>
      </c>
    </row>
    <row r="492" spans="1:4" x14ac:dyDescent="0.3">
      <c r="A492" s="11">
        <v>44868</v>
      </c>
      <c r="B492" s="5">
        <v>5</v>
      </c>
      <c r="C492" s="12" t="s">
        <v>73</v>
      </c>
      <c r="D492" s="6">
        <v>100.02574685386026</v>
      </c>
    </row>
    <row r="493" spans="1:4" x14ac:dyDescent="0.3">
      <c r="A493" s="11">
        <v>44869</v>
      </c>
      <c r="B493" s="5">
        <v>5</v>
      </c>
      <c r="C493" s="12" t="s">
        <v>73</v>
      </c>
      <c r="D493" s="6">
        <v>100.02575518409168</v>
      </c>
    </row>
    <row r="494" spans="1:4" x14ac:dyDescent="0.3">
      <c r="A494" s="11">
        <v>44872</v>
      </c>
      <c r="B494" s="5">
        <v>5</v>
      </c>
      <c r="C494" s="12" t="s">
        <v>73</v>
      </c>
      <c r="D494" s="6">
        <v>100.02576351432239</v>
      </c>
    </row>
    <row r="495" spans="1:4" x14ac:dyDescent="0.3">
      <c r="A495" s="11">
        <v>44873</v>
      </c>
      <c r="B495" s="5">
        <v>5</v>
      </c>
      <c r="C495" s="12" t="s">
        <v>73</v>
      </c>
      <c r="D495" s="6">
        <v>100.02577184455244</v>
      </c>
    </row>
    <row r="496" spans="1:4" x14ac:dyDescent="0.3">
      <c r="A496" s="11">
        <v>44874</v>
      </c>
      <c r="B496" s="5">
        <v>5</v>
      </c>
      <c r="C496" s="12" t="s">
        <v>73</v>
      </c>
      <c r="D496" s="6">
        <v>100.02578017478177</v>
      </c>
    </row>
    <row r="497" spans="1:4" x14ac:dyDescent="0.3">
      <c r="A497" s="11">
        <v>44875</v>
      </c>
      <c r="B497" s="5">
        <v>5</v>
      </c>
      <c r="C497" s="12" t="s">
        <v>73</v>
      </c>
      <c r="D497" s="6">
        <v>100.02578850501042</v>
      </c>
    </row>
    <row r="498" spans="1:4" x14ac:dyDescent="0.3">
      <c r="A498" s="11">
        <v>44876</v>
      </c>
      <c r="B498" s="5">
        <v>5</v>
      </c>
      <c r="C498" s="12" t="s">
        <v>73</v>
      </c>
      <c r="D498" s="6">
        <v>100.02579683523838</v>
      </c>
    </row>
    <row r="499" spans="1:4" x14ac:dyDescent="0.3">
      <c r="A499" s="11">
        <v>44879</v>
      </c>
      <c r="B499" s="5">
        <v>5</v>
      </c>
      <c r="C499" s="12" t="s">
        <v>73</v>
      </c>
      <c r="D499" s="6">
        <v>100.02580516546563</v>
      </c>
    </row>
    <row r="500" spans="1:4" x14ac:dyDescent="0.3">
      <c r="A500" s="11">
        <v>44880</v>
      </c>
      <c r="B500" s="5">
        <v>5</v>
      </c>
      <c r="C500" s="12" t="s">
        <v>73</v>
      </c>
      <c r="D500" s="6">
        <v>100.02581349569219</v>
      </c>
    </row>
    <row r="501" spans="1:4" x14ac:dyDescent="0.3">
      <c r="A501" s="11">
        <v>44881</v>
      </c>
      <c r="B501" s="5">
        <v>5</v>
      </c>
      <c r="C501" s="12" t="s">
        <v>73</v>
      </c>
      <c r="D501" s="6">
        <v>100.02582182591807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R30"/>
  <sheetViews>
    <sheetView tabSelected="1" topLeftCell="A7" zoomScale="130" zoomScaleNormal="130" workbookViewId="0">
      <selection activeCell="M9" sqref="M9"/>
    </sheetView>
  </sheetViews>
  <sheetFormatPr defaultRowHeight="14.4" x14ac:dyDescent="0.3"/>
  <cols>
    <col min="1" max="1" width="12.5546875" customWidth="1"/>
    <col min="2" max="2" width="36.5546875" customWidth="1"/>
    <col min="3" max="3" width="19.6640625" customWidth="1"/>
    <col min="4" max="4" width="13.5546875" customWidth="1"/>
  </cols>
  <sheetData>
    <row r="1" spans="1:7" x14ac:dyDescent="0.3">
      <c r="A1" t="s">
        <v>41</v>
      </c>
      <c r="B1" t="s">
        <v>12</v>
      </c>
    </row>
    <row r="2" spans="1:7" x14ac:dyDescent="0.3">
      <c r="A2" t="s">
        <v>42</v>
      </c>
      <c r="B2" t="s">
        <v>13</v>
      </c>
    </row>
    <row r="3" spans="1:7" x14ac:dyDescent="0.3">
      <c r="A3" t="s">
        <v>43</v>
      </c>
      <c r="B3" t="s">
        <v>14</v>
      </c>
    </row>
    <row r="4" spans="1:7" x14ac:dyDescent="0.3">
      <c r="A4" t="s">
        <v>44</v>
      </c>
      <c r="B4" t="s">
        <v>15</v>
      </c>
    </row>
    <row r="5" spans="1:7" x14ac:dyDescent="0.3">
      <c r="A5" t="s">
        <v>45</v>
      </c>
      <c r="B5" t="s">
        <v>22</v>
      </c>
      <c r="D5" s="20"/>
    </row>
    <row r="7" spans="1:7" x14ac:dyDescent="0.3">
      <c r="B7" t="s">
        <v>48</v>
      </c>
    </row>
    <row r="8" spans="1:7" x14ac:dyDescent="0.3">
      <c r="B8" s="9" t="s">
        <v>49</v>
      </c>
      <c r="C8" s="9" t="s">
        <v>1</v>
      </c>
      <c r="D8" s="9" t="s">
        <v>51</v>
      </c>
      <c r="E8" s="9" t="s">
        <v>52</v>
      </c>
      <c r="F8" s="9" t="s">
        <v>53</v>
      </c>
      <c r="G8" s="9" t="s">
        <v>54</v>
      </c>
    </row>
    <row r="9" spans="1:7" x14ac:dyDescent="0.3">
      <c r="B9" s="5" t="s">
        <v>16</v>
      </c>
      <c r="C9" s="5" t="str">
        <f>Input!C2</f>
        <v>AAPL</v>
      </c>
      <c r="D9" s="18">
        <v>1.091964513146E-3</v>
      </c>
      <c r="E9" s="7">
        <v>-2.4431085192914231E-2</v>
      </c>
      <c r="F9" s="7">
        <v>-3.6776995242141217E-2</v>
      </c>
      <c r="G9" s="7">
        <v>-4.9310211708754534E-2</v>
      </c>
    </row>
    <row r="10" spans="1:7" x14ac:dyDescent="0.3">
      <c r="B10" s="5" t="s">
        <v>17</v>
      </c>
      <c r="C10" s="5" t="s">
        <v>65</v>
      </c>
      <c r="D10" s="18">
        <v>3.0426681757855339E-4</v>
      </c>
      <c r="E10" s="7">
        <v>-2.6524863996764789E-3</v>
      </c>
      <c r="F10" s="7">
        <v>-3.1089448259602357E-3</v>
      </c>
      <c r="G10" s="7">
        <v>-3.7095393955995193E-3</v>
      </c>
    </row>
    <row r="11" spans="1:7" x14ac:dyDescent="0.3">
      <c r="B11" s="5" t="s">
        <v>72</v>
      </c>
      <c r="C11" s="5" t="s">
        <v>66</v>
      </c>
      <c r="D11" s="18">
        <v>8.0853909898403793E-8</v>
      </c>
      <c r="E11" s="7">
        <v>0</v>
      </c>
      <c r="F11" s="7">
        <v>0</v>
      </c>
      <c r="G11" s="7">
        <v>-9.8785537059886686E-6</v>
      </c>
    </row>
    <row r="12" spans="1:7" x14ac:dyDescent="0.3">
      <c r="B12" s="5" t="s">
        <v>18</v>
      </c>
      <c r="C12" s="5" t="s">
        <v>21</v>
      </c>
      <c r="D12" s="18">
        <v>0</v>
      </c>
      <c r="E12" s="7">
        <v>0</v>
      </c>
      <c r="F12" s="7">
        <v>0</v>
      </c>
      <c r="G12" s="7">
        <v>0</v>
      </c>
    </row>
    <row r="13" spans="1:7" x14ac:dyDescent="0.3">
      <c r="B13" s="5" t="s">
        <v>73</v>
      </c>
      <c r="C13" s="5" t="s">
        <v>67</v>
      </c>
      <c r="D13" s="18">
        <v>8.0842716874342871E-8</v>
      </c>
      <c r="E13" s="7">
        <v>0</v>
      </c>
      <c r="F13" s="7">
        <v>0</v>
      </c>
      <c r="G13" s="7">
        <v>-9.8771809788611431E-6</v>
      </c>
    </row>
    <row r="14" spans="1:7" x14ac:dyDescent="0.3">
      <c r="B14" s="5" t="s">
        <v>50</v>
      </c>
      <c r="C14" s="5" t="s">
        <v>50</v>
      </c>
      <c r="D14" s="18">
        <v>1.064186048945243E-4</v>
      </c>
      <c r="E14" s="7">
        <v>-2.5127237694972044E-3</v>
      </c>
      <c r="F14" s="7">
        <v>-3.9031929016703046E-3</v>
      </c>
      <c r="G14" s="7">
        <v>-5.1158453104958078E-3</v>
      </c>
    </row>
    <row r="17" spans="6:18" x14ac:dyDescent="0.3">
      <c r="F17" s="22" t="s">
        <v>78</v>
      </c>
      <c r="G17" s="23"/>
      <c r="H17" s="23"/>
      <c r="I17" s="23"/>
      <c r="J17" s="23"/>
      <c r="K17" s="23"/>
      <c r="L17" s="23"/>
      <c r="M17" s="23"/>
      <c r="N17" s="23"/>
      <c r="O17" s="24"/>
    </row>
    <row r="18" spans="6:18" x14ac:dyDescent="0.3">
      <c r="F18" s="25" t="s">
        <v>84</v>
      </c>
      <c r="O18" s="26"/>
    </row>
    <row r="19" spans="6:18" x14ac:dyDescent="0.3">
      <c r="F19" s="25" t="s">
        <v>85</v>
      </c>
      <c r="O19" s="26"/>
    </row>
    <row r="20" spans="6:18" x14ac:dyDescent="0.3">
      <c r="F20" s="25" t="s">
        <v>86</v>
      </c>
      <c r="O20" s="26"/>
    </row>
    <row r="21" spans="6:18" x14ac:dyDescent="0.3">
      <c r="F21" s="27" t="s">
        <v>87</v>
      </c>
      <c r="G21" s="21"/>
      <c r="H21" s="21"/>
      <c r="I21" s="21"/>
      <c r="J21" s="21"/>
      <c r="K21" s="21"/>
      <c r="L21" s="21"/>
      <c r="M21" s="21"/>
      <c r="N21" s="21"/>
      <c r="O21" s="28"/>
    </row>
    <row r="24" spans="6:18" x14ac:dyDescent="0.3">
      <c r="F24" s="22" t="s">
        <v>74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4"/>
    </row>
    <row r="25" spans="6:18" x14ac:dyDescent="0.3">
      <c r="F25" s="25" t="s">
        <v>82</v>
      </c>
      <c r="R25" s="26"/>
    </row>
    <row r="26" spans="6:18" x14ac:dyDescent="0.3">
      <c r="F26" s="25" t="s">
        <v>79</v>
      </c>
      <c r="R26" s="26"/>
    </row>
    <row r="27" spans="6:18" x14ac:dyDescent="0.3">
      <c r="F27" s="25" t="s">
        <v>80</v>
      </c>
      <c r="R27" s="26"/>
    </row>
    <row r="28" spans="6:18" x14ac:dyDescent="0.3">
      <c r="F28" s="25" t="s">
        <v>81</v>
      </c>
      <c r="R28" s="26"/>
    </row>
    <row r="29" spans="6:18" x14ac:dyDescent="0.3">
      <c r="F29" s="25"/>
      <c r="R29" s="26"/>
    </row>
    <row r="30" spans="6:18" x14ac:dyDescent="0.3">
      <c r="F30" s="27" t="s">
        <v>83</v>
      </c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Input</vt:lpstr>
      <vt:lpstr>Market_Data</vt:lpstr>
      <vt:lpstr>Yield Curve</vt:lpstr>
      <vt:lpstr>RiskFreeRate</vt:lpstr>
      <vt:lpstr>Output</vt:lpstr>
      <vt:lpstr>Report</vt:lpstr>
      <vt:lpstr>AAPL_Date</vt:lpstr>
      <vt:lpstr>AAPL_Price</vt:lpstr>
      <vt:lpstr>AMZN_Date</vt:lpstr>
      <vt:lpstr>AMZN_Price</vt:lpstr>
      <vt:lpstr>COUPON</vt:lpstr>
      <vt:lpstr>Coupon_Margin</vt:lpstr>
      <vt:lpstr>discount</vt:lpstr>
      <vt:lpstr>Discount_Rate</vt:lpstr>
      <vt:lpstr>Forward_Rate</vt:lpstr>
      <vt:lpstr>FRN_Date</vt:lpstr>
      <vt:lpstr>GOOG_Date</vt:lpstr>
      <vt:lpstr>GOOG_Price</vt:lpstr>
      <vt:lpstr>Instrument_Type</vt:lpstr>
      <vt:lpstr>INTC_Date</vt:lpstr>
      <vt:lpstr>INTC_Price</vt:lpstr>
      <vt:lpstr>KO_Date</vt:lpstr>
      <vt:lpstr>KO_Price</vt:lpstr>
      <vt:lpstr>MSFT_Date</vt:lpstr>
      <vt:lpstr>MSFT_Price</vt:lpstr>
      <vt:lpstr>Notional</vt:lpstr>
      <vt:lpstr>Path</vt:lpstr>
      <vt:lpstr>Position_ID</vt:lpstr>
      <vt:lpstr>Quantity</vt:lpstr>
      <vt:lpstr>Riskfree_Date</vt:lpstr>
      <vt:lpstr>SPY_Date</vt:lpstr>
      <vt:lpstr>SPY_Price</vt:lpstr>
      <vt:lpstr>T_Date</vt:lpstr>
      <vt:lpstr>T_Price</vt:lpstr>
      <vt:lpstr>TGT_Date</vt:lpstr>
      <vt:lpstr>TGT_Price</vt:lpstr>
      <vt:lpstr>Ticker</vt:lpstr>
      <vt:lpstr>TSLA_Date</vt:lpstr>
      <vt:lpstr>TSLA_Price</vt:lpstr>
      <vt:lpstr>xx</vt:lpstr>
      <vt:lpstr>Yield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2022-12-05T22:01:41Z</dcterms:modified>
</cp:coreProperties>
</file>