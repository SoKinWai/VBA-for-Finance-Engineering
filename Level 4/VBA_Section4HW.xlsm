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filterPrivacy="1" codeName="ThisWorkbook" defaultThemeVersion="124226"/>
  <xr:revisionPtr revIDLastSave="0" documentId="13_ncr:1_{201F1038-3C93-46EB-B357-25488D25B99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Homework" sheetId="1" r:id="rId1"/>
    <sheet name="MarketData" sheetId="2" r:id="rId2"/>
  </sheets>
  <functionGroups builtInGroupCount="19"/>
  <definedNames>
    <definedName name="COB">MarketData!$R$24</definedName>
    <definedName name="INSTRUMENT">MarketData!$R$22</definedName>
    <definedName name="OUTPUT">MarketData!$Q$5:$S$14</definedName>
    <definedName name="pct">MarketData!$R$26</definedName>
    <definedName name="Value_at_risk">MarketData!$R$27</definedName>
    <definedName name="VaR">MarketData!$R$26</definedName>
    <definedName name="WEIGHT">MarketData!$R$25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5" i="1" l="1"/>
  <c r="N25" i="1"/>
  <c r="L25" i="1"/>
  <c r="M21" i="1"/>
  <c r="N21" i="1"/>
  <c r="L21" i="1"/>
  <c r="B56" i="2"/>
  <c r="B57" i="2" s="1"/>
  <c r="B58" i="2" s="1"/>
  <c r="B59" i="2" s="1"/>
  <c r="B60" i="2" s="1"/>
  <c r="B61" i="2" s="1"/>
  <c r="B62" i="2" s="1"/>
  <c r="B63" i="2" s="1"/>
  <c r="B64" i="2" s="1"/>
  <c r="K19" i="1" l="1"/>
  <c r="D23" i="1"/>
  <c r="E23" i="1"/>
  <c r="C23" i="1"/>
  <c r="D21" i="1"/>
  <c r="E21" i="1"/>
  <c r="C21" i="1"/>
  <c r="C73" i="2" l="1"/>
  <c r="C74" i="2"/>
  <c r="N13" i="2" s="1"/>
  <c r="C66" i="2"/>
  <c r="C67" i="2"/>
  <c r="N6" i="2" s="1"/>
  <c r="C68" i="2"/>
  <c r="C69" i="2"/>
  <c r="C70" i="2"/>
  <c r="C71" i="2"/>
  <c r="N10" i="2" s="1"/>
  <c r="C72" i="2"/>
  <c r="C65" i="2"/>
  <c r="B66" i="2"/>
  <c r="B67" i="2" s="1"/>
  <c r="B68" i="2" s="1"/>
  <c r="B69" i="2" s="1"/>
  <c r="B70" i="2" s="1"/>
  <c r="B71" i="2" s="1"/>
  <c r="B72" i="2" s="1"/>
  <c r="B73" i="2" s="1"/>
  <c r="B74" i="2" s="1"/>
  <c r="B46" i="2"/>
  <c r="B47" i="2" s="1"/>
  <c r="B48" i="2" s="1"/>
  <c r="B49" i="2" s="1"/>
  <c r="B50" i="2" s="1"/>
  <c r="B51" i="2" s="1"/>
  <c r="B52" i="2" s="1"/>
  <c r="B53" i="2" s="1"/>
  <c r="B54" i="2" s="1"/>
  <c r="M6" i="2"/>
  <c r="M7" i="2"/>
  <c r="M8" i="2"/>
  <c r="M9" i="2"/>
  <c r="M10" i="2"/>
  <c r="M11" i="2"/>
  <c r="M12" i="2"/>
  <c r="M13" i="2"/>
  <c r="M5" i="2"/>
  <c r="L6" i="2"/>
  <c r="L7" i="2"/>
  <c r="L8" i="2"/>
  <c r="L9" i="2"/>
  <c r="L10" i="2"/>
  <c r="L11" i="2"/>
  <c r="L12" i="2"/>
  <c r="L13" i="2"/>
  <c r="L5" i="2"/>
  <c r="K5" i="2"/>
  <c r="K13" i="2"/>
  <c r="K6" i="2"/>
  <c r="K7" i="2"/>
  <c r="K8" i="2"/>
  <c r="K9" i="2"/>
  <c r="K10" i="2"/>
  <c r="K11" i="2"/>
  <c r="K12" i="2"/>
  <c r="J6" i="2"/>
  <c r="J7" i="2"/>
  <c r="J8" i="2"/>
  <c r="J9" i="2"/>
  <c r="J10" i="2"/>
  <c r="J11" i="2"/>
  <c r="J12" i="2"/>
  <c r="J13" i="2"/>
  <c r="J5" i="2"/>
  <c r="I6" i="2"/>
  <c r="I7" i="2"/>
  <c r="I8" i="2"/>
  <c r="I9" i="2"/>
  <c r="I10" i="2"/>
  <c r="I11" i="2"/>
  <c r="I12" i="2"/>
  <c r="I13" i="2"/>
  <c r="I5" i="2"/>
  <c r="B36" i="2"/>
  <c r="B37" i="2" s="1"/>
  <c r="B38" i="2" s="1"/>
  <c r="B39" i="2" s="1"/>
  <c r="B40" i="2" s="1"/>
  <c r="B41" i="2" s="1"/>
  <c r="B42" i="2" s="1"/>
  <c r="B43" i="2" s="1"/>
  <c r="B44" i="2" s="1"/>
  <c r="B26" i="2"/>
  <c r="B27" i="2" s="1"/>
  <c r="B28" i="2" s="1"/>
  <c r="B29" i="2" s="1"/>
  <c r="B30" i="2" s="1"/>
  <c r="B31" i="2" s="1"/>
  <c r="B32" i="2" s="1"/>
  <c r="B33" i="2" s="1"/>
  <c r="B34" i="2" s="1"/>
  <c r="B16" i="2"/>
  <c r="B17" i="2" s="1"/>
  <c r="B18" i="2" s="1"/>
  <c r="B19" i="2" s="1"/>
  <c r="B20" i="2" s="1"/>
  <c r="B21" i="2" s="1"/>
  <c r="B22" i="2" s="1"/>
  <c r="B23" i="2" s="1"/>
  <c r="B24" i="2" s="1"/>
  <c r="B6" i="2"/>
  <c r="B7" i="2" s="1"/>
  <c r="B8" i="2" s="1"/>
  <c r="B9" i="2" s="1"/>
  <c r="B10" i="2" s="1"/>
  <c r="B11" i="2" s="1"/>
  <c r="B12" i="2" s="1"/>
  <c r="B13" i="2" s="1"/>
  <c r="B14" i="2" s="1"/>
  <c r="I16" i="2" l="1"/>
  <c r="M15" i="2"/>
  <c r="I17" i="2"/>
  <c r="N11" i="2"/>
  <c r="K15" i="2"/>
  <c r="L15" i="2"/>
  <c r="N12" i="2"/>
  <c r="N9" i="2"/>
  <c r="N8" i="2"/>
  <c r="N7" i="2"/>
  <c r="J17" i="2"/>
  <c r="N5" i="2"/>
  <c r="N15" i="2" s="1"/>
  <c r="I15" i="2"/>
  <c r="J15" i="2"/>
  <c r="I14" i="2"/>
  <c r="M16" i="2"/>
  <c r="M14" i="2"/>
  <c r="L16" i="2"/>
  <c r="K16" i="2"/>
  <c r="L14" i="2"/>
  <c r="K14" i="2"/>
  <c r="J16" i="2"/>
  <c r="J14" i="2"/>
  <c r="M17" i="2"/>
  <c r="L17" i="2"/>
  <c r="K17" i="2"/>
  <c r="N16" i="2" l="1"/>
  <c r="N14" i="2"/>
  <c r="N17" i="2"/>
</calcChain>
</file>

<file path=xl/sharedStrings.xml><?xml version="1.0" encoding="utf-8"?>
<sst xmlns="http://schemas.openxmlformats.org/spreadsheetml/2006/main" count="157" uniqueCount="72">
  <si>
    <t>Question 1:</t>
  </si>
  <si>
    <t>Question 2:</t>
  </si>
  <si>
    <t>Question 3:</t>
  </si>
  <si>
    <t>Add a VaR function which calculates the portfolio and marginal var of a single instrument type.</t>
  </si>
  <si>
    <t>Question 4:</t>
  </si>
  <si>
    <t>Question 5:</t>
  </si>
  <si>
    <t>On this sheet there should be a button. This will run the marginal vars of all instruments and present the following information:</t>
  </si>
  <si>
    <t>A.</t>
  </si>
  <si>
    <t>B.</t>
  </si>
  <si>
    <t>C.</t>
  </si>
  <si>
    <t>Which instrument had the highest marginal VaR.</t>
  </si>
  <si>
    <t>What the portfolio VaR is.</t>
  </si>
  <si>
    <t>Code a Derivatives class.</t>
  </si>
  <si>
    <t>Code a Portfolio collections class.</t>
  </si>
  <si>
    <t>Build a generic dataset (use Rand() ) on page "MarketData". This dataset should have 10 trading days, with 5 different instrument types, each once a day; total of 50 rows.</t>
  </si>
  <si>
    <t>D.</t>
  </si>
  <si>
    <t>Removing which instrument from the portfolio would yield the best overall portfolio return. You must remove only 1 instrument.</t>
  </si>
  <si>
    <t>Removing which instrument from the portfolio would yield the lowest (most attractive) portfolio VaR. You must remove only 1 instrument.</t>
  </si>
  <si>
    <t>Question 4</t>
  </si>
  <si>
    <t>Market Data</t>
  </si>
  <si>
    <t>Asset Names</t>
  </si>
  <si>
    <t>Date</t>
  </si>
  <si>
    <t>Value</t>
  </si>
  <si>
    <t>Commodity</t>
  </si>
  <si>
    <t>Equity</t>
  </si>
  <si>
    <t>Fixed Income</t>
  </si>
  <si>
    <t>Futures</t>
  </si>
  <si>
    <t>CDS</t>
  </si>
  <si>
    <t>Daily returns</t>
  </si>
  <si>
    <t>99% VaR</t>
  </si>
  <si>
    <t>95% VaR</t>
  </si>
  <si>
    <t>90% VaR</t>
  </si>
  <si>
    <t>Average</t>
  </si>
  <si>
    <t>Portfolio</t>
  </si>
  <si>
    <t>Portfolio (with initial equal quantity)</t>
  </si>
  <si>
    <t>Instrument:</t>
  </si>
  <si>
    <t>Weight:</t>
  </si>
  <si>
    <t>Date:</t>
  </si>
  <si>
    <t>% Return</t>
  </si>
  <si>
    <t>Percentage:</t>
  </si>
  <si>
    <t>VaR:</t>
  </si>
  <si>
    <t>Summary</t>
  </si>
  <si>
    <t xml:space="preserve">Instrument Type </t>
  </si>
  <si>
    <t>Return</t>
  </si>
  <si>
    <t>P-Remove Equity</t>
  </si>
  <si>
    <t>P-Remove Commodity</t>
  </si>
  <si>
    <t>P-Remove Fixed Income</t>
  </si>
  <si>
    <t>P- Remove Futures</t>
  </si>
  <si>
    <t>P-Remove CDS</t>
  </si>
  <si>
    <t>(0.1 is 90% VaR, 0.05 is 95% VAR, 0.01 is 99% VaR)</t>
  </si>
  <si>
    <t>Question 5_A:</t>
  </si>
  <si>
    <t>Question 5_B:</t>
  </si>
  <si>
    <t>Instrument had the highest marginal VaR:</t>
  </si>
  <si>
    <t xml:space="preserve">Portfolio with best over all return is </t>
  </si>
  <si>
    <t>Instrument had the greatest loss marginal VaR:</t>
  </si>
  <si>
    <t>Real assets</t>
  </si>
  <si>
    <t>The portfolio would yield the lowest (most attractive) portfolio VaR</t>
  </si>
  <si>
    <t>The portfilo would have the most risky portfolio VaR</t>
  </si>
  <si>
    <t xml:space="preserve">Does "yield the lowest (most attractive) portfolio VaR" mean the least risky portfolio VaR? </t>
  </si>
  <si>
    <t>Question 5_C:</t>
  </si>
  <si>
    <t>Question 5_D:</t>
  </si>
  <si>
    <t>&lt;--User can choose different instrument here</t>
  </si>
  <si>
    <t>&lt;--User can choose different dates here</t>
  </si>
  <si>
    <t>&lt;--User can choose different percentage here</t>
  </si>
  <si>
    <t>After user choose which instrument, date and percentage, user can click run and get the values--&gt;</t>
  </si>
  <si>
    <t xml:space="preserve">Test </t>
  </si>
  <si>
    <t>&lt;--Different price values and daily returns for different dates</t>
  </si>
  <si>
    <t xml:space="preserve">&lt;--Different price values for different  assets </t>
  </si>
  <si>
    <t>in different dates</t>
  </si>
  <si>
    <t>Use RAND()*100+100 to get the price values</t>
  </si>
  <si>
    <t>User can click Run Portfolio button to get the above results and click Clear Content</t>
  </si>
  <si>
    <t>button to clear out all the results--&gt;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</si>
</sst>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0" xfId="0" applyFont="1"/>
    <xf numFmtId="0" fontId="0" fillId="0" borderId="2" xfId="0" applyBorder="1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0" fontId="5" fillId="0" borderId="0" xfId="0" applyFont="1"/>
    <xf numFmtId="0" fontId="7" fillId="0" borderId="0" xfId="0" applyFont="1"/>
    <xf numFmtId="0" fontId="0" fillId="0" borderId="3" xfId="0" applyBorder="1"/>
    <xf numFmtId="0" fontId="1" fillId="0" borderId="0" xfId="0" applyFont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0" fontId="0" fillId="0" borderId="1" xfId="1" applyNumberFormat="1" applyFont="1" applyBorder="1"/>
    <xf numFmtId="10" fontId="7" fillId="0" borderId="1" xfId="1" applyNumberFormat="1" applyFont="1" applyBorder="1"/>
    <xf numFmtId="0" fontId="1" fillId="0" borderId="0" xfId="0" applyFont="1" applyAlignment="1">
      <alignment horizontal="right"/>
    </xf>
    <xf numFmtId="0" fontId="6" fillId="0" borderId="1" xfId="0" applyFont="1" applyBorder="1"/>
    <xf numFmtId="10" fontId="1" fillId="0" borderId="1" xfId="1" applyNumberFormat="1" applyFont="1" applyBorder="1"/>
    <xf numFmtId="0" fontId="1" fillId="0" borderId="1" xfId="0" applyFont="1" applyBorder="1"/>
    <xf numFmtId="0" fontId="1" fillId="0" borderId="4" xfId="0" applyFont="1" applyBorder="1"/>
    <xf numFmtId="0" fontId="1" fillId="0" borderId="5" xfId="0" applyFont="1" applyBorder="1"/>
    <xf numFmtId="10" fontId="0" fillId="0" borderId="1" xfId="0" applyNumberFormat="1" applyBorder="1"/>
    <xf numFmtId="1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28</xdr:row>
          <xdr:rowOff>76200</xdr:rowOff>
        </xdr:from>
        <xdr:to>
          <xdr:col>9</xdr:col>
          <xdr:colOff>487680</xdr:colOff>
          <xdr:row>33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28</xdr:row>
          <xdr:rowOff>53340</xdr:rowOff>
        </xdr:from>
        <xdr:to>
          <xdr:col>4</xdr:col>
          <xdr:colOff>556260</xdr:colOff>
          <xdr:row>33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541020</xdr:colOff>
          <xdr:row>13</xdr:row>
          <xdr:rowOff>137160</xdr:rowOff>
        </xdr:from>
        <xdr:to>
          <xdr:col>24</xdr:col>
          <xdr:colOff>175260</xdr:colOff>
          <xdr:row>20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ass1"/>
  <dimension ref="A1:R31"/>
  <sheetViews>
    <sheetView showGridLines="0" workbookViewId="0">
      <selection activeCell="B9" sqref="B9:R9"/>
    </sheetView>
  </sheetViews>
  <sheetFormatPr defaultRowHeight="14.4" x14ac:dyDescent="0.3"/>
  <cols>
    <col min="1" max="1" width="13" customWidth="1"/>
    <col min="2" max="2" width="45.109375" customWidth="1"/>
    <col min="3" max="3" width="17.109375" customWidth="1"/>
    <col min="4" max="4" width="19.109375" customWidth="1"/>
    <col min="5" max="5" width="21.88671875" customWidth="1"/>
    <col min="9" max="9" width="19.6640625" customWidth="1"/>
    <col min="10" max="10" width="68.6640625" customWidth="1"/>
    <col min="11" max="11" width="35" customWidth="1"/>
    <col min="12" max="12" width="25.44140625" customWidth="1"/>
    <col min="13" max="13" width="24" customWidth="1"/>
    <col min="14" max="14" width="25" customWidth="1"/>
  </cols>
  <sheetData>
    <row r="1" spans="1:18" x14ac:dyDescent="0.3">
      <c r="A1" s="1" t="s">
        <v>0</v>
      </c>
      <c r="B1" s="26" t="s">
        <v>12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3">
      <c r="A2" s="1" t="s">
        <v>1</v>
      </c>
      <c r="B2" s="26" t="s">
        <v>13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</row>
    <row r="3" spans="1:18" x14ac:dyDescent="0.3">
      <c r="A3" s="1" t="s">
        <v>2</v>
      </c>
      <c r="B3" s="26" t="s">
        <v>3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3">
      <c r="A4" s="1" t="s">
        <v>4</v>
      </c>
      <c r="B4" s="26" t="s">
        <v>14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3">
      <c r="A5" s="1" t="s">
        <v>5</v>
      </c>
      <c r="B5" s="26" t="s">
        <v>6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6" spans="1:18" x14ac:dyDescent="0.3">
      <c r="A6" s="2" t="s">
        <v>7</v>
      </c>
      <c r="B6" s="26" t="s">
        <v>11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3">
      <c r="A7" s="2" t="s">
        <v>8</v>
      </c>
      <c r="B7" s="26" t="s">
        <v>10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3">
      <c r="A8" s="2" t="s">
        <v>9</v>
      </c>
      <c r="B8" s="26" t="s">
        <v>16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spans="1:18" x14ac:dyDescent="0.3">
      <c r="A9" s="2" t="s">
        <v>15</v>
      </c>
      <c r="B9" s="26" t="s">
        <v>17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2" spans="1:18" x14ac:dyDescent="0.3">
      <c r="B12" s="3" t="s">
        <v>41</v>
      </c>
      <c r="J12" s="3" t="s">
        <v>33</v>
      </c>
      <c r="K12" s="13" t="s">
        <v>43</v>
      </c>
      <c r="L12" s="13" t="s">
        <v>31</v>
      </c>
      <c r="M12" s="13" t="s">
        <v>30</v>
      </c>
      <c r="N12" s="13" t="s">
        <v>29</v>
      </c>
    </row>
    <row r="13" spans="1:18" x14ac:dyDescent="0.3">
      <c r="B13" s="3" t="s">
        <v>42</v>
      </c>
      <c r="C13" s="17" t="s">
        <v>31</v>
      </c>
      <c r="D13" s="17" t="s">
        <v>30</v>
      </c>
      <c r="E13" s="17" t="s">
        <v>29</v>
      </c>
      <c r="J13" s="3" t="s">
        <v>45</v>
      </c>
      <c r="K13" s="14">
        <v>-1.0300287749800839E-2</v>
      </c>
      <c r="L13" s="14">
        <v>-7.9776075780228356E-2</v>
      </c>
      <c r="M13" s="14">
        <v>-9.9314880162570673E-2</v>
      </c>
      <c r="N13" s="14">
        <v>-0.1149459236684445</v>
      </c>
    </row>
    <row r="14" spans="1:18" x14ac:dyDescent="0.3">
      <c r="B14" s="3" t="s">
        <v>23</v>
      </c>
      <c r="C14" s="15">
        <v>-0.25908512629596558</v>
      </c>
      <c r="D14" s="15">
        <v>-0.30674558671440116</v>
      </c>
      <c r="E14" s="15">
        <v>-0.34487395504914964</v>
      </c>
      <c r="J14" s="3" t="s">
        <v>44</v>
      </c>
      <c r="K14" s="14">
        <v>-5.930019691195036E-3</v>
      </c>
      <c r="L14" s="14">
        <v>-0.10248800399300387</v>
      </c>
      <c r="M14" s="14">
        <v>-0.10397772822112035</v>
      </c>
      <c r="N14" s="14">
        <v>-0.10516950760361353</v>
      </c>
    </row>
    <row r="15" spans="1:18" x14ac:dyDescent="0.3">
      <c r="B15" s="3" t="s">
        <v>24</v>
      </c>
      <c r="C15" s="15">
        <v>-0.24137396478123171</v>
      </c>
      <c r="D15" s="15">
        <v>-0.33163122742931034</v>
      </c>
      <c r="E15" s="15">
        <v>-0.40383703754777323</v>
      </c>
      <c r="J15" s="3" t="s">
        <v>46</v>
      </c>
      <c r="K15" s="14">
        <v>9.3146563525979705E-4</v>
      </c>
      <c r="L15" s="14">
        <v>-9.2174761966918317E-2</v>
      </c>
      <c r="M15" s="14">
        <v>-0.10875740365843478</v>
      </c>
      <c r="N15" s="14">
        <v>-0.12202351701164794</v>
      </c>
    </row>
    <row r="16" spans="1:18" x14ac:dyDescent="0.3">
      <c r="B16" s="3" t="s">
        <v>25</v>
      </c>
      <c r="C16" s="15">
        <v>-0.28637890956972933</v>
      </c>
      <c r="D16" s="15">
        <v>-0.29337226630961749</v>
      </c>
      <c r="E16" s="15">
        <v>-0.29896695170152804</v>
      </c>
      <c r="J16" s="3" t="s">
        <v>47</v>
      </c>
      <c r="K16" s="14">
        <v>-9.9101245952745911E-3</v>
      </c>
      <c r="L16" s="14">
        <v>-8.6366528713555268E-2</v>
      </c>
      <c r="M16" s="14">
        <v>-0.10652947922257804</v>
      </c>
      <c r="N16" s="14">
        <v>-0.12265983962979622</v>
      </c>
    </row>
    <row r="17" spans="1:14" x14ac:dyDescent="0.3">
      <c r="B17" s="21" t="s">
        <v>26</v>
      </c>
      <c r="C17" s="15">
        <v>-0.16092745056181579</v>
      </c>
      <c r="D17" s="15">
        <v>-0.22031702281966023</v>
      </c>
      <c r="E17" s="15">
        <v>-0.26782868062593573</v>
      </c>
      <c r="J17" s="3" t="s">
        <v>48</v>
      </c>
      <c r="K17" s="14">
        <v>3.3545474749821316E-3</v>
      </c>
      <c r="L17" s="14">
        <v>-5.7137610891037902E-2</v>
      </c>
      <c r="M17" s="14">
        <v>-7.3260760042823697E-2</v>
      </c>
      <c r="N17" s="14">
        <v>-8.6159279364252314E-2</v>
      </c>
    </row>
    <row r="18" spans="1:14" x14ac:dyDescent="0.3">
      <c r="B18" s="21" t="s">
        <v>27</v>
      </c>
      <c r="C18" s="16">
        <v>-0.2151253345741205</v>
      </c>
      <c r="D18" s="16">
        <v>-0.29296759555678592</v>
      </c>
      <c r="E18" s="15">
        <v>-0.35524140434291823</v>
      </c>
    </row>
    <row r="19" spans="1:14" x14ac:dyDescent="0.3">
      <c r="A19" s="10" t="s">
        <v>50</v>
      </c>
      <c r="B19" s="10" t="s">
        <v>34</v>
      </c>
      <c r="C19" s="19">
        <v>-6.6161996025434933E-2</v>
      </c>
      <c r="D19" s="19">
        <v>-7.4966303300331605E-2</v>
      </c>
      <c r="E19" s="19">
        <v>-8.2009749120248943E-2</v>
      </c>
      <c r="I19" s="10" t="s">
        <v>59</v>
      </c>
      <c r="J19" s="10" t="s">
        <v>53</v>
      </c>
      <c r="K19" s="20" t="str">
        <f>INDEX(J13:J17,MATCH(MAX(K13:K17),K13:K17,0))</f>
        <v>P-Remove CDS</v>
      </c>
    </row>
    <row r="20" spans="1:14" x14ac:dyDescent="0.3">
      <c r="B20" s="11"/>
      <c r="C20" s="9"/>
      <c r="D20" s="9"/>
      <c r="E20" s="9"/>
    </row>
    <row r="21" spans="1:14" x14ac:dyDescent="0.3">
      <c r="A21" s="10" t="s">
        <v>51</v>
      </c>
      <c r="B21" s="10" t="s">
        <v>52</v>
      </c>
      <c r="C21" s="18" t="str">
        <f>INDEX($B$14:$B$18,MATCH(MAX(C14:C18),C14:C18,0))</f>
        <v>Futures</v>
      </c>
      <c r="D21" s="18" t="str">
        <f t="shared" ref="D21:E21" si="0">INDEX($B$14:$B$18,MATCH(MAX(D14:D18),D14:D18,0))</f>
        <v>Futures</v>
      </c>
      <c r="E21" s="18" t="str">
        <f t="shared" si="0"/>
        <v>Futures</v>
      </c>
      <c r="I21" s="10" t="s">
        <v>60</v>
      </c>
      <c r="J21" s="10" t="s">
        <v>56</v>
      </c>
      <c r="L21" s="20" t="str">
        <f>INDEX($J$13:$J$17,MATCH(MAX(L13:L17),L13:L17,0))</f>
        <v>P-Remove CDS</v>
      </c>
      <c r="M21" s="20" t="str">
        <f t="shared" ref="M21:N21" si="1">INDEX($J$13:$J$17,MATCH(MAX(M13:M17),M13:M17,0))</f>
        <v>P-Remove CDS</v>
      </c>
      <c r="N21" s="20" t="str">
        <f t="shared" si="1"/>
        <v>P-Remove CDS</v>
      </c>
    </row>
    <row r="23" spans="1:14" x14ac:dyDescent="0.3">
      <c r="B23" t="s">
        <v>54</v>
      </c>
      <c r="C23" t="str">
        <f>INDEX($B$14:$B$18,MATCH(MIN(C14:C18),C14:C18,0))</f>
        <v>Fixed Income</v>
      </c>
      <c r="D23" t="str">
        <f t="shared" ref="D23:E23" si="2">INDEX($B$14:$B$18,MATCH(MIN(D14:D18),D14:D18,0))</f>
        <v>Equity</v>
      </c>
      <c r="E23" t="str">
        <f t="shared" si="2"/>
        <v>Equity</v>
      </c>
      <c r="J23" t="s">
        <v>58</v>
      </c>
    </row>
    <row r="25" spans="1:14" x14ac:dyDescent="0.3">
      <c r="J25" t="s">
        <v>57</v>
      </c>
      <c r="L25" t="str">
        <f>INDEX($J$13:$J$17,MATCH(MIN(L13:L17),L13:L17,0))</f>
        <v>P-Remove Equity</v>
      </c>
      <c r="M25" t="str">
        <f t="shared" ref="M25:N25" si="3">INDEX($J$13:$J$17,MATCH(MIN(M13:M17),M13:M17,0))</f>
        <v>P-Remove Fixed Income</v>
      </c>
      <c r="N25" t="str">
        <f t="shared" si="3"/>
        <v>P- Remove Futures</v>
      </c>
    </row>
    <row r="28" spans="1:14" x14ac:dyDescent="0.3">
      <c r="A28" s="6" t="s">
        <v>70</v>
      </c>
    </row>
    <row r="29" spans="1:14" x14ac:dyDescent="0.3">
      <c r="A29" s="6" t="s">
        <v>71</v>
      </c>
    </row>
    <row r="31" spans="1:14" x14ac:dyDescent="0.3">
      <c r="J31" s="3"/>
    </row>
  </sheetData>
  <mergeCells count="9">
    <mergeCell ref="B7:R7"/>
    <mergeCell ref="B8:R8"/>
    <mergeCell ref="B9:R9"/>
    <mergeCell ref="B1:R1"/>
    <mergeCell ref="B2:R2"/>
    <mergeCell ref="B3:R3"/>
    <mergeCell ref="B4:R4"/>
    <mergeCell ref="B5:R5"/>
    <mergeCell ref="B6:R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unPortfolio.RunPortfolio">
                <anchor moveWithCells="1" sizeWithCells="1">
                  <from>
                    <xdr:col>6</xdr:col>
                    <xdr:colOff>289560</xdr:colOff>
                    <xdr:row>28</xdr:row>
                    <xdr:rowOff>76200</xdr:rowOff>
                  </from>
                  <to>
                    <xdr:col>9</xdr:col>
                    <xdr:colOff>487680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earContent">
                <anchor moveWithCells="1" sizeWithCells="1">
                  <from>
                    <xdr:col>2</xdr:col>
                    <xdr:colOff>937260</xdr:colOff>
                    <xdr:row>28</xdr:row>
                    <xdr:rowOff>53340</xdr:rowOff>
                  </from>
                  <to>
                    <xdr:col>4</xdr:col>
                    <xdr:colOff>556260</xdr:colOff>
                    <xdr:row>33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74"/>
  <sheetViews>
    <sheetView tabSelected="1" topLeftCell="A52" workbookViewId="0">
      <selection activeCell="H22" sqref="H22"/>
    </sheetView>
  </sheetViews>
  <sheetFormatPr defaultRowHeight="14.4" x14ac:dyDescent="0.3"/>
  <cols>
    <col min="1" max="1" width="20.5546875" customWidth="1"/>
    <col min="2" max="2" width="17.77734375" customWidth="1"/>
    <col min="3" max="3" width="14.44140625" customWidth="1"/>
    <col min="5" max="5" width="13.77734375" customWidth="1"/>
    <col min="8" max="8" width="18.44140625" customWidth="1"/>
    <col min="9" max="9" width="17.77734375" customWidth="1"/>
    <col min="11" max="12" width="14" customWidth="1"/>
    <col min="13" max="13" width="10.77734375" customWidth="1"/>
    <col min="14" max="14" width="37.33203125" customWidth="1"/>
    <col min="17" max="17" width="21.5546875" customWidth="1"/>
    <col min="18" max="18" width="19" customWidth="1"/>
    <col min="19" max="19" width="19.44140625" customWidth="1"/>
  </cols>
  <sheetData>
    <row r="1" spans="1:21" x14ac:dyDescent="0.3">
      <c r="A1" s="3" t="s">
        <v>18</v>
      </c>
    </row>
    <row r="2" spans="1:21" x14ac:dyDescent="0.3">
      <c r="D2" s="6" t="s">
        <v>67</v>
      </c>
    </row>
    <row r="3" spans="1:21" x14ac:dyDescent="0.3">
      <c r="A3" s="3" t="s">
        <v>19</v>
      </c>
      <c r="B3" s="3"/>
      <c r="C3" s="3"/>
      <c r="D3" s="6" t="s">
        <v>68</v>
      </c>
      <c r="H3" s="10" t="s">
        <v>28</v>
      </c>
      <c r="Q3" s="10" t="s">
        <v>65</v>
      </c>
    </row>
    <row r="4" spans="1:21" x14ac:dyDescent="0.3">
      <c r="A4" s="3" t="s">
        <v>20</v>
      </c>
      <c r="B4" s="3" t="s">
        <v>21</v>
      </c>
      <c r="C4" s="3" t="s">
        <v>22</v>
      </c>
      <c r="H4" s="3" t="s">
        <v>21</v>
      </c>
      <c r="I4" s="3" t="s">
        <v>23</v>
      </c>
      <c r="J4" s="3" t="s">
        <v>24</v>
      </c>
      <c r="K4" s="3" t="s">
        <v>25</v>
      </c>
      <c r="L4" s="22" t="s">
        <v>26</v>
      </c>
      <c r="M4" s="3" t="s">
        <v>27</v>
      </c>
      <c r="N4" s="3" t="s">
        <v>34</v>
      </c>
      <c r="Q4" s="3" t="s">
        <v>21</v>
      </c>
      <c r="R4" s="3" t="s">
        <v>22</v>
      </c>
      <c r="S4" s="3" t="s">
        <v>38</v>
      </c>
      <c r="U4" s="6" t="s">
        <v>66</v>
      </c>
    </row>
    <row r="5" spans="1:21" x14ac:dyDescent="0.3">
      <c r="A5" t="s">
        <v>23</v>
      </c>
      <c r="B5" s="5">
        <v>44872</v>
      </c>
      <c r="C5" s="7">
        <v>158.79229818152942</v>
      </c>
      <c r="D5" s="6" t="s">
        <v>69</v>
      </c>
      <c r="H5" s="5">
        <v>44873</v>
      </c>
      <c r="I5" s="15">
        <f>(C6-C5)/C5</f>
        <v>-0.23525489608674774</v>
      </c>
      <c r="J5" s="15">
        <f>(C16-C15)/C15</f>
        <v>2.5460807065204486E-2</v>
      </c>
      <c r="K5" s="15">
        <f>(C26-C25)/C25</f>
        <v>-0.19888764954898813</v>
      </c>
      <c r="L5" s="15">
        <f>(C36-C35)/C35</f>
        <v>0.2608617732516047</v>
      </c>
      <c r="M5" s="15">
        <f>(C46-C45)/C45</f>
        <v>-0.10295945594450044</v>
      </c>
      <c r="N5" s="8">
        <f t="shared" ref="N5:N13" si="0">(C66-C65)/C65</f>
        <v>-6.175984238798659E-2</v>
      </c>
      <c r="Q5" s="24">
        <v>44872</v>
      </c>
      <c r="R5" s="25">
        <v>158.79229818152942</v>
      </c>
      <c r="S5" s="15"/>
    </row>
    <row r="6" spans="1:21" x14ac:dyDescent="0.3">
      <c r="A6" t="s">
        <v>23</v>
      </c>
      <c r="B6" s="5">
        <f>WORKDAY(B5,1)</f>
        <v>44873</v>
      </c>
      <c r="C6" s="7">
        <v>121.43563257345785</v>
      </c>
      <c r="H6" s="5">
        <v>44874</v>
      </c>
      <c r="I6" s="15">
        <f t="shared" ref="I6:I13" si="1">(C7-C6)/C6</f>
        <v>-0.15656256971160837</v>
      </c>
      <c r="J6" s="15">
        <f t="shared" ref="J6:J13" si="2">(C17-C16)/C16</f>
        <v>-5.6402966212341582E-3</v>
      </c>
      <c r="K6" s="15">
        <f t="shared" ref="K6:K12" si="3">(C27-C26)/C26</f>
        <v>0.11435695571367564</v>
      </c>
      <c r="L6" s="15">
        <f t="shared" ref="L6:L13" si="4">(C37-C36)/C36</f>
        <v>-0.27970659507750456</v>
      </c>
      <c r="M6" s="15">
        <f t="shared" ref="M6:M13" si="5">(C47-C46)/C46</f>
        <v>-6.4442232361552693E-2</v>
      </c>
      <c r="N6" s="8">
        <f t="shared" si="0"/>
        <v>-8.3770610575228444E-2</v>
      </c>
      <c r="Q6" s="24">
        <v>44873</v>
      </c>
      <c r="R6" s="25">
        <v>121.43563257345785</v>
      </c>
      <c r="S6" s="15">
        <v>-0.23525489608674777</v>
      </c>
    </row>
    <row r="7" spans="1:21" x14ac:dyDescent="0.3">
      <c r="A7" t="s">
        <v>23</v>
      </c>
      <c r="B7" s="5">
        <f t="shared" ref="B7:B14" si="6">WORKDAY(B6,1)</f>
        <v>44874</v>
      </c>
      <c r="C7" s="7">
        <v>102.4233578832026</v>
      </c>
      <c r="H7" s="5">
        <v>44875</v>
      </c>
      <c r="I7" s="15">
        <f t="shared" si="1"/>
        <v>-1.9686369281032068E-2</v>
      </c>
      <c r="J7" s="15">
        <f t="shared" si="2"/>
        <v>-0.19624533345719242</v>
      </c>
      <c r="K7" s="15">
        <f t="shared" si="3"/>
        <v>0.19498737590245549</v>
      </c>
      <c r="L7" s="15">
        <f t="shared" si="4"/>
        <v>-0.10100012447057935</v>
      </c>
      <c r="M7" s="15">
        <f t="shared" si="5"/>
        <v>1.0879756390935923E-2</v>
      </c>
      <c r="N7" s="8">
        <f t="shared" si="0"/>
        <v>-2.3421097575211682E-2</v>
      </c>
      <c r="Q7" s="24">
        <v>44874</v>
      </c>
      <c r="R7" s="25">
        <v>102.4233578832026</v>
      </c>
      <c r="S7" s="15">
        <v>-0.15656256971160831</v>
      </c>
    </row>
    <row r="8" spans="1:21" x14ac:dyDescent="0.3">
      <c r="A8" t="s">
        <v>23</v>
      </c>
      <c r="B8" s="5">
        <f t="shared" si="6"/>
        <v>44875</v>
      </c>
      <c r="C8" s="7">
        <v>100.40701383691056</v>
      </c>
      <c r="H8" s="5">
        <v>44876</v>
      </c>
      <c r="I8" s="15">
        <f t="shared" si="1"/>
        <v>0.87370549505081474</v>
      </c>
      <c r="J8" s="15">
        <f t="shared" si="2"/>
        <v>-6.3755767513201819E-2</v>
      </c>
      <c r="K8" s="15">
        <f t="shared" si="3"/>
        <v>-0.28288223119978528</v>
      </c>
      <c r="L8" s="15">
        <f t="shared" si="4"/>
        <v>0.44313749515478634</v>
      </c>
      <c r="M8" s="15">
        <f t="shared" si="5"/>
        <v>-0.37080985653945131</v>
      </c>
      <c r="N8" s="8">
        <f t="shared" si="0"/>
        <v>2.6997105008110325E-2</v>
      </c>
      <c r="Q8" s="24">
        <v>44875</v>
      </c>
      <c r="R8" s="25">
        <v>100.40701383691056</v>
      </c>
      <c r="S8" s="15">
        <v>-1.9686369281032068E-2</v>
      </c>
    </row>
    <row r="9" spans="1:21" x14ac:dyDescent="0.3">
      <c r="A9" t="s">
        <v>23</v>
      </c>
      <c r="B9" s="5">
        <f t="shared" si="6"/>
        <v>44876</v>
      </c>
      <c r="C9" s="7">
        <v>188.13317356786251</v>
      </c>
      <c r="H9" s="5">
        <v>44879</v>
      </c>
      <c r="I9" s="15">
        <f t="shared" si="1"/>
        <v>-0.35440604713283674</v>
      </c>
      <c r="J9" s="15">
        <f t="shared" si="2"/>
        <v>0.41198693666127945</v>
      </c>
      <c r="K9" s="15">
        <f t="shared" si="3"/>
        <v>0.1541681330183913</v>
      </c>
      <c r="L9" s="15">
        <f t="shared" si="4"/>
        <v>-5.1475933624086187E-2</v>
      </c>
      <c r="M9" s="15">
        <f t="shared" si="5"/>
        <v>0.12269914519683935</v>
      </c>
      <c r="N9" s="8">
        <f t="shared" si="0"/>
        <v>1.1779359713389122E-2</v>
      </c>
      <c r="Q9" s="24">
        <v>44876</v>
      </c>
      <c r="R9" s="25">
        <v>188.13317356786251</v>
      </c>
      <c r="S9" s="15">
        <v>0.87370549505081474</v>
      </c>
    </row>
    <row r="10" spans="1:21" x14ac:dyDescent="0.3">
      <c r="A10" t="s">
        <v>23</v>
      </c>
      <c r="B10" s="5">
        <f t="shared" si="6"/>
        <v>44879</v>
      </c>
      <c r="C10" s="7">
        <v>121.45763918912047</v>
      </c>
      <c r="H10" s="5">
        <v>44880</v>
      </c>
      <c r="I10" s="15">
        <f t="shared" si="1"/>
        <v>0.26755024287451024</v>
      </c>
      <c r="J10" s="15">
        <f t="shared" si="2"/>
        <v>-0.42188849007738893</v>
      </c>
      <c r="K10" s="15">
        <f t="shared" si="3"/>
        <v>0.34294997013952699</v>
      </c>
      <c r="L10" s="15">
        <f t="shared" si="4"/>
        <v>9.4154951675159332E-2</v>
      </c>
      <c r="M10" s="15">
        <f t="shared" si="5"/>
        <v>0.42720896584310802</v>
      </c>
      <c r="N10" s="8">
        <f t="shared" si="0"/>
        <v>0.10136967286239103</v>
      </c>
      <c r="Q10" s="24">
        <v>44879</v>
      </c>
      <c r="R10" s="25">
        <v>121.45763918912047</v>
      </c>
      <c r="S10" s="15">
        <v>-0.35440604713283674</v>
      </c>
    </row>
    <row r="11" spans="1:21" x14ac:dyDescent="0.3">
      <c r="A11" t="s">
        <v>23</v>
      </c>
      <c r="B11" s="5">
        <f t="shared" si="6"/>
        <v>44880</v>
      </c>
      <c r="C11" s="7">
        <v>153.95366005313429</v>
      </c>
      <c r="H11" s="5">
        <v>44881</v>
      </c>
      <c r="I11" s="15">
        <f t="shared" si="1"/>
        <v>0.29532304008246291</v>
      </c>
      <c r="J11" s="15">
        <f t="shared" si="2"/>
        <v>0.78899024571852938</v>
      </c>
      <c r="K11" s="15">
        <f t="shared" si="3"/>
        <v>-0.30036562304950565</v>
      </c>
      <c r="L11" s="15">
        <f t="shared" si="4"/>
        <v>-2.4652294504823497E-2</v>
      </c>
      <c r="M11" s="15">
        <f t="shared" si="5"/>
        <v>-0.17620420408278775</v>
      </c>
      <c r="N11" s="8">
        <f t="shared" si="0"/>
        <v>4.29512722399428E-2</v>
      </c>
      <c r="Q11" s="24">
        <v>44880</v>
      </c>
      <c r="R11" s="25">
        <v>153.95366005313429</v>
      </c>
      <c r="S11" s="15">
        <v>0.26755024287451024</v>
      </c>
    </row>
    <row r="12" spans="1:21" x14ac:dyDescent="0.3">
      <c r="A12" t="s">
        <v>23</v>
      </c>
      <c r="B12" s="5">
        <f t="shared" si="6"/>
        <v>44881</v>
      </c>
      <c r="C12" s="7">
        <v>199.41972297184793</v>
      </c>
      <c r="H12" s="5">
        <v>44882</v>
      </c>
      <c r="I12" s="15">
        <f t="shared" si="1"/>
        <v>-5.3936969309382618E-2</v>
      </c>
      <c r="J12" s="15">
        <f t="shared" si="2"/>
        <v>-0.19305200074830536</v>
      </c>
      <c r="K12" s="15">
        <f t="shared" si="3"/>
        <v>0.28876546865916464</v>
      </c>
      <c r="L12" s="15">
        <f t="shared" si="4"/>
        <v>-0.13123266443289355</v>
      </c>
      <c r="M12" s="15">
        <f t="shared" si="5"/>
        <v>7.5595322408423524E-2</v>
      </c>
      <c r="N12" s="8">
        <f t="shared" si="0"/>
        <v>-2.1218327141349171E-2</v>
      </c>
      <c r="Q12" s="24">
        <v>44881</v>
      </c>
      <c r="R12" s="25">
        <v>199.41972297184793</v>
      </c>
      <c r="S12" s="15">
        <v>0.29532304008246291</v>
      </c>
    </row>
    <row r="13" spans="1:21" x14ac:dyDescent="0.3">
      <c r="A13" t="s">
        <v>23</v>
      </c>
      <c r="B13" s="5">
        <f t="shared" si="6"/>
        <v>44882</v>
      </c>
      <c r="C13" s="7">
        <v>188.66362749422979</v>
      </c>
      <c r="H13" s="5">
        <v>44883</v>
      </c>
      <c r="I13" s="15">
        <f t="shared" si="1"/>
        <v>-7.2437095570801982E-2</v>
      </c>
      <c r="J13" s="15">
        <f t="shared" si="2"/>
        <v>0.17857140857147002</v>
      </c>
      <c r="K13" s="15">
        <f>(C34-C33)/C33</f>
        <v>-0.27763385057510293</v>
      </c>
      <c r="L13" s="15">
        <f t="shared" si="4"/>
        <v>7.0225099264158097E-2</v>
      </c>
      <c r="M13" s="15">
        <f t="shared" si="5"/>
        <v>-9.306256961484248E-2</v>
      </c>
      <c r="N13" s="8">
        <f t="shared" si="0"/>
        <v>-5.0351095480062578E-2</v>
      </c>
      <c r="Q13" s="24">
        <v>44882</v>
      </c>
      <c r="R13" s="25">
        <v>188.66362749422979</v>
      </c>
      <c r="S13" s="15">
        <v>-5.3936969309382632E-2</v>
      </c>
    </row>
    <row r="14" spans="1:21" x14ac:dyDescent="0.3">
      <c r="A14" t="s">
        <v>23</v>
      </c>
      <c r="B14" s="5">
        <f t="shared" si="6"/>
        <v>44883</v>
      </c>
      <c r="C14" s="7">
        <v>174.99738227869608</v>
      </c>
      <c r="H14" s="5" t="s">
        <v>32</v>
      </c>
      <c r="I14" s="23">
        <f>AVERAGE(I5:I13)</f>
        <v>6.0477203435042037E-2</v>
      </c>
      <c r="J14" s="23">
        <f t="shared" ref="J14:N14" si="7">AVERAGE(J5:J13)</f>
        <v>5.8269723288795622E-2</v>
      </c>
      <c r="K14" s="23">
        <f t="shared" si="7"/>
        <v>3.9398387844257815E-3</v>
      </c>
      <c r="L14" s="23">
        <f t="shared" si="7"/>
        <v>3.1145745248424592E-2</v>
      </c>
      <c r="M14" s="23">
        <f t="shared" si="7"/>
        <v>-1.9010569855980874E-2</v>
      </c>
      <c r="N14" s="9">
        <f t="shared" si="7"/>
        <v>-6.3803959262227995E-3</v>
      </c>
      <c r="Q14" s="24">
        <v>44883</v>
      </c>
      <c r="R14" s="25">
        <v>174.99738227869608</v>
      </c>
      <c r="S14" s="15">
        <v>-7.2437095570802024E-2</v>
      </c>
    </row>
    <row r="15" spans="1:21" x14ac:dyDescent="0.3">
      <c r="A15" s="4" t="s">
        <v>24</v>
      </c>
      <c r="B15" s="5">
        <v>44872</v>
      </c>
      <c r="C15" s="7">
        <v>161.85602876121169</v>
      </c>
      <c r="H15" t="s">
        <v>31</v>
      </c>
      <c r="I15" s="23">
        <f>PERCENTILE(I5:I13,0.1)</f>
        <v>-0.25908512629596553</v>
      </c>
      <c r="J15" s="23">
        <f>PERCENTILE(J5:J13,0.1)</f>
        <v>-0.24137396478123171</v>
      </c>
      <c r="K15" s="23">
        <f>PERCENTILE(K5:K13,0.1)</f>
        <v>-0.28637890956972933</v>
      </c>
      <c r="L15" s="23">
        <f t="shared" ref="L15:N15" si="8">PERCENTILE(L5:L13,0.1)</f>
        <v>-0.16092745056181573</v>
      </c>
      <c r="M15" s="23">
        <f t="shared" si="8"/>
        <v>-0.21512533457412045</v>
      </c>
      <c r="N15" s="9">
        <f t="shared" si="8"/>
        <v>-6.616199602543496E-2</v>
      </c>
    </row>
    <row r="16" spans="1:21" x14ac:dyDescent="0.3">
      <c r="A16" s="4" t="s">
        <v>24</v>
      </c>
      <c r="B16" s="5">
        <f>WORKDAY(B15,1)</f>
        <v>44873</v>
      </c>
      <c r="C16" s="7">
        <v>165.97701388184109</v>
      </c>
      <c r="H16" t="s">
        <v>30</v>
      </c>
      <c r="I16" s="15">
        <f>PERCENTILE(I5:I13,0.05)</f>
        <v>-0.30674558671440116</v>
      </c>
      <c r="J16" s="15">
        <f t="shared" ref="J16:N16" si="9">PERCENTILE(J5:J13,0.05)</f>
        <v>-0.33163122742931034</v>
      </c>
      <c r="K16" s="15">
        <f t="shared" si="9"/>
        <v>-0.29337226630961749</v>
      </c>
      <c r="L16" s="15">
        <f t="shared" si="9"/>
        <v>-0.22031702281966017</v>
      </c>
      <c r="M16" s="15">
        <f t="shared" si="9"/>
        <v>-0.29296759555678592</v>
      </c>
      <c r="N16" s="8">
        <f t="shared" si="9"/>
        <v>-7.4966303300331702E-2</v>
      </c>
    </row>
    <row r="17" spans="1:22" x14ac:dyDescent="0.3">
      <c r="A17" s="4" t="s">
        <v>24</v>
      </c>
      <c r="B17" s="5">
        <f t="shared" ref="B17:B24" si="10">WORKDAY(B16,1)</f>
        <v>44874</v>
      </c>
      <c r="C17" s="7">
        <v>165.04085429124081</v>
      </c>
      <c r="H17" t="s">
        <v>29</v>
      </c>
      <c r="I17" s="15">
        <f>PERCENTILE(I5:I13,0.01)</f>
        <v>-0.34487395504914964</v>
      </c>
      <c r="J17" s="15">
        <f t="shared" ref="J17:N17" si="11">PERCENTILE(J5:J13,0.01)</f>
        <v>-0.40383703754777323</v>
      </c>
      <c r="K17" s="15">
        <f t="shared" si="11"/>
        <v>-0.29896695170152804</v>
      </c>
      <c r="L17" s="15">
        <f t="shared" si="11"/>
        <v>-0.26782868062593568</v>
      </c>
      <c r="M17" s="15">
        <f t="shared" si="11"/>
        <v>-0.35524140434291823</v>
      </c>
      <c r="N17" s="8">
        <f t="shared" si="11"/>
        <v>-8.2009749120249095E-2</v>
      </c>
    </row>
    <row r="18" spans="1:22" x14ac:dyDescent="0.3">
      <c r="A18" s="4" t="s">
        <v>24</v>
      </c>
      <c r="B18" s="5">
        <f t="shared" si="10"/>
        <v>44875</v>
      </c>
      <c r="C18" s="7">
        <v>132.65235680679635</v>
      </c>
      <c r="P18" s="6" t="s">
        <v>64</v>
      </c>
    </row>
    <row r="19" spans="1:22" x14ac:dyDescent="0.3">
      <c r="A19" s="4" t="s">
        <v>24</v>
      </c>
      <c r="B19" s="5">
        <f t="shared" si="10"/>
        <v>44876</v>
      </c>
      <c r="C19" s="7">
        <v>124.19500398614394</v>
      </c>
    </row>
    <row r="20" spans="1:22" x14ac:dyDescent="0.3">
      <c r="A20" s="4" t="s">
        <v>24</v>
      </c>
      <c r="B20" s="5">
        <f t="shared" si="10"/>
        <v>44879</v>
      </c>
      <c r="C20" s="7">
        <v>175.36172322703078</v>
      </c>
    </row>
    <row r="21" spans="1:22" x14ac:dyDescent="0.3">
      <c r="A21" s="4" t="s">
        <v>24</v>
      </c>
      <c r="B21" s="5">
        <f t="shared" si="10"/>
        <v>44880</v>
      </c>
      <c r="C21" s="7">
        <v>101.37863059740978</v>
      </c>
    </row>
    <row r="22" spans="1:22" x14ac:dyDescent="0.3">
      <c r="A22" s="4" t="s">
        <v>24</v>
      </c>
      <c r="B22" s="5">
        <f t="shared" si="10"/>
        <v>44881</v>
      </c>
      <c r="C22" s="7">
        <v>181.36538126306814</v>
      </c>
      <c r="Q22" s="3" t="s">
        <v>35</v>
      </c>
      <c r="R22" t="s">
        <v>23</v>
      </c>
      <c r="S22" s="6" t="s">
        <v>61</v>
      </c>
      <c r="T22" s="6"/>
      <c r="U22" s="6"/>
      <c r="V22" s="6"/>
    </row>
    <row r="23" spans="1:22" x14ac:dyDescent="0.3">
      <c r="A23" s="4" t="s">
        <v>24</v>
      </c>
      <c r="B23" s="5">
        <f t="shared" si="10"/>
        <v>44882</v>
      </c>
      <c r="C23" s="7">
        <v>146.35243154375362</v>
      </c>
      <c r="S23" s="6"/>
      <c r="T23" s="6"/>
      <c r="U23" s="6"/>
      <c r="V23" s="6"/>
    </row>
    <row r="24" spans="1:22" x14ac:dyDescent="0.3">
      <c r="A24" s="4" t="s">
        <v>24</v>
      </c>
      <c r="B24" s="5">
        <f t="shared" si="10"/>
        <v>44883</v>
      </c>
      <c r="C24" s="7">
        <v>172.48679139238135</v>
      </c>
      <c r="Q24" s="3" t="s">
        <v>37</v>
      </c>
      <c r="R24" s="5">
        <v>44874</v>
      </c>
      <c r="S24" s="6" t="s">
        <v>62</v>
      </c>
      <c r="T24" s="6"/>
      <c r="U24" s="6"/>
      <c r="V24" s="6"/>
    </row>
    <row r="25" spans="1:22" x14ac:dyDescent="0.3">
      <c r="A25" s="4" t="s">
        <v>25</v>
      </c>
      <c r="B25" s="5">
        <v>44872</v>
      </c>
      <c r="C25" s="7">
        <v>165.31726533355609</v>
      </c>
      <c r="Q25" s="3" t="s">
        <v>36</v>
      </c>
      <c r="R25" s="8">
        <v>0.14638435742890515</v>
      </c>
      <c r="S25" s="6"/>
      <c r="T25" s="6"/>
      <c r="U25" s="6"/>
      <c r="V25" s="6"/>
    </row>
    <row r="26" spans="1:22" x14ac:dyDescent="0.3">
      <c r="A26" s="4" t="s">
        <v>25</v>
      </c>
      <c r="B26" s="5">
        <f>WORKDAY(B25,1)</f>
        <v>44873</v>
      </c>
      <c r="C26" s="7">
        <v>132.4377030014987</v>
      </c>
      <c r="Q26" s="3" t="s">
        <v>39</v>
      </c>
      <c r="R26">
        <v>0.05</v>
      </c>
      <c r="S26" s="6" t="s">
        <v>63</v>
      </c>
      <c r="T26" s="6"/>
      <c r="U26" s="6"/>
      <c r="V26" s="6"/>
    </row>
    <row r="27" spans="1:22" x14ac:dyDescent="0.3">
      <c r="A27" s="4" t="s">
        <v>25</v>
      </c>
      <c r="B27" s="5">
        <f t="shared" ref="B27:B34" si="12">WORKDAY(B26,1)</f>
        <v>44874</v>
      </c>
      <c r="C27" s="7">
        <v>147.58287553846202</v>
      </c>
      <c r="Q27" s="3" t="s">
        <v>40</v>
      </c>
      <c r="R27" s="8">
        <v>-0.30674558671440116</v>
      </c>
      <c r="S27" s="6" t="s">
        <v>49</v>
      </c>
      <c r="T27" s="6"/>
      <c r="U27" s="6"/>
      <c r="V27" s="6"/>
    </row>
    <row r="28" spans="1:22" x14ac:dyDescent="0.3">
      <c r="A28" s="4" t="s">
        <v>25</v>
      </c>
      <c r="B28" s="5">
        <f t="shared" si="12"/>
        <v>44875</v>
      </c>
      <c r="C28" s="7">
        <v>176.35967316784541</v>
      </c>
    </row>
    <row r="29" spans="1:22" x14ac:dyDescent="0.3">
      <c r="A29" s="4" t="s">
        <v>25</v>
      </c>
      <c r="B29" s="5">
        <f t="shared" si="12"/>
        <v>44876</v>
      </c>
      <c r="C29" s="7">
        <v>126.4706553284604</v>
      </c>
    </row>
    <row r="30" spans="1:22" x14ac:dyDescent="0.3">
      <c r="A30" s="4" t="s">
        <v>25</v>
      </c>
      <c r="B30" s="5">
        <f t="shared" si="12"/>
        <v>44879</v>
      </c>
      <c r="C30" s="7">
        <v>145.9684001420616</v>
      </c>
    </row>
    <row r="31" spans="1:22" x14ac:dyDescent="0.3">
      <c r="A31" s="4" t="s">
        <v>25</v>
      </c>
      <c r="B31" s="5">
        <f t="shared" si="12"/>
        <v>44880</v>
      </c>
      <c r="C31" s="7">
        <v>196.02825861209615</v>
      </c>
    </row>
    <row r="32" spans="1:22" x14ac:dyDescent="0.3">
      <c r="A32" s="4" t="s">
        <v>25</v>
      </c>
      <c r="B32" s="5">
        <f t="shared" si="12"/>
        <v>44881</v>
      </c>
      <c r="C32" s="7">
        <v>137.14810857876427</v>
      </c>
    </row>
    <row r="33" spans="1:3" x14ac:dyDescent="0.3">
      <c r="A33" s="4" t="s">
        <v>25</v>
      </c>
      <c r="B33" s="5">
        <f t="shared" si="12"/>
        <v>44882</v>
      </c>
      <c r="C33" s="7">
        <v>176.75174642822913</v>
      </c>
    </row>
    <row r="34" spans="1:3" x14ac:dyDescent="0.3">
      <c r="A34" s="4" t="s">
        <v>25</v>
      </c>
      <c r="B34" s="5">
        <f t="shared" si="12"/>
        <v>44883</v>
      </c>
      <c r="C34" s="7">
        <v>127.67947847148568</v>
      </c>
    </row>
    <row r="35" spans="1:3" x14ac:dyDescent="0.3">
      <c r="A35" s="4" t="s">
        <v>26</v>
      </c>
      <c r="B35" s="5">
        <v>44872</v>
      </c>
      <c r="C35" s="7">
        <v>136.36922137418151</v>
      </c>
    </row>
    <row r="36" spans="1:3" x14ac:dyDescent="0.3">
      <c r="A36" s="4" t="s">
        <v>26</v>
      </c>
      <c r="B36" s="5">
        <f>WORKDAY(B35,1)</f>
        <v>44873</v>
      </c>
      <c r="C36" s="7">
        <v>171.94273827879113</v>
      </c>
    </row>
    <row r="37" spans="1:3" x14ac:dyDescent="0.3">
      <c r="A37" s="4" t="s">
        <v>26</v>
      </c>
      <c r="B37" s="5">
        <f t="shared" ref="B37:B44" si="13">WORKDAY(B36,1)</f>
        <v>44874</v>
      </c>
      <c r="C37" s="7">
        <v>123.84922040652795</v>
      </c>
    </row>
    <row r="38" spans="1:3" x14ac:dyDescent="0.3">
      <c r="A38" s="4" t="s">
        <v>26</v>
      </c>
      <c r="B38" s="5">
        <f t="shared" si="13"/>
        <v>44875</v>
      </c>
      <c r="C38" s="7">
        <v>111.34043372988441</v>
      </c>
    </row>
    <row r="39" spans="1:3" x14ac:dyDescent="0.3">
      <c r="A39" s="4" t="s">
        <v>26</v>
      </c>
      <c r="B39" s="5">
        <f t="shared" si="13"/>
        <v>44876</v>
      </c>
      <c r="C39" s="7">
        <v>160.67955464239287</v>
      </c>
    </row>
    <row r="40" spans="1:3" x14ac:dyDescent="0.3">
      <c r="A40" s="4" t="s">
        <v>26</v>
      </c>
      <c r="B40" s="5">
        <f t="shared" si="13"/>
        <v>44879</v>
      </c>
      <c r="C40" s="7">
        <v>152.40842455287333</v>
      </c>
    </row>
    <row r="41" spans="1:3" x14ac:dyDescent="0.3">
      <c r="A41" s="4" t="s">
        <v>26</v>
      </c>
      <c r="B41" s="5">
        <f t="shared" si="13"/>
        <v>44880</v>
      </c>
      <c r="C41" s="7">
        <v>166.75843240153628</v>
      </c>
    </row>
    <row r="42" spans="1:3" x14ac:dyDescent="0.3">
      <c r="A42" s="4" t="s">
        <v>26</v>
      </c>
      <c r="B42" s="5">
        <f t="shared" si="13"/>
        <v>44881</v>
      </c>
      <c r="C42" s="7">
        <v>162.64745441481091</v>
      </c>
    </row>
    <row r="43" spans="1:3" x14ac:dyDescent="0.3">
      <c r="A43" s="4" t="s">
        <v>26</v>
      </c>
      <c r="B43" s="5">
        <f t="shared" si="13"/>
        <v>44882</v>
      </c>
      <c r="C43" s="7">
        <v>141.30279560872768</v>
      </c>
    </row>
    <row r="44" spans="1:3" x14ac:dyDescent="0.3">
      <c r="A44" s="4" t="s">
        <v>26</v>
      </c>
      <c r="B44" s="5">
        <f t="shared" si="13"/>
        <v>44883</v>
      </c>
      <c r="C44" s="7">
        <v>151.22579845665362</v>
      </c>
    </row>
    <row r="45" spans="1:3" x14ac:dyDescent="0.3">
      <c r="A45" s="4" t="s">
        <v>27</v>
      </c>
      <c r="B45" s="5">
        <v>44872</v>
      </c>
      <c r="C45" s="7">
        <v>191.59340118306767</v>
      </c>
    </row>
    <row r="46" spans="1:3" x14ac:dyDescent="0.3">
      <c r="A46" s="4" t="s">
        <v>27</v>
      </c>
      <c r="B46" s="5">
        <f>WORKDAY(B45,1)</f>
        <v>44873</v>
      </c>
      <c r="C46" s="7">
        <v>171.86704883470262</v>
      </c>
    </row>
    <row r="47" spans="1:3" x14ac:dyDescent="0.3">
      <c r="A47" s="4" t="s">
        <v>27</v>
      </c>
      <c r="B47" s="5">
        <f t="shared" ref="B47:B54" si="14">WORKDAY(B46,1)</f>
        <v>44874</v>
      </c>
      <c r="C47" s="7">
        <v>160.79155253840239</v>
      </c>
    </row>
    <row r="48" spans="1:3" x14ac:dyDescent="0.3">
      <c r="A48" s="4" t="s">
        <v>27</v>
      </c>
      <c r="B48" s="5">
        <f t="shared" si="14"/>
        <v>44875</v>
      </c>
      <c r="C48" s="7">
        <v>162.54092545974058</v>
      </c>
    </row>
    <row r="49" spans="1:3" x14ac:dyDescent="0.3">
      <c r="A49" s="4" t="s">
        <v>27</v>
      </c>
      <c r="B49" s="5">
        <f t="shared" si="14"/>
        <v>44876</v>
      </c>
      <c r="C49" s="7">
        <v>102.26914820822452</v>
      </c>
    </row>
    <row r="50" spans="1:3" x14ac:dyDescent="0.3">
      <c r="A50" s="4" t="s">
        <v>27</v>
      </c>
      <c r="B50" s="5">
        <f t="shared" si="14"/>
        <v>44879</v>
      </c>
      <c r="C50" s="7">
        <v>114.81748527338254</v>
      </c>
    </row>
    <row r="51" spans="1:3" x14ac:dyDescent="0.3">
      <c r="A51" s="4" t="s">
        <v>27</v>
      </c>
      <c r="B51" s="5">
        <f t="shared" si="14"/>
        <v>44880</v>
      </c>
      <c r="C51" s="7">
        <v>163.86854441773059</v>
      </c>
    </row>
    <row r="52" spans="1:3" x14ac:dyDescent="0.3">
      <c r="A52" s="4" t="s">
        <v>27</v>
      </c>
      <c r="B52" s="5">
        <f t="shared" si="14"/>
        <v>44881</v>
      </c>
      <c r="C52" s="7">
        <v>134.99421797439942</v>
      </c>
    </row>
    <row r="53" spans="1:3" x14ac:dyDescent="0.3">
      <c r="A53" s="4" t="s">
        <v>27</v>
      </c>
      <c r="B53" s="5">
        <f t="shared" si="14"/>
        <v>44882</v>
      </c>
      <c r="C53" s="7">
        <v>145.19914940544714</v>
      </c>
    </row>
    <row r="54" spans="1:3" x14ac:dyDescent="0.3">
      <c r="A54" s="4" t="s">
        <v>27</v>
      </c>
      <c r="B54" s="5">
        <f t="shared" si="14"/>
        <v>44883</v>
      </c>
      <c r="C54" s="7">
        <v>131.68654345588681</v>
      </c>
    </row>
    <row r="55" spans="1:3" x14ac:dyDescent="0.3">
      <c r="A55" s="12" t="s">
        <v>55</v>
      </c>
      <c r="B55" s="5">
        <v>44872</v>
      </c>
      <c r="C55" s="7">
        <v>159.00537219636854</v>
      </c>
    </row>
    <row r="56" spans="1:3" x14ac:dyDescent="0.3">
      <c r="A56" s="12" t="s">
        <v>55</v>
      </c>
      <c r="B56" s="5">
        <f>WORKDAY(B55,1)</f>
        <v>44873</v>
      </c>
      <c r="C56" s="7">
        <v>148.41656411130643</v>
      </c>
    </row>
    <row r="57" spans="1:3" x14ac:dyDescent="0.3">
      <c r="A57" s="12" t="s">
        <v>55</v>
      </c>
      <c r="B57" s="5">
        <f t="shared" ref="B57:B64" si="15">WORKDAY(B56,1)</f>
        <v>44874</v>
      </c>
      <c r="C57" s="7">
        <v>188.98116860325734</v>
      </c>
    </row>
    <row r="58" spans="1:3" x14ac:dyDescent="0.3">
      <c r="A58" s="12" t="s">
        <v>55</v>
      </c>
      <c r="B58" s="5">
        <f t="shared" si="15"/>
        <v>44875</v>
      </c>
      <c r="C58" s="7">
        <v>144.38916820550003</v>
      </c>
    </row>
    <row r="59" spans="1:3" x14ac:dyDescent="0.3">
      <c r="A59" s="12" t="s">
        <v>55</v>
      </c>
      <c r="B59" s="5">
        <f t="shared" si="15"/>
        <v>44876</v>
      </c>
      <c r="C59" s="7">
        <v>167.63286676061529</v>
      </c>
    </row>
    <row r="60" spans="1:3" x14ac:dyDescent="0.3">
      <c r="A60" s="12" t="s">
        <v>55</v>
      </c>
      <c r="B60" s="5">
        <f t="shared" si="15"/>
        <v>44879</v>
      </c>
      <c r="C60" s="7">
        <v>125.64871013588659</v>
      </c>
    </row>
    <row r="61" spans="1:3" x14ac:dyDescent="0.3">
      <c r="A61" s="12" t="s">
        <v>55</v>
      </c>
      <c r="B61" s="5">
        <f t="shared" si="15"/>
        <v>44880</v>
      </c>
      <c r="C61" s="7">
        <v>134.29474115700643</v>
      </c>
    </row>
    <row r="62" spans="1:3" x14ac:dyDescent="0.3">
      <c r="A62" s="12" t="s">
        <v>55</v>
      </c>
      <c r="B62" s="5">
        <f t="shared" si="15"/>
        <v>44881</v>
      </c>
      <c r="C62" s="7">
        <v>136.71858680623433</v>
      </c>
    </row>
    <row r="63" spans="1:3" x14ac:dyDescent="0.3">
      <c r="A63" s="12" t="s">
        <v>55</v>
      </c>
      <c r="B63" s="5">
        <f t="shared" si="15"/>
        <v>44882</v>
      </c>
      <c r="C63" s="7">
        <v>160.86454320885838</v>
      </c>
    </row>
    <row r="64" spans="1:3" x14ac:dyDescent="0.3">
      <c r="A64" s="12" t="s">
        <v>55</v>
      </c>
      <c r="B64" s="5">
        <f t="shared" si="15"/>
        <v>44883</v>
      </c>
      <c r="C64" s="7">
        <v>189.23698469358402</v>
      </c>
    </row>
    <row r="65" spans="1:3" x14ac:dyDescent="0.3">
      <c r="A65" t="s">
        <v>33</v>
      </c>
      <c r="B65" s="5">
        <v>44872</v>
      </c>
      <c r="C65" s="7">
        <f t="shared" ref="C65:C74" si="16">SUM(C5,C15,C25,C35,C45)</f>
        <v>813.92821483354646</v>
      </c>
    </row>
    <row r="66" spans="1:3" x14ac:dyDescent="0.3">
      <c r="A66" t="s">
        <v>33</v>
      </c>
      <c r="B66" s="5">
        <f>WORKDAY(B65,1)</f>
        <v>44873</v>
      </c>
      <c r="C66" s="7">
        <f t="shared" si="16"/>
        <v>763.66013657029134</v>
      </c>
    </row>
    <row r="67" spans="1:3" x14ac:dyDescent="0.3">
      <c r="A67" t="s">
        <v>33</v>
      </c>
      <c r="B67" s="5">
        <f t="shared" ref="B67:B74" si="17">WORKDAY(B66,1)</f>
        <v>44874</v>
      </c>
      <c r="C67" s="7">
        <f t="shared" si="16"/>
        <v>699.6878606578357</v>
      </c>
    </row>
    <row r="68" spans="1:3" x14ac:dyDescent="0.3">
      <c r="A68" t="s">
        <v>33</v>
      </c>
      <c r="B68" s="5">
        <f t="shared" si="17"/>
        <v>44875</v>
      </c>
      <c r="C68" s="7">
        <f t="shared" si="16"/>
        <v>683.30040300117741</v>
      </c>
    </row>
    <row r="69" spans="1:3" x14ac:dyDescent="0.3">
      <c r="A69" t="s">
        <v>33</v>
      </c>
      <c r="B69" s="5">
        <f t="shared" si="17"/>
        <v>44876</v>
      </c>
      <c r="C69" s="7">
        <f t="shared" si="16"/>
        <v>701.74753573308431</v>
      </c>
    </row>
    <row r="70" spans="1:3" x14ac:dyDescent="0.3">
      <c r="A70" t="s">
        <v>33</v>
      </c>
      <c r="B70" s="5">
        <f t="shared" si="17"/>
        <v>44879</v>
      </c>
      <c r="C70" s="7">
        <f t="shared" si="16"/>
        <v>710.01367238446869</v>
      </c>
    </row>
    <row r="71" spans="1:3" x14ac:dyDescent="0.3">
      <c r="A71" t="s">
        <v>33</v>
      </c>
      <c r="B71" s="5">
        <f t="shared" si="17"/>
        <v>44880</v>
      </c>
      <c r="C71" s="7">
        <f t="shared" si="16"/>
        <v>781.98752608190716</v>
      </c>
    </row>
    <row r="72" spans="1:3" x14ac:dyDescent="0.3">
      <c r="A72" t="s">
        <v>33</v>
      </c>
      <c r="B72" s="5">
        <f t="shared" si="17"/>
        <v>44881</v>
      </c>
      <c r="C72" s="7">
        <f t="shared" si="16"/>
        <v>815.57488520289053</v>
      </c>
    </row>
    <row r="73" spans="1:3" x14ac:dyDescent="0.3">
      <c r="A73" t="s">
        <v>33</v>
      </c>
      <c r="B73" s="5">
        <f t="shared" si="17"/>
        <v>44882</v>
      </c>
      <c r="C73" s="7">
        <f t="shared" si="16"/>
        <v>798.2697504803873</v>
      </c>
    </row>
    <row r="74" spans="1:3" x14ac:dyDescent="0.3">
      <c r="A74" t="s">
        <v>33</v>
      </c>
      <c r="B74" s="5">
        <f t="shared" si="17"/>
        <v>44883</v>
      </c>
      <c r="C74" s="7">
        <f t="shared" si="16"/>
        <v>758.07599405510359</v>
      </c>
    </row>
  </sheetData>
  <dataValidations count="3">
    <dataValidation type="list" allowBlank="1" showInputMessage="1" showErrorMessage="1" sqref="R22" xr:uid="{74B69625-D710-443E-8846-013DB9F2465E}">
      <formula1>"Commodity,Equity,Fixed Income, Futures, CDS"</formula1>
    </dataValidation>
    <dataValidation type="list" allowBlank="1" showInputMessage="1" showErrorMessage="1" sqref="R24" xr:uid="{D0C921C3-318B-45B4-A0E5-75B63C926445}">
      <formula1>$Q$5:$Q$14</formula1>
    </dataValidation>
    <dataValidation type="list" allowBlank="1" showInputMessage="1" showErrorMessage="1" sqref="R26" xr:uid="{E7C3E5A1-F104-4B8B-9971-DCE6914FFF77}">
      <formula1>"0.01,0.05,0.1"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GetPortfolioValue">
                <anchor moveWithCells="1" sizeWithCells="1">
                  <from>
                    <xdr:col>20</xdr:col>
                    <xdr:colOff>541020</xdr:colOff>
                    <xdr:row>13</xdr:row>
                    <xdr:rowOff>137160</xdr:rowOff>
                  </from>
                  <to>
                    <xdr:col>24</xdr:col>
                    <xdr:colOff>175260</xdr:colOff>
                    <xdr:row>20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Homework</vt:lpstr>
      <vt:lpstr>MarketData</vt:lpstr>
      <vt:lpstr>COB</vt:lpstr>
      <vt:lpstr>INSTRUMENT</vt:lpstr>
      <vt:lpstr>OUTPUT</vt:lpstr>
      <vt:lpstr>pct</vt:lpstr>
      <vt:lpstr>Value_at_risk</vt:lpstr>
      <vt:lpstr>VaR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2022-11-24T22:18:31Z</dcterms:modified>
</cp:coreProperties>
</file>