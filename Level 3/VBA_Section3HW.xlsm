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filterPrivacy="1" codeName="ThisWorkbook" defaultThemeVersion="124226"/>
  <xr:revisionPtr revIDLastSave="0" documentId="13_ncr:1_{71E6F65C-8D21-48F7-B68B-1361E70DB9F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mework" sheetId="3" r:id="rId1"/>
    <sheet name="BAPM" sheetId="1" r:id="rId2"/>
    <sheet name="BS" sheetId="2" r:id="rId3"/>
  </sheets>
  <functionGroups builtInGroupCount="19"/>
  <definedNames>
    <definedName name="BSPrice">Homework!$B$18</definedName>
    <definedName name="flavor">BAPM!$C$3</definedName>
    <definedName name="K">BAPM!$C$9</definedName>
    <definedName name="N">BAPM!$C$11</definedName>
    <definedName name="Period">BAPM!$C$5</definedName>
    <definedName name="q">BAPM!$C$10</definedName>
    <definedName name="S">BAPM!$C$4</definedName>
    <definedName name="sigma">BAPM!$C$8</definedName>
    <definedName name="T">BAPM!$C$6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H11" i="1" s="1"/>
  <c r="F11" i="1"/>
  <c r="E11" i="1"/>
  <c r="M22" i="3" a="1"/>
  <c r="A17" i="3" a="1"/>
  <c r="A28" i="3" a="1"/>
  <c r="L21" i="3" a="1"/>
  <c r="B18" i="3" a="1"/>
  <c r="B29" i="3" a="1"/>
  <c r="C13" i="2" a="1"/>
  <c r="H14" i="1" a="1"/>
  <c r="G14" i="1" a="1"/>
  <c r="F14" i="1" a="1"/>
  <c r="E14" i="1" a="1"/>
  <c r="C14" i="1" a="1"/>
  <c r="B12" i="2" a="1"/>
  <c r="B13" i="1" a="1"/>
  <c r="M22" i="3" l="1"/>
  <c r="C14" i="1"/>
  <c r="E14" i="1"/>
  <c r="F14" i="1"/>
  <c r="G14" i="1"/>
  <c r="H14" i="1"/>
  <c r="C13" i="2"/>
  <c r="B29" i="3"/>
  <c r="B18" i="3"/>
  <c r="L21" i="3"/>
  <c r="A28" i="3"/>
  <c r="A17" i="3"/>
  <c r="B12" i="2"/>
  <c r="B1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<sst xmlns="http://schemas.openxmlformats.org/spreadsheetml/2006/main" count="51" uniqueCount="29">
  <si>
    <t>Question 1:</t>
  </si>
  <si>
    <t>Question 2:</t>
  </si>
  <si>
    <t>Question 3:</t>
  </si>
  <si>
    <t>On this sheet, have a table of option inputs. Create a new VBA code that accepts these inputs and runs BS to calculate a price, and then runs BAPM repeatedly until the optimal node is found.</t>
  </si>
  <si>
    <r>
      <t xml:space="preserve">Build a Black Scholes option pricer </t>
    </r>
    <r>
      <rPr>
        <b/>
        <sz val="11"/>
        <color theme="1"/>
        <rFont val="Calibri"/>
        <family val="2"/>
        <scheme val="minor"/>
      </rPr>
      <t>as a FUNCTION not a sub</t>
    </r>
    <r>
      <rPr>
        <sz val="11"/>
        <color theme="1"/>
        <rFont val="Calibri"/>
        <family val="2"/>
        <scheme val="minor"/>
      </rPr>
      <t xml:space="preserve">. Have the inputs AND outputs displayed on worksheet "BS". </t>
    </r>
  </si>
  <si>
    <t xml:space="preserve">Build a BAPM option pricer function. Have the inputs AND outputs displayed on worksheet "BAPM". </t>
  </si>
  <si>
    <t>BAPMPrice Calculator</t>
  </si>
  <si>
    <t>flavor</t>
  </si>
  <si>
    <t>spot</t>
  </si>
  <si>
    <t>current period</t>
  </si>
  <si>
    <t>maturity(in years)</t>
  </si>
  <si>
    <t>sigma</t>
  </si>
  <si>
    <t>strike</t>
  </si>
  <si>
    <t>dividend yield</t>
  </si>
  <si>
    <t xml:space="preserve">N </t>
  </si>
  <si>
    <t>call</t>
  </si>
  <si>
    <t>Try different Ns</t>
  </si>
  <si>
    <t>Price</t>
  </si>
  <si>
    <t>discount rate</t>
  </si>
  <si>
    <t xml:space="preserve">Black Scholes option pricer </t>
  </si>
  <si>
    <t>BS Price</t>
  </si>
  <si>
    <t>Question 3</t>
  </si>
  <si>
    <t xml:space="preserve"> </t>
  </si>
  <si>
    <t>.</t>
  </si>
  <si>
    <t xml:space="preserve">Sub method </t>
  </si>
  <si>
    <t>Function method</t>
  </si>
  <si>
    <t>Optimal N</t>
  </si>
  <si>
    <t xml:space="preserve">BAPM Price </t>
  </si>
  <si>
    <t>Use BAPM Function to check BAPM Price with the Optimal 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</si>
</sst>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64" fontId="3" fillId="0" borderId="0" xfId="0" applyNumberFormat="1" applyFont="1"/>
    <xf numFmtId="164" fontId="1" fillId="0" borderId="0" xfId="0" applyNumberFormat="1" applyFont="1"/>
    <xf numFmtId="0" fontId="3" fillId="0" borderId="0" xfId="0" applyFont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19</xdr:row>
          <xdr:rowOff>30480</xdr:rowOff>
        </xdr:from>
        <xdr:to>
          <xdr:col>7</xdr:col>
          <xdr:colOff>304800</xdr:colOff>
          <xdr:row>24</xdr:row>
          <xdr:rowOff>53340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optimal 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9"/>
  <sheetViews>
    <sheetView showGridLines="0" tabSelected="1" topLeftCell="A13" workbookViewId="0">
      <selection activeCell="M30" sqref="M30"/>
    </sheetView>
  </sheetViews>
  <sheetFormatPr defaultRowHeight="14.4" x14ac:dyDescent="0.3"/>
  <cols>
    <col min="1" max="1" width="15.109375" customWidth="1"/>
    <col min="2" max="2" width="22" customWidth="1"/>
    <col min="12" max="12" width="11.109375" customWidth="1"/>
  </cols>
  <sheetData>
    <row r="1" spans="1:20" x14ac:dyDescent="0.3">
      <c r="A1" s="1" t="s">
        <v>0</v>
      </c>
      <c r="B1" s="11" t="s">
        <v>5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2"/>
    </row>
    <row r="2" spans="1:20" x14ac:dyDescent="0.3">
      <c r="A2" s="2" t="s">
        <v>1</v>
      </c>
      <c r="B2" s="13" t="s">
        <v>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4"/>
    </row>
    <row r="3" spans="1:20" ht="15" thickBot="1" x14ac:dyDescent="0.35">
      <c r="A3" s="3" t="s">
        <v>2</v>
      </c>
      <c r="B3" s="15" t="s">
        <v>3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</row>
    <row r="6" spans="1:20" x14ac:dyDescent="0.3">
      <c r="A6" s="4" t="s">
        <v>21</v>
      </c>
    </row>
    <row r="7" spans="1:20" x14ac:dyDescent="0.3">
      <c r="A7" t="s">
        <v>22</v>
      </c>
    </row>
    <row r="8" spans="1:20" x14ac:dyDescent="0.3">
      <c r="A8" t="s">
        <v>7</v>
      </c>
      <c r="B8" t="s">
        <v>15</v>
      </c>
    </row>
    <row r="9" spans="1:20" x14ac:dyDescent="0.3">
      <c r="A9" t="s">
        <v>8</v>
      </c>
      <c r="B9" s="6">
        <v>100</v>
      </c>
    </row>
    <row r="10" spans="1:20" x14ac:dyDescent="0.3">
      <c r="A10" t="s">
        <v>9</v>
      </c>
      <c r="B10" s="5">
        <v>0</v>
      </c>
    </row>
    <row r="11" spans="1:20" x14ac:dyDescent="0.3">
      <c r="A11" t="s">
        <v>10</v>
      </c>
      <c r="B11" s="5">
        <v>2</v>
      </c>
    </row>
    <row r="12" spans="1:20" x14ac:dyDescent="0.3">
      <c r="A12" t="s">
        <v>18</v>
      </c>
      <c r="B12" s="7">
        <v>0.04</v>
      </c>
    </row>
    <row r="13" spans="1:20" x14ac:dyDescent="0.3">
      <c r="A13" t="s">
        <v>11</v>
      </c>
      <c r="B13" s="7">
        <v>0.25</v>
      </c>
    </row>
    <row r="14" spans="1:20" x14ac:dyDescent="0.3">
      <c r="A14" t="s">
        <v>12</v>
      </c>
      <c r="B14" s="6">
        <v>100</v>
      </c>
    </row>
    <row r="15" spans="1:20" x14ac:dyDescent="0.3">
      <c r="A15" t="s">
        <v>13</v>
      </c>
      <c r="B15" s="5">
        <v>0</v>
      </c>
    </row>
    <row r="17" spans="1:14" x14ac:dyDescent="0.3">
      <c r="A17" t="str" cm="1">
        <f t="array" ref="A17">BSPRice_helper()</f>
        <v>flavor As String, S As Double, q As Double, r As Double, sigma As Double, period As Double, T As Double, K As Double</v>
      </c>
      <c r="N17" t="s">
        <v>23</v>
      </c>
    </row>
    <row r="18" spans="1:14" x14ac:dyDescent="0.3">
      <c r="A18" s="4" t="s">
        <v>20</v>
      </c>
      <c r="B18" s="9" cm="1">
        <f t="array" ref="B18">BS_Price(B8,B9,B15,B12,B13,B10,B11,B14)</f>
        <v>17.676542258205604</v>
      </c>
    </row>
    <row r="20" spans="1:14" x14ac:dyDescent="0.3">
      <c r="A20" s="4" t="s">
        <v>24</v>
      </c>
      <c r="L20" s="4" t="s">
        <v>25</v>
      </c>
    </row>
    <row r="21" spans="1:14" x14ac:dyDescent="0.3">
      <c r="L21" t="str" cm="1">
        <f t="array" ref="L21">FindN_helper()</f>
        <v>flavor As String, S As Double, period As Double, T As Double, r As Double, sigma As Double, K As Double, q As Double</v>
      </c>
    </row>
    <row r="22" spans="1:14" x14ac:dyDescent="0.3">
      <c r="A22" s="4" t="s">
        <v>26</v>
      </c>
      <c r="B22" s="10">
        <v>307</v>
      </c>
      <c r="L22" s="4" t="s">
        <v>26</v>
      </c>
      <c r="M22" s="10" cm="1">
        <f t="array" ref="M22:M23">FindN(B8,B9,B10,B11,B12,B13,B14,B15)</f>
        <v>307</v>
      </c>
    </row>
    <row r="23" spans="1:14" x14ac:dyDescent="0.3">
      <c r="A23" s="4" t="s">
        <v>27</v>
      </c>
      <c r="B23" s="8">
        <v>17.686483093454878</v>
      </c>
      <c r="L23" s="4" t="s">
        <v>27</v>
      </c>
      <c r="M23" s="8">
        <v>17.686483093454878</v>
      </c>
    </row>
    <row r="27" spans="1:14" x14ac:dyDescent="0.3">
      <c r="A27" t="s">
        <v>28</v>
      </c>
    </row>
    <row r="28" spans="1:14" x14ac:dyDescent="0.3">
      <c r="A28" t="str" cm="1">
        <f t="array" ref="A28">BAPM_Help()</f>
        <v>flavor As String, S As Double, q As Double, r As Double, sigma As Double, period As Double, T As Double, N As Double, K As Double</v>
      </c>
    </row>
    <row r="29" spans="1:14" x14ac:dyDescent="0.3">
      <c r="A29" s="4" t="s">
        <v>27</v>
      </c>
      <c r="B29" s="8" cm="1">
        <f t="array" ref="B29">bapmprice(B8,B9,B15,B12,B13,B10,B11,B22,B14)</f>
        <v>17.686483093454878</v>
      </c>
    </row>
  </sheetData>
  <mergeCells count="3">
    <mergeCell ref="B1:T1"/>
    <mergeCell ref="B2:T2"/>
    <mergeCell ref="B3:T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indOptimalN">
                <anchor moveWithCells="1" sizeWithCells="1">
                  <from>
                    <xdr:col>4</xdr:col>
                    <xdr:colOff>106680</xdr:colOff>
                    <xdr:row>19</xdr:row>
                    <xdr:rowOff>30480</xdr:rowOff>
                  </from>
                  <to>
                    <xdr:col>7</xdr:col>
                    <xdr:colOff>304800</xdr:colOff>
                    <xdr:row>24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J14"/>
  <sheetViews>
    <sheetView workbookViewId="0">
      <selection activeCell="I14" sqref="I14:J14"/>
    </sheetView>
  </sheetViews>
  <sheetFormatPr defaultRowHeight="14.4" x14ac:dyDescent="0.3"/>
  <cols>
    <col min="2" max="2" width="28.88671875" customWidth="1"/>
    <col min="5" max="5" width="20.77734375" customWidth="1"/>
  </cols>
  <sheetData>
    <row r="2" spans="2:10" x14ac:dyDescent="0.3">
      <c r="B2" s="4" t="s">
        <v>6</v>
      </c>
    </row>
    <row r="3" spans="2:10" x14ac:dyDescent="0.3">
      <c r="B3" t="s">
        <v>7</v>
      </c>
      <c r="C3" t="s">
        <v>15</v>
      </c>
    </row>
    <row r="4" spans="2:10" x14ac:dyDescent="0.3">
      <c r="B4" t="s">
        <v>8</v>
      </c>
      <c r="C4" s="6">
        <v>100</v>
      </c>
    </row>
    <row r="5" spans="2:10" x14ac:dyDescent="0.3">
      <c r="B5" t="s">
        <v>9</v>
      </c>
      <c r="C5" s="5">
        <v>0</v>
      </c>
    </row>
    <row r="6" spans="2:10" x14ac:dyDescent="0.3">
      <c r="B6" t="s">
        <v>10</v>
      </c>
      <c r="C6" s="5">
        <v>2</v>
      </c>
    </row>
    <row r="7" spans="2:10" x14ac:dyDescent="0.3">
      <c r="B7" t="s">
        <v>18</v>
      </c>
      <c r="C7" s="7">
        <v>0.04</v>
      </c>
    </row>
    <row r="8" spans="2:10" x14ac:dyDescent="0.3">
      <c r="B8" t="s">
        <v>11</v>
      </c>
      <c r="C8" s="7">
        <v>0.25</v>
      </c>
    </row>
    <row r="9" spans="2:10" x14ac:dyDescent="0.3">
      <c r="B9" t="s">
        <v>12</v>
      </c>
      <c r="C9" s="6">
        <v>100</v>
      </c>
    </row>
    <row r="10" spans="2:10" x14ac:dyDescent="0.3">
      <c r="B10" t="s">
        <v>13</v>
      </c>
      <c r="C10" s="5">
        <v>0</v>
      </c>
      <c r="E10" s="4" t="s">
        <v>16</v>
      </c>
    </row>
    <row r="11" spans="2:10" x14ac:dyDescent="0.3">
      <c r="B11" t="s">
        <v>14</v>
      </c>
      <c r="C11" s="5">
        <v>50</v>
      </c>
      <c r="E11" s="5">
        <f>150</f>
        <v>150</v>
      </c>
      <c r="F11" s="5">
        <f>E11+50</f>
        <v>200</v>
      </c>
      <c r="G11" s="5">
        <f t="shared" ref="G11:H11" si="0">F11+50</f>
        <v>250</v>
      </c>
      <c r="H11" s="5">
        <f t="shared" si="0"/>
        <v>300</v>
      </c>
      <c r="I11" s="5"/>
      <c r="J11" s="5"/>
    </row>
    <row r="13" spans="2:10" x14ac:dyDescent="0.3">
      <c r="B13" t="str" cm="1">
        <f t="array" ref="B13">BAPM_Help()</f>
        <v>flavor As String, S As Double, q As Double, r As Double, sigma As Double, period As Double, T As Double, N As Double, K As Double</v>
      </c>
      <c r="C13" s="6"/>
    </row>
    <row r="14" spans="2:10" x14ac:dyDescent="0.3">
      <c r="B14" s="4" t="s">
        <v>17</v>
      </c>
      <c r="C14" s="8" cm="1">
        <f t="array" ref="C14">bapmprice(flavor,S, q, C7, sigma, Period, T, N, K)</f>
        <v>17.607690505531171</v>
      </c>
      <c r="E14" s="6" cm="1">
        <f t="array" ref="E14">bapmprice(flavor,S, q, $C$7, sigma, Period, T, E11, K)</f>
        <v>17.653552121365617</v>
      </c>
      <c r="F14" s="6" cm="1">
        <f t="array" ref="F14">bapmprice(flavor,S, q, $C$7, sigma, Period, T, F11, K)</f>
        <v>17.659296014463315</v>
      </c>
      <c r="G14" s="6" cm="1">
        <f t="array" ref="G14">bapmprice(flavor,S, q, $C$7, sigma, Period, T, G11, K)</f>
        <v>17.662743521216143</v>
      </c>
      <c r="H14" s="6" cm="1">
        <f t="array" ref="H14">bapmprice(flavor,S, q, $C$7, sigma, Period, T, H11, K)</f>
        <v>17.665042344933788</v>
      </c>
      <c r="I14" s="6"/>
      <c r="J1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3"/>
  <sheetViews>
    <sheetView workbookViewId="0">
      <selection activeCell="C14" sqref="C14"/>
    </sheetView>
  </sheetViews>
  <sheetFormatPr defaultRowHeight="14.4" x14ac:dyDescent="0.3"/>
  <cols>
    <col min="2" max="2" width="15.44140625" customWidth="1"/>
  </cols>
  <sheetData>
    <row r="2" spans="2:3" x14ac:dyDescent="0.3">
      <c r="B2" s="4" t="s">
        <v>19</v>
      </c>
    </row>
    <row r="3" spans="2:3" x14ac:dyDescent="0.3">
      <c r="B3" t="s">
        <v>7</v>
      </c>
      <c r="C3" t="s">
        <v>15</v>
      </c>
    </row>
    <row r="4" spans="2:3" x14ac:dyDescent="0.3">
      <c r="B4" t="s">
        <v>8</v>
      </c>
      <c r="C4" s="6">
        <v>100</v>
      </c>
    </row>
    <row r="5" spans="2:3" x14ac:dyDescent="0.3">
      <c r="B5" t="s">
        <v>9</v>
      </c>
      <c r="C5" s="5">
        <v>0</v>
      </c>
    </row>
    <row r="6" spans="2:3" x14ac:dyDescent="0.3">
      <c r="B6" t="s">
        <v>10</v>
      </c>
      <c r="C6" s="5">
        <v>2</v>
      </c>
    </row>
    <row r="7" spans="2:3" x14ac:dyDescent="0.3">
      <c r="B7" t="s">
        <v>18</v>
      </c>
      <c r="C7" s="7">
        <v>0.04</v>
      </c>
    </row>
    <row r="8" spans="2:3" x14ac:dyDescent="0.3">
      <c r="B8" t="s">
        <v>11</v>
      </c>
      <c r="C8" s="7">
        <v>0.25</v>
      </c>
    </row>
    <row r="9" spans="2:3" x14ac:dyDescent="0.3">
      <c r="B9" t="s">
        <v>12</v>
      </c>
      <c r="C9" s="6">
        <v>100</v>
      </c>
    </row>
    <row r="10" spans="2:3" x14ac:dyDescent="0.3">
      <c r="B10" t="s">
        <v>13</v>
      </c>
      <c r="C10" s="5">
        <v>0</v>
      </c>
    </row>
    <row r="12" spans="2:3" x14ac:dyDescent="0.3">
      <c r="B12" t="str" cm="1">
        <f t="array" ref="B12">BSPRice_helper()</f>
        <v>flavor As String, S As Double, q As Double, r As Double, sigma As Double, period As Double, T As Double, K As Double</v>
      </c>
    </row>
    <row r="13" spans="2:3" x14ac:dyDescent="0.3">
      <c r="B13" t="s">
        <v>20</v>
      </c>
      <c r="C13" s="8" cm="1">
        <f t="array" ref="C13">BS_Price(C3,C4,C10,C7,C8,C5,C6,C9)</f>
        <v>17.676542258205604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Homework</vt:lpstr>
      <vt:lpstr>BAPM</vt:lpstr>
      <vt:lpstr>BS</vt:lpstr>
      <vt:lpstr>BSPrice</vt:lpstr>
      <vt:lpstr>flavor</vt:lpstr>
      <vt:lpstr>K</vt:lpstr>
      <vt:lpstr>N</vt:lpstr>
      <vt:lpstr>Period</vt:lpstr>
      <vt:lpstr>q</vt:lpstr>
      <vt:lpstr>S</vt:lpstr>
      <vt:lpstr>sigma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2022-11-03T18:56:25Z</dcterms:modified>
</cp:coreProperties>
</file>